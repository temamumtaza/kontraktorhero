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F:\Template Project\Template Project\Speadsheet Templates\"/>
    </mc:Choice>
  </mc:AlternateContent>
  <xr:revisionPtr revIDLastSave="0" documentId="13_ncr:1_{E45FD31C-7775-48C2-B934-02173B9BBE6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Budget vs Actual - List" sheetId="1" r:id="rId1"/>
    <sheet name="Budget vs Actual - Chart" sheetId="2" r:id="rId2"/>
  </sheets>
  <definedNames>
    <definedName name="_xlnm._FilterDatabase" localSheetId="0" hidden="1">'Budget vs Actual - List'!$B$5:$D$49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8" i="1" l="1" a="1"/>
  <c r="Q48" i="1" s="1"/>
  <c r="M48" i="1" a="1"/>
  <c r="M48" i="1" s="1"/>
  <c r="K48" i="1" a="1"/>
  <c r="K48" i="1" s="1"/>
  <c r="I48" i="1" a="1"/>
  <c r="I48" i="1" s="1"/>
  <c r="G48" i="1" a="1"/>
  <c r="G48" i="1" s="1"/>
  <c r="E48" i="1" a="1"/>
  <c r="E48" i="1" s="1"/>
  <c r="Q46" i="1" a="1"/>
  <c r="Q46" i="1" s="1"/>
  <c r="O46" i="1" a="1"/>
  <c r="O46" i="1" s="1"/>
  <c r="M46" i="1" a="1"/>
  <c r="M46" i="1" s="1"/>
  <c r="K46" i="1" a="1"/>
  <c r="K46" i="1" s="1"/>
  <c r="I46" i="1" a="1"/>
  <c r="I46" i="1" s="1"/>
  <c r="G46" i="1" a="1"/>
  <c r="G46" i="1" s="1"/>
  <c r="E46" i="1" a="1"/>
  <c r="E46" i="1" s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Q17" i="1"/>
  <c r="P17" i="1"/>
  <c r="O17" i="1"/>
  <c r="N17" i="1"/>
  <c r="M17" i="1"/>
  <c r="L17" i="1"/>
  <c r="K17" i="1"/>
  <c r="J17" i="1"/>
  <c r="I17" i="1"/>
  <c r="H17" i="1"/>
  <c r="G17" i="1"/>
  <c r="F17" i="1"/>
  <c r="R17" i="1" s="1"/>
  <c r="E17" i="1"/>
  <c r="Q16" i="1"/>
  <c r="P16" i="1"/>
  <c r="O16" i="1"/>
  <c r="N16" i="1"/>
  <c r="M16" i="1"/>
  <c r="L16" i="1"/>
  <c r="K16" i="1"/>
  <c r="J16" i="1"/>
  <c r="I16" i="1"/>
  <c r="H16" i="1"/>
  <c r="G16" i="1"/>
  <c r="F16" i="1"/>
  <c r="R16" i="1" s="1"/>
  <c r="E16" i="1"/>
  <c r="Q15" i="1"/>
  <c r="P15" i="1"/>
  <c r="O15" i="1"/>
  <c r="N15" i="1"/>
  <c r="M15" i="1"/>
  <c r="L15" i="1"/>
  <c r="K15" i="1"/>
  <c r="J15" i="1"/>
  <c r="I15" i="1"/>
  <c r="H15" i="1"/>
  <c r="G15" i="1"/>
  <c r="F15" i="1"/>
  <c r="R15" i="1" s="1"/>
  <c r="E15" i="1"/>
  <c r="Q14" i="1"/>
  <c r="P14" i="1"/>
  <c r="O14" i="1"/>
  <c r="N14" i="1"/>
  <c r="M14" i="1"/>
  <c r="L14" i="1"/>
  <c r="K14" i="1"/>
  <c r="J14" i="1"/>
  <c r="I14" i="1"/>
  <c r="H14" i="1"/>
  <c r="G14" i="1"/>
  <c r="F14" i="1"/>
  <c r="R14" i="1" s="1"/>
  <c r="E14" i="1"/>
  <c r="Q13" i="1"/>
  <c r="P13" i="1"/>
  <c r="O13" i="1"/>
  <c r="N13" i="1"/>
  <c r="M13" i="1"/>
  <c r="L13" i="1"/>
  <c r="K13" i="1"/>
  <c r="J13" i="1"/>
  <c r="I13" i="1"/>
  <c r="H13" i="1"/>
  <c r="G13" i="1"/>
  <c r="F13" i="1"/>
  <c r="R13" i="1" s="1"/>
  <c r="E13" i="1"/>
  <c r="Q12" i="1"/>
  <c r="P12" i="1"/>
  <c r="O12" i="1"/>
  <c r="N12" i="1"/>
  <c r="M12" i="1"/>
  <c r="L12" i="1"/>
  <c r="K12" i="1"/>
  <c r="J12" i="1"/>
  <c r="I12" i="1"/>
  <c r="H12" i="1"/>
  <c r="G12" i="1"/>
  <c r="F12" i="1"/>
  <c r="R12" i="1" s="1"/>
  <c r="E12" i="1"/>
  <c r="Q11" i="1"/>
  <c r="P11" i="1"/>
  <c r="O11" i="1"/>
  <c r="N11" i="1"/>
  <c r="M11" i="1"/>
  <c r="L11" i="1"/>
  <c r="K11" i="1"/>
  <c r="J11" i="1"/>
  <c r="I11" i="1"/>
  <c r="H11" i="1"/>
  <c r="G11" i="1"/>
  <c r="F11" i="1"/>
  <c r="R11" i="1" s="1"/>
  <c r="E11" i="1"/>
  <c r="Q10" i="1"/>
  <c r="P10" i="1"/>
  <c r="O10" i="1"/>
  <c r="N10" i="1"/>
  <c r="M10" i="1"/>
  <c r="L10" i="1"/>
  <c r="K10" i="1"/>
  <c r="J10" i="1"/>
  <c r="I10" i="1"/>
  <c r="H10" i="1"/>
  <c r="G10" i="1"/>
  <c r="F10" i="1"/>
  <c r="R10" i="1" s="1"/>
  <c r="E10" i="1"/>
  <c r="Q9" i="1"/>
  <c r="P9" i="1"/>
  <c r="O9" i="1"/>
  <c r="N9" i="1"/>
  <c r="M9" i="1"/>
  <c r="L9" i="1"/>
  <c r="K9" i="1"/>
  <c r="J9" i="1"/>
  <c r="I9" i="1"/>
  <c r="H9" i="1"/>
  <c r="G9" i="1"/>
  <c r="F9" i="1"/>
  <c r="R9" i="1" s="1"/>
  <c r="E9" i="1"/>
  <c r="Q8" i="1"/>
  <c r="P8" i="1"/>
  <c r="O8" i="1"/>
  <c r="N8" i="1"/>
  <c r="M8" i="1"/>
  <c r="L8" i="1"/>
  <c r="K8" i="1"/>
  <c r="J8" i="1"/>
  <c r="I8" i="1"/>
  <c r="H8" i="1"/>
  <c r="G8" i="1"/>
  <c r="F8" i="1"/>
  <c r="R8" i="1" s="1"/>
  <c r="E8" i="1"/>
  <c r="Q7" i="1"/>
  <c r="P7" i="1"/>
  <c r="O7" i="1"/>
  <c r="O48" i="1" s="1" a="1"/>
  <c r="O48" i="1" s="1"/>
  <c r="N7" i="1"/>
  <c r="M7" i="1"/>
  <c r="L7" i="1"/>
  <c r="K7" i="1"/>
  <c r="J7" i="1"/>
  <c r="I7" i="1"/>
  <c r="H7" i="1"/>
  <c r="G7" i="1"/>
  <c r="F7" i="1"/>
  <c r="R7" i="1" s="1"/>
  <c r="E7" i="1"/>
  <c r="R6" i="1"/>
  <c r="Q6" i="1"/>
  <c r="P6" i="1"/>
  <c r="P48" i="1" s="1" a="1"/>
  <c r="P48" i="1" s="1"/>
  <c r="O6" i="1"/>
  <c r="N6" i="1"/>
  <c r="N46" i="1" s="1" a="1"/>
  <c r="N46" i="1" s="1"/>
  <c r="M6" i="1"/>
  <c r="L6" i="1"/>
  <c r="L48" i="1" s="1" a="1"/>
  <c r="L48" i="1" s="1"/>
  <c r="K6" i="1"/>
  <c r="J6" i="1"/>
  <c r="J46" i="1" s="1" a="1"/>
  <c r="J46" i="1" s="1"/>
  <c r="I6" i="1"/>
  <c r="H6" i="1"/>
  <c r="H48" i="1" s="1" a="1"/>
  <c r="H48" i="1" s="1"/>
  <c r="G6" i="1"/>
  <c r="F6" i="1"/>
  <c r="F48" i="1" s="1" a="1"/>
  <c r="F48" i="1" s="1"/>
  <c r="E6" i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E49" i="1" l="1"/>
  <c r="F49" i="1" s="1"/>
  <c r="E47" i="1"/>
  <c r="G49" i="1"/>
  <c r="F46" i="1" a="1"/>
  <c r="F46" i="1" s="1"/>
  <c r="R46" i="1" s="1"/>
  <c r="H46" i="1" a="1"/>
  <c r="H46" i="1" s="1"/>
  <c r="L46" i="1" a="1"/>
  <c r="L46" i="1" s="1"/>
  <c r="J48" i="1" a="1"/>
  <c r="J48" i="1" s="1"/>
  <c r="N48" i="1" a="1"/>
  <c r="N48" i="1" s="1"/>
  <c r="P46" i="1" a="1"/>
  <c r="P46" i="1" s="1"/>
  <c r="H49" i="1" l="1"/>
  <c r="F47" i="1"/>
  <c r="I49" i="1"/>
  <c r="R48" i="1"/>
  <c r="G47" i="1" l="1"/>
  <c r="H47" i="1" s="1"/>
  <c r="J49" i="1"/>
  <c r="K49" i="1" s="1"/>
  <c r="L49" i="1" l="1"/>
  <c r="M49" i="1"/>
  <c r="N49" i="1" s="1"/>
  <c r="O49" i="1" s="1"/>
  <c r="P49" i="1" s="1"/>
  <c r="Q49" i="1" s="1"/>
  <c r="I47" i="1"/>
  <c r="J47" i="1" l="1"/>
  <c r="K47" i="1" l="1"/>
  <c r="L47" i="1"/>
  <c r="M47" i="1" s="1"/>
  <c r="N47" i="1" l="1"/>
  <c r="O47" i="1" s="1"/>
  <c r="P47" i="1" s="1"/>
  <c r="Q47" i="1" s="1"/>
</calcChain>
</file>

<file path=xl/sharedStrings.xml><?xml version="1.0" encoding="utf-8"?>
<sst xmlns="http://schemas.openxmlformats.org/spreadsheetml/2006/main" count="78" uniqueCount="17">
  <si>
    <t>Anggaran Proyek VS Biaya Sebenarnya</t>
  </si>
  <si>
    <t>Tanggal</t>
  </si>
  <si>
    <t>← Tambahkan kolom tambahan jika Anda memerlukan tanggal lebih banyak. Jangan ragu untuk mengubah tanggal untuk mewakili minggu atau hari berdasarkan preferensi Anda.</t>
  </si>
  <si>
    <t xml:space="preserve"> #</t>
  </si>
  <si>
    <t>Biaya</t>
  </si>
  <si>
    <t>Tipe</t>
  </si>
  <si>
    <t>Total</t>
  </si>
  <si>
    <t>← Untuk menjaga konsistensi formula dan format, cukup seret dan duplikat kolom yang ada.</t>
  </si>
  <si>
    <t>Deskripsi Biaya</t>
  </si>
  <si>
    <t>Anggaran</t>
  </si>
  <si>
    <t>Aktual</t>
  </si>
  <si>
    <t>← Tambahkan biaya tambahan dengan memasukkan baris tambahan (berpasangan).</t>
  </si>
  <si>
    <t>← Tarik dan duplikat dua baris sebelumnya untuk mentransfer rumus dan gaya ke baris yang baru ditambahkan.</t>
  </si>
  <si>
    <t>Total Biaya</t>
  </si>
  <si>
    <t>Kumulatif Anggaran</t>
  </si>
  <si>
    <t>Total Aktual Biaya</t>
  </si>
  <si>
    <t>Kumulatif 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</si>
</sst>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p]#,##0"/>
  </numFmts>
  <fonts count="17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3D3E3F"/>
      <name val="Arial"/>
      <family val="2"/>
    </font>
    <font>
      <i/>
      <sz val="10"/>
      <color rgb="FFFFFFFF"/>
      <name val="Arial"/>
      <family val="2"/>
    </font>
    <font>
      <b/>
      <sz val="20"/>
      <color rgb="FFFFFFFF"/>
      <name val="Arial"/>
      <family val="2"/>
    </font>
    <font>
      <sz val="11"/>
      <name val="Arial"/>
      <family val="2"/>
    </font>
    <font>
      <i/>
      <sz val="10"/>
      <color theme="0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0"/>
      <name val="Arial"/>
      <family val="2"/>
    </font>
    <font>
      <b/>
      <sz val="10"/>
      <color rgb="FF3D3E3F"/>
      <name val="Arial"/>
      <family val="2"/>
    </font>
    <font>
      <sz val="10"/>
      <color rgb="FF9B9C9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C00000"/>
        <bgColor rgb="FF1155CC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4A86E8"/>
      </patternFill>
    </fill>
    <fill>
      <patternFill patternType="solid">
        <fgColor rgb="FFFDD868"/>
        <bgColor rgb="FFC9DAF8"/>
      </patternFill>
    </fill>
    <fill>
      <patternFill patternType="solid">
        <fgColor rgb="FFFDD868"/>
        <bgColor rgb="FF00FF00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medium">
        <color rgb="FF3D3E3F"/>
      </left>
      <right/>
      <top style="medium">
        <color rgb="FF3D3E3F"/>
      </top>
      <bottom/>
      <diagonal/>
    </border>
    <border>
      <left/>
      <right/>
      <top style="medium">
        <color rgb="FF3D3E3F"/>
      </top>
      <bottom/>
      <diagonal/>
    </border>
    <border>
      <left/>
      <right style="medium">
        <color rgb="FF3D3E3F"/>
      </right>
      <top style="medium">
        <color rgb="FF3D3E3F"/>
      </top>
      <bottom/>
      <diagonal/>
    </border>
    <border>
      <left style="medium">
        <color rgb="FF3D3E3F"/>
      </left>
      <right/>
      <top style="medium">
        <color rgb="FF3D3E3F"/>
      </top>
      <bottom/>
      <diagonal/>
    </border>
    <border>
      <left/>
      <right/>
      <top style="medium">
        <color rgb="FF3D3E3F"/>
      </top>
      <bottom/>
      <diagonal/>
    </border>
    <border>
      <left/>
      <right/>
      <top style="medium">
        <color rgb="FF3D3E3F"/>
      </top>
      <bottom/>
      <diagonal/>
    </border>
    <border>
      <left style="medium">
        <color rgb="FF3D3E3F"/>
      </left>
      <right/>
      <top/>
      <bottom/>
      <diagonal/>
    </border>
    <border>
      <left style="thin">
        <color rgb="FF000000"/>
      </left>
      <right style="medium">
        <color rgb="FF3D3E3F"/>
      </right>
      <top style="thin">
        <color rgb="FF000000"/>
      </top>
      <bottom style="thin">
        <color rgb="FF000000"/>
      </bottom>
      <diagonal/>
    </border>
    <border>
      <left style="medium">
        <color rgb="FF3D3E3F"/>
      </left>
      <right/>
      <top/>
      <bottom/>
      <diagonal/>
    </border>
    <border>
      <left/>
      <right/>
      <top/>
      <bottom/>
      <diagonal/>
    </border>
    <border>
      <left/>
      <right style="medium">
        <color rgb="FF3D3E3F"/>
      </right>
      <top/>
      <bottom/>
      <diagonal/>
    </border>
    <border>
      <left style="medium">
        <color rgb="FF3D3E3F"/>
      </left>
      <right/>
      <top/>
      <bottom style="medium">
        <color rgb="FF3D3E3F"/>
      </bottom>
      <diagonal/>
    </border>
    <border>
      <left/>
      <right/>
      <top/>
      <bottom style="medium">
        <color rgb="FF3D3E3F"/>
      </bottom>
      <diagonal/>
    </border>
    <border>
      <left/>
      <right style="medium">
        <color rgb="FF3D3E3F"/>
      </right>
      <top/>
      <bottom style="medium">
        <color rgb="FF3D3E3F"/>
      </bottom>
      <diagonal/>
    </border>
    <border>
      <left style="medium">
        <color rgb="FF3D3E3F"/>
      </left>
      <right/>
      <top/>
      <bottom style="medium">
        <color rgb="FF3D3E3F"/>
      </bottom>
      <diagonal/>
    </border>
    <border>
      <left/>
      <right/>
      <top/>
      <bottom style="medium">
        <color rgb="FF3D3E3F"/>
      </bottom>
      <diagonal/>
    </border>
    <border>
      <left/>
      <right/>
      <top/>
      <bottom style="medium">
        <color rgb="FF3D3E3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dotted">
        <color rgb="FFA5A5A5"/>
      </bottom>
      <diagonal/>
    </border>
    <border>
      <left style="medium">
        <color rgb="FF000000"/>
      </left>
      <right style="thin">
        <color rgb="FF969696"/>
      </right>
      <top style="medium">
        <color rgb="FF000000"/>
      </top>
      <bottom style="dotted">
        <color rgb="FFA5A5A5"/>
      </bottom>
      <diagonal/>
    </border>
    <border>
      <left style="thin">
        <color rgb="FF969696"/>
      </left>
      <right style="thin">
        <color rgb="FF969696"/>
      </right>
      <top style="medium">
        <color rgb="FF000000"/>
      </top>
      <bottom style="dotted">
        <color rgb="FFA5A5A5"/>
      </bottom>
      <diagonal/>
    </border>
    <border>
      <left style="thin">
        <color rgb="FF969696"/>
      </left>
      <right/>
      <top style="medium">
        <color rgb="FF000000"/>
      </top>
      <bottom style="dotted">
        <color rgb="FFA5A5A5"/>
      </bottom>
      <diagonal/>
    </border>
    <border>
      <left style="medium">
        <color rgb="FF3D3E3F"/>
      </left>
      <right style="medium">
        <color rgb="FF3D3E3F"/>
      </right>
      <top style="medium">
        <color rgb="FF3D3E3F"/>
      </top>
      <bottom style="dotted">
        <color rgb="FFA5A5A5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 style="dotted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A5A5A5"/>
      </bottom>
      <diagonal/>
    </border>
    <border>
      <left style="thin">
        <color rgb="FFA5A5A5"/>
      </left>
      <right/>
      <top style="dotted">
        <color rgb="FFA5A5A5"/>
      </top>
      <bottom style="thin">
        <color rgb="FFA5A5A5"/>
      </bottom>
      <diagonal/>
    </border>
    <border>
      <left style="medium">
        <color rgb="FF3D3E3F"/>
      </left>
      <right style="medium">
        <color rgb="FF3D3E3F"/>
      </right>
      <top/>
      <bottom style="thin">
        <color rgb="FFA5A5A5"/>
      </bottom>
      <diagonal/>
    </border>
    <border>
      <left style="medium">
        <color rgb="FF000000"/>
      </left>
      <right style="thin">
        <color rgb="FF969696"/>
      </right>
      <top style="thin">
        <color rgb="FFA5A5A5"/>
      </top>
      <bottom style="dotted">
        <color rgb="FFA5A5A5"/>
      </bottom>
      <diagonal/>
    </border>
    <border>
      <left style="thin">
        <color rgb="FF969696"/>
      </left>
      <right style="thin">
        <color rgb="FF969696"/>
      </right>
      <top style="thin">
        <color rgb="FFA5A5A5"/>
      </top>
      <bottom style="dotted">
        <color rgb="FFA5A5A5"/>
      </bottom>
      <diagonal/>
    </border>
    <border>
      <left style="thin">
        <color rgb="FF969696"/>
      </left>
      <right/>
      <top style="thin">
        <color rgb="FFA5A5A5"/>
      </top>
      <bottom style="dotted">
        <color rgb="FFA5A5A5"/>
      </bottom>
      <diagonal/>
    </border>
    <border>
      <left style="medium">
        <color rgb="FF3D3E3F"/>
      </left>
      <right style="medium">
        <color rgb="FF3D3E3F"/>
      </right>
      <top style="thin">
        <color rgb="FFA5A5A5"/>
      </top>
      <bottom style="dotted">
        <color rgb="FFA5A5A5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3D3E3F"/>
      </left>
      <right style="medium">
        <color rgb="FF3D3E3F"/>
      </right>
      <top/>
      <bottom style="medium">
        <color rgb="FF3D3E3F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right" vertical="center" wrapText="1"/>
    </xf>
    <xf numFmtId="0" fontId="14" fillId="0" borderId="24" xfId="0" applyFont="1" applyBorder="1" applyAlignment="1">
      <alignment horizontal="right" vertical="center"/>
    </xf>
    <xf numFmtId="164" fontId="14" fillId="0" borderId="25" xfId="0" applyNumberFormat="1" applyFont="1" applyBorder="1" applyAlignment="1">
      <alignment vertical="center"/>
    </xf>
    <xf numFmtId="164" fontId="14" fillId="0" borderId="26" xfId="0" applyNumberFormat="1" applyFont="1" applyBorder="1" applyAlignment="1">
      <alignment vertical="center"/>
    </xf>
    <xf numFmtId="164" fontId="14" fillId="0" borderId="27" xfId="0" applyNumberFormat="1" applyFont="1" applyBorder="1" applyAlignment="1">
      <alignment vertical="center"/>
    </xf>
    <xf numFmtId="164" fontId="15" fillId="0" borderId="28" xfId="0" applyNumberFormat="1" applyFont="1" applyBorder="1" applyAlignment="1">
      <alignment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right" vertical="center" wrapText="1"/>
    </xf>
    <xf numFmtId="0" fontId="14" fillId="0" borderId="30" xfId="0" applyFont="1" applyBorder="1" applyAlignment="1">
      <alignment horizontal="right" vertical="center"/>
    </xf>
    <xf numFmtId="164" fontId="14" fillId="3" borderId="31" xfId="0" applyNumberFormat="1" applyFont="1" applyFill="1" applyBorder="1" applyAlignment="1">
      <alignment vertical="center"/>
    </xf>
    <xf numFmtId="164" fontId="14" fillId="3" borderId="32" xfId="0" applyNumberFormat="1" applyFont="1" applyFill="1" applyBorder="1" applyAlignment="1">
      <alignment vertical="center"/>
    </xf>
    <xf numFmtId="164" fontId="14" fillId="3" borderId="33" xfId="0" applyNumberFormat="1" applyFont="1" applyFill="1" applyBorder="1" applyAlignment="1">
      <alignment vertical="center"/>
    </xf>
    <xf numFmtId="164" fontId="15" fillId="0" borderId="34" xfId="0" applyNumberFormat="1" applyFont="1" applyBorder="1" applyAlignment="1">
      <alignment vertical="center"/>
    </xf>
    <xf numFmtId="164" fontId="14" fillId="0" borderId="35" xfId="0" applyNumberFormat="1" applyFont="1" applyBorder="1" applyAlignment="1">
      <alignment vertical="center"/>
    </xf>
    <xf numFmtId="164" fontId="14" fillId="0" borderId="36" xfId="0" applyNumberFormat="1" applyFont="1" applyBorder="1" applyAlignment="1">
      <alignment vertical="center"/>
    </xf>
    <xf numFmtId="164" fontId="14" fillId="0" borderId="37" xfId="0" applyNumberFormat="1" applyFont="1" applyBorder="1" applyAlignment="1">
      <alignment vertical="center"/>
    </xf>
    <xf numFmtId="164" fontId="15" fillId="0" borderId="38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164" fontId="15" fillId="0" borderId="40" xfId="0" applyNumberFormat="1" applyFont="1" applyBorder="1" applyAlignment="1">
      <alignment vertical="center"/>
    </xf>
    <xf numFmtId="0" fontId="14" fillId="0" borderId="22" xfId="0" applyFont="1" applyBorder="1"/>
    <xf numFmtId="0" fontId="15" fillId="0" borderId="23" xfId="0" applyFont="1" applyBorder="1" applyAlignment="1">
      <alignment horizontal="right" vertical="center"/>
    </xf>
    <xf numFmtId="0" fontId="14" fillId="0" borderId="23" xfId="0" applyFont="1" applyBorder="1" applyAlignment="1">
      <alignment horizontal="right" vertical="center"/>
    </xf>
    <xf numFmtId="164" fontId="15" fillId="0" borderId="23" xfId="0" applyNumberFormat="1" applyFont="1" applyBorder="1" applyAlignment="1">
      <alignment vertical="center"/>
    </xf>
    <xf numFmtId="164" fontId="15" fillId="0" borderId="41" xfId="0" applyNumberFormat="1" applyFont="1" applyBorder="1" applyAlignment="1">
      <alignment vertical="center"/>
    </xf>
    <xf numFmtId="0" fontId="14" fillId="0" borderId="29" xfId="0" applyFont="1" applyBorder="1"/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164" fontId="15" fillId="0" borderId="0" xfId="0" applyNumberFormat="1" applyFont="1" applyAlignment="1">
      <alignment vertical="center"/>
    </xf>
    <xf numFmtId="0" fontId="14" fillId="0" borderId="39" xfId="0" applyFont="1" applyBorder="1"/>
    <xf numFmtId="0" fontId="15" fillId="0" borderId="42" xfId="0" applyFont="1" applyBorder="1" applyAlignment="1">
      <alignment horizontal="right" vertical="center"/>
    </xf>
    <xf numFmtId="0" fontId="14" fillId="0" borderId="42" xfId="0" applyFont="1" applyBorder="1" applyAlignment="1">
      <alignment horizontal="right" vertical="center"/>
    </xf>
    <xf numFmtId="0" fontId="1" fillId="3" borderId="1" xfId="0" applyFont="1" applyFill="1" applyBorder="1"/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right" vertical="center"/>
    </xf>
    <xf numFmtId="15" fontId="4" fillId="4" borderId="9" xfId="0" applyNumberFormat="1" applyFont="1" applyFill="1" applyBorder="1" applyAlignment="1">
      <alignment horizontal="center" vertical="center"/>
    </xf>
    <xf numFmtId="0" fontId="10" fillId="4" borderId="1" xfId="0" applyFont="1" applyFill="1" applyBorder="1"/>
    <xf numFmtId="0" fontId="11" fillId="4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horizontal="left" vertical="center"/>
    </xf>
    <xf numFmtId="0" fontId="8" fillId="4" borderId="14" xfId="0" applyFont="1" applyFill="1" applyBorder="1"/>
    <xf numFmtId="0" fontId="8" fillId="4" borderId="15" xfId="0" applyFont="1" applyFill="1" applyBorder="1"/>
    <xf numFmtId="0" fontId="13" fillId="4" borderId="14" xfId="0" applyFont="1" applyFill="1" applyBorder="1"/>
    <xf numFmtId="0" fontId="13" fillId="4" borderId="15" xfId="0" applyFont="1" applyFill="1" applyBorder="1"/>
    <xf numFmtId="0" fontId="4" fillId="4" borderId="2" xfId="0" applyFont="1" applyFill="1" applyBorder="1" applyAlignment="1">
      <alignment vertical="center"/>
    </xf>
    <xf numFmtId="0" fontId="8" fillId="4" borderId="8" xfId="0" applyFont="1" applyFill="1" applyBorder="1"/>
    <xf numFmtId="0" fontId="8" fillId="4" borderId="13" xfId="0" applyFont="1" applyFill="1" applyBorder="1"/>
    <xf numFmtId="0" fontId="9" fillId="6" borderId="19" xfId="0" applyFont="1" applyFill="1" applyBorder="1" applyAlignment="1">
      <alignment horizontal="left" vertical="center"/>
    </xf>
    <xf numFmtId="0" fontId="9" fillId="6" borderId="20" xfId="0" applyFont="1" applyFill="1" applyBorder="1" applyAlignment="1">
      <alignment horizontal="center" vertical="center"/>
    </xf>
    <xf numFmtId="17" fontId="16" fillId="7" borderId="20" xfId="0" applyNumberFormat="1" applyFont="1" applyFill="1" applyBorder="1" applyAlignment="1">
      <alignment horizontal="center" vertical="center"/>
    </xf>
    <xf numFmtId="0" fontId="16" fillId="7" borderId="21" xfId="0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vertical="center"/>
    </xf>
    <xf numFmtId="164" fontId="15" fillId="8" borderId="21" xfId="0" applyNumberFormat="1" applyFont="1" applyFill="1" applyBorder="1" applyAlignment="1">
      <alignment vertical="center"/>
    </xf>
    <xf numFmtId="164" fontId="15" fillId="8" borderId="20" xfId="0" applyNumberFormat="1" applyFont="1" applyFill="1" applyBorder="1" applyAlignment="1">
      <alignment vertical="center"/>
    </xf>
    <xf numFmtId="164" fontId="14" fillId="8" borderId="43" xfId="0" applyNumberFormat="1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6" fillId="5" borderId="6" xfId="0" applyFont="1" applyFill="1" applyBorder="1"/>
    <xf numFmtId="0" fontId="6" fillId="5" borderId="7" xfId="0" applyFont="1" applyFill="1" applyBorder="1"/>
    <xf numFmtId="0" fontId="6" fillId="5" borderId="10" xfId="0" applyFont="1" applyFill="1" applyBorder="1"/>
    <xf numFmtId="0" fontId="1" fillId="5" borderId="0" xfId="0" applyFont="1" applyFill="1"/>
    <xf numFmtId="0" fontId="6" fillId="5" borderId="11" xfId="0" applyFont="1" applyFill="1" applyBorder="1"/>
    <xf numFmtId="0" fontId="6" fillId="5" borderId="16" xfId="0" applyFont="1" applyFill="1" applyBorder="1"/>
    <xf numFmtId="0" fontId="6" fillId="5" borderId="17" xfId="0" applyFont="1" applyFill="1" applyBorder="1"/>
    <xf numFmtId="0" fontId="6" fillId="5" borderId="18" xfId="0" applyFont="1" applyFill="1" applyBorder="1"/>
  </cellXfs>
  <cellStyles count="1">
    <cellStyle name="Normal" xfId="0" builtinId="0"/>
  </cellStyles>
  <dxfs count="36">
    <dxf>
      <font>
        <color theme="0"/>
      </font>
      <fill>
        <patternFill patternType="none"/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C00000"/>
      </font>
      <fill>
        <patternFill patternType="none"/>
      </fill>
    </dxf>
    <dxf>
      <font>
        <color rgb="FFA6BACD"/>
      </font>
      <fill>
        <patternFill patternType="none"/>
      </fill>
    </dxf>
    <dxf>
      <font>
        <color rgb="FFFD7B25"/>
      </font>
      <fill>
        <patternFill patternType="none"/>
      </fill>
    </dxf>
    <dxf>
      <font>
        <color rgb="FFB37903"/>
      </font>
      <fill>
        <patternFill patternType="none"/>
      </fill>
    </dxf>
    <dxf>
      <font>
        <color rgb="FFFD7B25"/>
      </font>
      <fill>
        <patternFill patternType="none"/>
      </fill>
    </dxf>
    <dxf>
      <font>
        <color rgb="FFFAB019"/>
      </font>
      <fill>
        <patternFill patternType="none"/>
      </fill>
    </dxf>
    <dxf>
      <font>
        <color rgb="FFFD7B25"/>
      </font>
      <fill>
        <patternFill patternType="none"/>
      </fill>
    </dxf>
    <dxf>
      <font>
        <color rgb="FFB37903"/>
      </font>
      <fill>
        <patternFill patternType="none"/>
      </fill>
    </dxf>
    <dxf>
      <font>
        <color rgb="FFFD7B25"/>
      </font>
      <fill>
        <patternFill patternType="none"/>
      </fill>
    </dxf>
    <dxf>
      <font>
        <color rgb="FFFAB019"/>
      </font>
      <fill>
        <patternFill patternType="none"/>
      </fill>
    </dxf>
    <dxf>
      <font>
        <color rgb="FFFD7B25"/>
      </font>
      <fill>
        <patternFill patternType="none"/>
      </fill>
    </dxf>
    <dxf>
      <font>
        <color rgb="FFB37903"/>
      </font>
      <fill>
        <patternFill patternType="none"/>
      </fill>
    </dxf>
    <dxf>
      <font>
        <color rgb="FFFD7B25"/>
      </font>
      <fill>
        <patternFill patternType="none"/>
      </fill>
    </dxf>
    <dxf>
      <font>
        <color rgb="FFFAB019"/>
      </font>
      <fill>
        <patternFill patternType="none"/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86E8"/>
          <bgColor rgb="FF4A86E8"/>
        </patternFill>
      </fill>
    </dxf>
  </dxfs>
  <tableStyles count="1">
    <tableStyle name="Budget vs Actual - List-style" pivot="0" count="3" xr9:uid="{00000000-0011-0000-FFFF-FFFF00000000}">
      <tableStyleElement type="headerRow" dxfId="35"/>
      <tableStyleElement type="firstRowStripe" dxfId="34"/>
      <tableStyleElement type="secondRowStripe" dxfId="33"/>
    </tableStyle>
  </tableStyles>
  <colors>
    <mruColors>
      <color rgb="FFFDD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400" b="0" i="0" u="none" strike="noStrike" kern="1200" baseline="0">
                <a:solidFill>
                  <a:srgbClr val="B8B8BA"/>
                </a:solidFill>
                <a:latin typeface="DM Sans 14pt Medium"/>
                <a:ea typeface="+mn-ea"/>
                <a:cs typeface="+mn-cs"/>
              </a:defRPr>
            </a:pPr>
            <a:r>
              <a:rPr lang="en-ID" sz="1400" b="0" i="0">
                <a:solidFill>
                  <a:srgbClr val="B8B8BA"/>
                </a:solidFill>
                <a:latin typeface="DM Sans 14pt Medium"/>
              </a:rPr>
              <a:t>Anggaran Proyek VS Biaya Sebenarnya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Biaya Aktual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1"/>
          <c:cat>
            <c:numRef>
              <c:f>'Budget vs Actual - List'!$E$5:$Q$5</c:f>
              <c:numCache>
                <c:formatCode>mmm\-yy</c:formatCode>
                <c:ptCount val="13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</c:numCache>
            </c:numRef>
          </c:cat>
          <c:val>
            <c:numRef>
              <c:f>'Budget vs Actual - List'!$E$49:$Q$49</c:f>
              <c:numCache>
                <c:formatCode>[$Rp]#,##0</c:formatCode>
                <c:ptCount val="13"/>
                <c:pt idx="0">
                  <c:v>658255</c:v>
                </c:pt>
                <c:pt idx="1">
                  <c:v>1717885</c:v>
                </c:pt>
                <c:pt idx="2">
                  <c:v>3291275</c:v>
                </c:pt>
                <c:pt idx="3">
                  <c:v>6277505</c:v>
                </c:pt>
                <c:pt idx="4">
                  <c:v>13004550</c:v>
                </c:pt>
                <c:pt idx="5">
                  <c:v>25607725</c:v>
                </c:pt>
                <c:pt idx="6">
                  <c:v>51584715</c:v>
                </c:pt>
                <c:pt idx="7">
                  <c:v>102623560</c:v>
                </c:pt>
                <c:pt idx="8">
                  <c:v>205776935</c:v>
                </c:pt>
                <c:pt idx="9">
                  <c:v>411329100</c:v>
                </c:pt>
                <c:pt idx="10">
                  <c:v>822931135</c:v>
                </c:pt>
                <c:pt idx="11">
                  <c:v>1645717775</c:v>
                </c:pt>
                <c:pt idx="12">
                  <c:v>3291130505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28D-4C54-BA15-AA27B5030861}"/>
            </c:ext>
          </c:extLst>
        </c:ser>
        <c:ser>
          <c:idx val="1"/>
          <c:order val="1"/>
          <c:tx>
            <c:v>Anggaran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28D-4C54-BA15-AA27B5030861}"/>
              </c:ext>
            </c:extLst>
          </c:dPt>
          <c:cat>
            <c:numRef>
              <c:f>'Budget vs Actual - List'!$E$5:$Q$5</c:f>
              <c:numCache>
                <c:formatCode>mmm\-yy</c:formatCode>
                <c:ptCount val="13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</c:numCache>
            </c:numRef>
          </c:cat>
          <c:val>
            <c:numRef>
              <c:f>'Budget vs Actual - List'!$E$47:$Q$47</c:f>
              <c:numCache>
                <c:formatCode>[$Rp]#,##0</c:formatCode>
                <c:ptCount val="13"/>
                <c:pt idx="0">
                  <c:v>722475</c:v>
                </c:pt>
                <c:pt idx="1">
                  <c:v>1589445</c:v>
                </c:pt>
                <c:pt idx="2">
                  <c:v>3387605</c:v>
                </c:pt>
                <c:pt idx="3">
                  <c:v>6309615</c:v>
                </c:pt>
                <c:pt idx="4">
                  <c:v>12876110</c:v>
                </c:pt>
                <c:pt idx="5">
                  <c:v>25511395</c:v>
                </c:pt>
                <c:pt idx="6">
                  <c:v>51392055</c:v>
                </c:pt>
                <c:pt idx="7">
                  <c:v>102093745</c:v>
                </c:pt>
                <c:pt idx="8">
                  <c:v>204637030</c:v>
                </c:pt>
                <c:pt idx="9">
                  <c:v>409338280</c:v>
                </c:pt>
                <c:pt idx="10">
                  <c:v>818724725</c:v>
                </c:pt>
                <c:pt idx="11">
                  <c:v>1637658165</c:v>
                </c:pt>
                <c:pt idx="12">
                  <c:v>3274850735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228D-4C54-BA15-AA27B5030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136014"/>
        <c:axId val="1312280274"/>
      </c:barChart>
      <c:dateAx>
        <c:axId val="34813601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7B7C7F"/>
                    </a:solidFill>
                    <a:latin typeface="+mn-lt"/>
                    <a:ea typeface="+mn-ea"/>
                    <a:cs typeface="+mn-cs"/>
                  </a:defRPr>
                </a:pP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7B7C7F"/>
                </a:solidFill>
                <a:latin typeface="DM Sans 14pt Medium"/>
                <a:ea typeface="+mn-ea"/>
                <a:cs typeface="+mn-cs"/>
              </a:defRPr>
            </a:pPr>
            <a:endParaRPr lang="en-US"/>
          </a:p>
        </c:txPr>
        <c:crossAx val="1312280274"/>
        <c:crosses val="autoZero"/>
        <c:auto val="1"/>
        <c:lblOffset val="100"/>
        <c:baseTimeUnit val="months"/>
      </c:dateAx>
      <c:valAx>
        <c:axId val="131228027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7B7C7F"/>
                    </a:solidFill>
                    <a:latin typeface="+mn-lt"/>
                    <a:ea typeface="+mn-ea"/>
                    <a:cs typeface="+mn-cs"/>
                  </a:defRPr>
                </a:pP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Rp]#,##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7B7C7F"/>
                </a:solidFill>
                <a:latin typeface="DM Sans 14pt Medium"/>
                <a:ea typeface="+mn-ea"/>
                <a:cs typeface="+mn-cs"/>
              </a:defRPr>
            </a:pPr>
            <a:endParaRPr lang="en-US"/>
          </a:p>
        </c:txPr>
        <c:crossAx val="34813601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900" b="0" i="0" u="none" strike="noStrike" kern="1200" baseline="0">
              <a:solidFill>
                <a:srgbClr val="88898C"/>
              </a:solidFill>
              <a:latin typeface="DM Sans 14pt Medium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400" b="0" i="0" u="none" strike="noStrike" kern="1200" baseline="0">
                <a:solidFill>
                  <a:srgbClr val="B8B8BA"/>
                </a:solidFill>
                <a:latin typeface="DM Sans 14pt Medium"/>
                <a:ea typeface="+mn-ea"/>
                <a:cs typeface="+mn-cs"/>
              </a:defRPr>
            </a:pPr>
            <a:r>
              <a:rPr lang="en-ID" sz="1400" b="0" i="0">
                <a:solidFill>
                  <a:srgbClr val="B8B8BA"/>
                </a:solidFill>
                <a:latin typeface="DM Sans 14pt Medium"/>
              </a:rPr>
              <a:t>Anggaran Proyek VS Anggaran Sebenarnya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400" b="0" i="0" u="none" strike="noStrike" kern="1200" baseline="0">
              <a:solidFill>
                <a:srgbClr val="B8B8BA"/>
              </a:solidFill>
              <a:latin typeface="DM Sans 14pt Medium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Actual Cost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1"/>
          <c:cat>
            <c:numRef>
              <c:f>'Budget vs Actual - List'!$E$5:$Q$5</c:f>
              <c:numCache>
                <c:formatCode>mmm\-yy</c:formatCode>
                <c:ptCount val="13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</c:numCache>
            </c:numRef>
          </c:cat>
          <c:val>
            <c:numRef>
              <c:f>'Budget vs Actual - List'!$E$49:$Q$49</c:f>
              <c:numCache>
                <c:formatCode>[$Rp]#,##0</c:formatCode>
                <c:ptCount val="13"/>
                <c:pt idx="0">
                  <c:v>658255</c:v>
                </c:pt>
                <c:pt idx="1">
                  <c:v>1717885</c:v>
                </c:pt>
                <c:pt idx="2">
                  <c:v>3291275</c:v>
                </c:pt>
                <c:pt idx="3">
                  <c:v>6277505</c:v>
                </c:pt>
                <c:pt idx="4">
                  <c:v>13004550</c:v>
                </c:pt>
                <c:pt idx="5">
                  <c:v>25607725</c:v>
                </c:pt>
                <c:pt idx="6">
                  <c:v>51584715</c:v>
                </c:pt>
                <c:pt idx="7">
                  <c:v>102623560</c:v>
                </c:pt>
                <c:pt idx="8">
                  <c:v>205776935</c:v>
                </c:pt>
                <c:pt idx="9">
                  <c:v>411329100</c:v>
                </c:pt>
                <c:pt idx="10">
                  <c:v>822931135</c:v>
                </c:pt>
                <c:pt idx="11">
                  <c:v>1645717775</c:v>
                </c:pt>
                <c:pt idx="12">
                  <c:v>3291130505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C-43EC-B36C-383A18F427C0}"/>
            </c:ext>
          </c:extLst>
        </c:ser>
        <c:ser>
          <c:idx val="1"/>
          <c:order val="1"/>
          <c:tx>
            <c:v>Budgeted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1"/>
          <c:cat>
            <c:numRef>
              <c:f>'Budget vs Actual - List'!$E$5:$Q$5</c:f>
              <c:numCache>
                <c:formatCode>mmm\-yy</c:formatCode>
                <c:ptCount val="13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</c:numCache>
            </c:numRef>
          </c:cat>
          <c:val>
            <c:numRef>
              <c:f>'Budget vs Actual - List'!$E$47:$Q$47</c:f>
              <c:numCache>
                <c:formatCode>[$Rp]#,##0</c:formatCode>
                <c:ptCount val="13"/>
                <c:pt idx="0">
                  <c:v>722475</c:v>
                </c:pt>
                <c:pt idx="1">
                  <c:v>1589445</c:v>
                </c:pt>
                <c:pt idx="2">
                  <c:v>3387605</c:v>
                </c:pt>
                <c:pt idx="3">
                  <c:v>6309615</c:v>
                </c:pt>
                <c:pt idx="4">
                  <c:v>12876110</c:v>
                </c:pt>
                <c:pt idx="5">
                  <c:v>25511395</c:v>
                </c:pt>
                <c:pt idx="6">
                  <c:v>51392055</c:v>
                </c:pt>
                <c:pt idx="7">
                  <c:v>102093745</c:v>
                </c:pt>
                <c:pt idx="8">
                  <c:v>204637030</c:v>
                </c:pt>
                <c:pt idx="9">
                  <c:v>409338280</c:v>
                </c:pt>
                <c:pt idx="10">
                  <c:v>818724725</c:v>
                </c:pt>
                <c:pt idx="11">
                  <c:v>1637658165</c:v>
                </c:pt>
                <c:pt idx="12">
                  <c:v>3274850735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C-43EC-B36C-383A18F4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0289458"/>
        <c:axId val="742580753"/>
      </c:barChart>
      <c:dateAx>
        <c:axId val="158028945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7B7C7F"/>
                    </a:solidFill>
                    <a:latin typeface="+mn-lt"/>
                    <a:ea typeface="+mn-ea"/>
                    <a:cs typeface="+mn-cs"/>
                  </a:defRPr>
                </a:pP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7B7C7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7B7C7F"/>
                </a:solidFill>
                <a:latin typeface="DM Sans 14pt Medium"/>
                <a:ea typeface="+mn-ea"/>
                <a:cs typeface="+mn-cs"/>
              </a:defRPr>
            </a:pPr>
            <a:endParaRPr lang="en-US"/>
          </a:p>
        </c:txPr>
        <c:crossAx val="742580753"/>
        <c:crosses val="autoZero"/>
        <c:auto val="1"/>
        <c:lblOffset val="100"/>
        <c:baseTimeUnit val="months"/>
      </c:dateAx>
      <c:valAx>
        <c:axId val="74258075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7B7C7F"/>
                    </a:solidFill>
                    <a:latin typeface="+mn-lt"/>
                    <a:ea typeface="+mn-ea"/>
                    <a:cs typeface="+mn-cs"/>
                  </a:defRPr>
                </a:pP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7B7C7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p]#,##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7B7C7F"/>
                </a:solidFill>
                <a:latin typeface="DM Sans 14pt Medium"/>
                <a:ea typeface="+mn-ea"/>
                <a:cs typeface="+mn-cs"/>
              </a:defRPr>
            </a:pPr>
            <a:endParaRPr lang="en-US"/>
          </a:p>
        </c:txPr>
        <c:crossAx val="158028945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900" b="0" i="0" u="none" strike="noStrike" kern="1200" baseline="0">
              <a:solidFill>
                <a:srgbClr val="88898C"/>
              </a:solidFill>
              <a:latin typeface="DM Sans 14pt Medium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50</xdr:row>
      <xdr:rowOff>95250</xdr:rowOff>
    </xdr:from>
    <xdr:ext cx="11506200" cy="38766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857250</xdr:colOff>
      <xdr:row>1</xdr:row>
      <xdr:rowOff>361950</xdr:rowOff>
    </xdr:from>
    <xdr:ext cx="1819275" cy="39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22130" y="3594275"/>
          <a:ext cx="1799400" cy="371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DM Sans"/>
              <a:ea typeface="DM Sans"/>
              <a:cs typeface="DM Sans"/>
              <a:sym typeface="DM Sans"/>
            </a:rPr>
            <a:t>Nama Anggaran:</a:t>
          </a:r>
          <a:endParaRPr sz="1400" b="1" i="0">
            <a:solidFill>
              <a:srgbClr val="FFFFFF"/>
            </a:solidFill>
            <a:latin typeface="DM Sans"/>
            <a:ea typeface="DM Sans"/>
            <a:cs typeface="DM Sans"/>
            <a:sym typeface="DM Sans"/>
          </a:endParaRPr>
        </a:p>
      </xdr:txBody>
    </xdr:sp>
    <xdr:clientData fLocksWithSheet="0"/>
  </xdr:oneCellAnchor>
  <xdr:oneCellAnchor>
    <xdr:from>
      <xdr:col>14</xdr:col>
      <xdr:colOff>685800</xdr:colOff>
      <xdr:row>2</xdr:row>
      <xdr:rowOff>104775</xdr:rowOff>
    </xdr:from>
    <xdr:ext cx="2095500" cy="1905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2510407" y="907596"/>
          <a:ext cx="2095500" cy="19050"/>
          <a:chOff x="4885050" y="3780075"/>
          <a:chExt cx="2075400" cy="3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 flipH="1">
            <a:off x="4885050" y="3780075"/>
            <a:ext cx="2075400" cy="300"/>
          </a:xfrm>
          <a:prstGeom prst="straightConnector1">
            <a:avLst/>
          </a:prstGeom>
          <a:noFill/>
          <a:ln w="31750" cap="flat" cmpd="sng">
            <a:solidFill>
              <a:srgbClr val="3D3E3F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</xdr:row>
      <xdr:rowOff>114300</xdr:rowOff>
    </xdr:from>
    <xdr:ext cx="6400800" cy="41624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5:R45" headerRowCount="0" headerRowDxfId="32" dataDxfId="31" totalsRowDxfId="30">
  <tableColumns count="14">
    <tableColumn id="1" xr3:uid="{00000000-0010-0000-0000-000001000000}" name="Column1" dataDxfId="29"/>
    <tableColumn id="2" xr3:uid="{00000000-0010-0000-0000-000002000000}" name="Column2" dataDxfId="28"/>
    <tableColumn id="3" xr3:uid="{00000000-0010-0000-0000-000003000000}" name="Column3" dataDxfId="27"/>
    <tableColumn id="4" xr3:uid="{00000000-0010-0000-0000-000004000000}" name="Column4" dataDxfId="26"/>
    <tableColumn id="5" xr3:uid="{00000000-0010-0000-0000-000005000000}" name="Column5" dataDxfId="25"/>
    <tableColumn id="6" xr3:uid="{00000000-0010-0000-0000-000006000000}" name="Column6" dataDxfId="24"/>
    <tableColumn id="7" xr3:uid="{00000000-0010-0000-0000-000007000000}" name="Column7" dataDxfId="23"/>
    <tableColumn id="8" xr3:uid="{00000000-0010-0000-0000-000008000000}" name="Column8" dataDxfId="22"/>
    <tableColumn id="9" xr3:uid="{00000000-0010-0000-0000-000009000000}" name="Column9" dataDxfId="21"/>
    <tableColumn id="10" xr3:uid="{00000000-0010-0000-0000-00000A000000}" name="Column10" dataDxfId="20"/>
    <tableColumn id="11" xr3:uid="{00000000-0010-0000-0000-00000B000000}" name="Column11" dataDxfId="19"/>
    <tableColumn id="12" xr3:uid="{00000000-0010-0000-0000-00000C000000}" name="Column12" dataDxfId="18"/>
    <tableColumn id="13" xr3:uid="{00000000-0010-0000-0000-00000D000000}" name="Column13" dataDxfId="17"/>
    <tableColumn id="14" xr3:uid="{00000000-0010-0000-0000-00000E000000}" name="Column14" dataDxfId="16"/>
  </tableColumns>
  <tableStyleInfo name="TableStyleDark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7B7C7F"/>
      </a:dk1>
      <a:lt1>
        <a:srgbClr val="FFFFFF"/>
      </a:lt1>
      <a:dk2>
        <a:srgbClr val="7B7C7F"/>
      </a:dk2>
      <a:lt2>
        <a:srgbClr val="FFFFFF"/>
      </a:lt2>
      <a:accent1>
        <a:srgbClr val="E6D3AF"/>
      </a:accent1>
      <a:accent2>
        <a:srgbClr val="FEB686"/>
      </a:accent2>
      <a:accent3>
        <a:srgbClr val="CDA27E"/>
      </a:accent3>
      <a:accent4>
        <a:srgbClr val="FCCF73"/>
      </a:accent4>
      <a:accent5>
        <a:srgbClr val="B9BE9A"/>
      </a:accent5>
      <a:accent6>
        <a:srgbClr val="F6F8FA"/>
      </a:accent6>
      <a:hlink>
        <a:srgbClr val="8661C1"/>
      </a:hlink>
      <a:folHlink>
        <a:srgbClr val="8661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1000"/>
  <sheetViews>
    <sheetView showGridLines="0" zoomScale="70" zoomScaleNormal="70" workbookViewId="0">
      <pane xSplit="4" ySplit="5" topLeftCell="E48" activePane="bottomRight" state="frozen"/>
      <selection pane="topRight" activeCell="E1" sqref="E1"/>
      <selection pane="bottomLeft" activeCell="A6" sqref="A6"/>
      <selection pane="bottomRight" activeCell="M13" sqref="M13"/>
    </sheetView>
  </sheetViews>
  <sheetFormatPr defaultColWidth="14.42578125" defaultRowHeight="15" customHeight="1" x14ac:dyDescent="0.2"/>
  <cols>
    <col min="1" max="1" width="1.7109375" style="1" customWidth="1"/>
    <col min="2" max="2" width="6.140625" style="1" customWidth="1"/>
    <col min="3" max="3" width="21.7109375" style="1" customWidth="1"/>
    <col min="4" max="4" width="19.42578125" style="1" bestFit="1" customWidth="1"/>
    <col min="5" max="17" width="12.85546875" style="1" customWidth="1"/>
    <col min="18" max="18" width="14.140625" style="1" customWidth="1"/>
    <col min="19" max="19" width="2" style="1" customWidth="1"/>
    <col min="20" max="33" width="8.85546875" style="1" customWidth="1"/>
    <col min="34" max="16384" width="14.42578125" style="1"/>
  </cols>
  <sheetData>
    <row r="1" spans="2:33" ht="13.5" customHeight="1" x14ac:dyDescent="0.2"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2:33" ht="49.5" customHeight="1" x14ac:dyDescent="0.2">
      <c r="B2" s="55"/>
      <c r="C2" s="41"/>
      <c r="D2" s="42"/>
      <c r="E2" s="66" t="s">
        <v>0</v>
      </c>
      <c r="F2" s="67"/>
      <c r="G2" s="67"/>
      <c r="H2" s="67"/>
      <c r="I2" s="67"/>
      <c r="J2" s="67"/>
      <c r="K2" s="67"/>
      <c r="L2" s="67"/>
      <c r="M2" s="68"/>
      <c r="N2" s="43"/>
      <c r="O2" s="43"/>
      <c r="P2" s="43"/>
      <c r="Q2" s="43"/>
      <c r="R2" s="44"/>
      <c r="S2" s="4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2:33" ht="18.75" customHeight="1" x14ac:dyDescent="0.2">
      <c r="B3" s="56"/>
      <c r="C3" s="45" t="s">
        <v>1</v>
      </c>
      <c r="D3" s="46">
        <v>45108</v>
      </c>
      <c r="E3" s="69"/>
      <c r="F3" s="70"/>
      <c r="G3" s="70"/>
      <c r="H3" s="70"/>
      <c r="I3" s="70"/>
      <c r="J3" s="70"/>
      <c r="K3" s="70"/>
      <c r="L3" s="70"/>
      <c r="M3" s="71"/>
      <c r="N3" s="47"/>
      <c r="O3" s="48"/>
      <c r="P3" s="49"/>
      <c r="Q3" s="49"/>
      <c r="R3" s="50"/>
      <c r="S3" s="4"/>
      <c r="T3" s="6" t="s">
        <v>2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2:33" ht="13.5" customHeight="1" x14ac:dyDescent="0.2">
      <c r="B4" s="57"/>
      <c r="C4" s="51"/>
      <c r="D4" s="52"/>
      <c r="E4" s="72"/>
      <c r="F4" s="73"/>
      <c r="G4" s="73"/>
      <c r="H4" s="73"/>
      <c r="I4" s="73"/>
      <c r="J4" s="73"/>
      <c r="K4" s="73"/>
      <c r="L4" s="73"/>
      <c r="M4" s="74"/>
      <c r="N4" s="53"/>
      <c r="O4" s="53"/>
      <c r="P4" s="53"/>
      <c r="Q4" s="53"/>
      <c r="R4" s="54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2:33" ht="22.5" customHeight="1" x14ac:dyDescent="0.2">
      <c r="B5" s="58" t="s">
        <v>3</v>
      </c>
      <c r="C5" s="59" t="s">
        <v>4</v>
      </c>
      <c r="D5" s="59" t="s">
        <v>5</v>
      </c>
      <c r="E5" s="60">
        <f>D3</f>
        <v>45108</v>
      </c>
      <c r="F5" s="60">
        <f t="shared" ref="F5:Q5" si="0">EDATE(E5,1)</f>
        <v>45139</v>
      </c>
      <c r="G5" s="60">
        <f t="shared" si="0"/>
        <v>45170</v>
      </c>
      <c r="H5" s="60">
        <f t="shared" si="0"/>
        <v>45200</v>
      </c>
      <c r="I5" s="60">
        <f t="shared" si="0"/>
        <v>45231</v>
      </c>
      <c r="J5" s="60">
        <f t="shared" si="0"/>
        <v>45261</v>
      </c>
      <c r="K5" s="60">
        <f t="shared" si="0"/>
        <v>45292</v>
      </c>
      <c r="L5" s="60">
        <f t="shared" si="0"/>
        <v>45323</v>
      </c>
      <c r="M5" s="60">
        <f t="shared" si="0"/>
        <v>45352</v>
      </c>
      <c r="N5" s="60">
        <f t="shared" si="0"/>
        <v>45383</v>
      </c>
      <c r="O5" s="60">
        <f t="shared" si="0"/>
        <v>45413</v>
      </c>
      <c r="P5" s="60">
        <f t="shared" si="0"/>
        <v>45444</v>
      </c>
      <c r="Q5" s="60">
        <f t="shared" si="0"/>
        <v>45474</v>
      </c>
      <c r="R5" s="61" t="s">
        <v>6</v>
      </c>
      <c r="T5" s="6" t="s">
        <v>7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2:33" ht="19.5" customHeight="1" x14ac:dyDescent="0.2">
      <c r="B6" s="7">
        <v>1</v>
      </c>
      <c r="C6" s="8" t="s">
        <v>8</v>
      </c>
      <c r="D6" s="9" t="s">
        <v>9</v>
      </c>
      <c r="E6" s="10">
        <f>7*16055</f>
        <v>112385</v>
      </c>
      <c r="F6" s="11">
        <f>12*16055</f>
        <v>192660</v>
      </c>
      <c r="G6" s="11">
        <f>5*16055</f>
        <v>80275</v>
      </c>
      <c r="H6" s="11">
        <f t="shared" ref="H6:I6" si="1">12*16055</f>
        <v>192660</v>
      </c>
      <c r="I6" s="11">
        <f t="shared" si="1"/>
        <v>192660</v>
      </c>
      <c r="J6" s="11">
        <f>5*16055</f>
        <v>80275</v>
      </c>
      <c r="K6" s="11">
        <f>7*16055</f>
        <v>112385</v>
      </c>
      <c r="L6" s="11">
        <f t="shared" ref="L6:M6" si="2">6*16055</f>
        <v>96330</v>
      </c>
      <c r="M6" s="11">
        <f t="shared" si="2"/>
        <v>96330</v>
      </c>
      <c r="N6" s="11">
        <f>7*16055</f>
        <v>112385</v>
      </c>
      <c r="O6" s="11">
        <f>12*16055</f>
        <v>192660</v>
      </c>
      <c r="P6" s="11">
        <f>5*16055</f>
        <v>80275</v>
      </c>
      <c r="Q6" s="12">
        <f>12*16055</f>
        <v>192660</v>
      </c>
      <c r="R6" s="13">
        <f t="shared" ref="R6:R46" si="3">SUM(E6:Q6)</f>
        <v>1733940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2:33" ht="19.5" customHeight="1" x14ac:dyDescent="0.2">
      <c r="B7" s="14"/>
      <c r="C7" s="15"/>
      <c r="D7" s="16" t="s">
        <v>10</v>
      </c>
      <c r="E7" s="17">
        <f>12*16055</f>
        <v>192660</v>
      </c>
      <c r="F7" s="18">
        <f>6*16055</f>
        <v>96330</v>
      </c>
      <c r="G7" s="18">
        <f>8*16055</f>
        <v>128440</v>
      </c>
      <c r="H7" s="18">
        <f>10*16055</f>
        <v>160550</v>
      </c>
      <c r="I7" s="18">
        <f>6*16055</f>
        <v>96330</v>
      </c>
      <c r="J7" s="18">
        <f>12*16055</f>
        <v>192660</v>
      </c>
      <c r="K7" s="18">
        <f t="shared" ref="K7:K8" si="4">5*16055</f>
        <v>80275</v>
      </c>
      <c r="L7" s="18">
        <f>4*16055</f>
        <v>64220</v>
      </c>
      <c r="M7" s="18">
        <f t="shared" ref="M7:N7" si="5">5*16055</f>
        <v>80275</v>
      </c>
      <c r="N7" s="18">
        <f t="shared" si="5"/>
        <v>80275</v>
      </c>
      <c r="O7" s="18">
        <f>6*16055</f>
        <v>96330</v>
      </c>
      <c r="P7" s="18">
        <f>8*16055</f>
        <v>128440</v>
      </c>
      <c r="Q7" s="19">
        <f>10*16055</f>
        <v>160550</v>
      </c>
      <c r="R7" s="20">
        <f t="shared" si="3"/>
        <v>1557335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2:33" ht="19.5" customHeight="1" x14ac:dyDescent="0.2">
      <c r="B8" s="14">
        <v>2</v>
      </c>
      <c r="C8" s="8" t="s">
        <v>8</v>
      </c>
      <c r="D8" s="9" t="s">
        <v>9</v>
      </c>
      <c r="E8" s="21">
        <f>10*16055</f>
        <v>160550</v>
      </c>
      <c r="F8" s="22">
        <f>4*16055</f>
        <v>64220</v>
      </c>
      <c r="G8" s="22">
        <f>14*16055</f>
        <v>224770</v>
      </c>
      <c r="H8" s="22">
        <f>6*16055</f>
        <v>96330</v>
      </c>
      <c r="I8" s="22">
        <f>4*16055</f>
        <v>64220</v>
      </c>
      <c r="J8" s="22">
        <f>10*16055</f>
        <v>160550</v>
      </c>
      <c r="K8" s="22">
        <f t="shared" si="4"/>
        <v>80275</v>
      </c>
      <c r="L8" s="22">
        <f>3*16055</f>
        <v>48165</v>
      </c>
      <c r="M8" s="22">
        <f>5*16055</f>
        <v>80275</v>
      </c>
      <c r="N8" s="22">
        <f>8*16055</f>
        <v>128440</v>
      </c>
      <c r="O8" s="22">
        <f>4*16055</f>
        <v>64220</v>
      </c>
      <c r="P8" s="22">
        <f>14*16055</f>
        <v>224770</v>
      </c>
      <c r="Q8" s="23">
        <f>6*16055</f>
        <v>96330</v>
      </c>
      <c r="R8" s="24">
        <f t="shared" si="3"/>
        <v>1493115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2:33" ht="19.5" customHeight="1" x14ac:dyDescent="0.2">
      <c r="B9" s="14"/>
      <c r="C9" s="15"/>
      <c r="D9" s="16" t="s">
        <v>10</v>
      </c>
      <c r="E9" s="17">
        <f>3*16055</f>
        <v>48165</v>
      </c>
      <c r="F9" s="18">
        <f>12*16055</f>
        <v>192660</v>
      </c>
      <c r="G9" s="18">
        <f>13*16055</f>
        <v>208715</v>
      </c>
      <c r="H9" s="18">
        <f t="shared" ref="H9:H10" si="6">4*16055</f>
        <v>64220</v>
      </c>
      <c r="I9" s="18">
        <f>12*16055</f>
        <v>192660</v>
      </c>
      <c r="J9" s="18">
        <f>7*16055</f>
        <v>112385</v>
      </c>
      <c r="K9" s="18">
        <f>17*16055</f>
        <v>272935</v>
      </c>
      <c r="L9" s="18">
        <f t="shared" ref="L9:L10" si="7">2*16055</f>
        <v>32110</v>
      </c>
      <c r="M9" s="18">
        <f>8*16055</f>
        <v>128440</v>
      </c>
      <c r="N9" s="18">
        <f t="shared" ref="N9:N10" si="8">10*16055</f>
        <v>160550</v>
      </c>
      <c r="O9" s="18">
        <f>12*16055</f>
        <v>192660</v>
      </c>
      <c r="P9" s="18">
        <f>13*16055</f>
        <v>208715</v>
      </c>
      <c r="Q9" s="19">
        <f t="shared" ref="Q9:Q10" si="9">4*16055</f>
        <v>64220</v>
      </c>
      <c r="R9" s="20">
        <f t="shared" si="3"/>
        <v>1878435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2:33" ht="19.5" customHeight="1" x14ac:dyDescent="0.2">
      <c r="B10" s="14">
        <v>3</v>
      </c>
      <c r="C10" s="8" t="s">
        <v>8</v>
      </c>
      <c r="D10" s="9" t="s">
        <v>9</v>
      </c>
      <c r="E10" s="21">
        <f>4*16055</f>
        <v>64220</v>
      </c>
      <c r="F10" s="22">
        <f>15*16055</f>
        <v>240825</v>
      </c>
      <c r="G10" s="22">
        <f>10*16055</f>
        <v>160550</v>
      </c>
      <c r="H10" s="22">
        <f t="shared" si="6"/>
        <v>64220</v>
      </c>
      <c r="I10" s="22">
        <f>15*16055</f>
        <v>240825</v>
      </c>
      <c r="J10" s="22">
        <f>2*16055</f>
        <v>32110</v>
      </c>
      <c r="K10" s="22">
        <f>20*16055</f>
        <v>321100</v>
      </c>
      <c r="L10" s="22">
        <f t="shared" si="7"/>
        <v>32110</v>
      </c>
      <c r="M10" s="22">
        <f>13*16055</f>
        <v>208715</v>
      </c>
      <c r="N10" s="22">
        <f t="shared" si="8"/>
        <v>160550</v>
      </c>
      <c r="O10" s="22">
        <f>15*16055</f>
        <v>240825</v>
      </c>
      <c r="P10" s="22">
        <f>10*16055</f>
        <v>160550</v>
      </c>
      <c r="Q10" s="23">
        <f t="shared" si="9"/>
        <v>64220</v>
      </c>
      <c r="R10" s="24">
        <f t="shared" si="3"/>
        <v>1990820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2:33" ht="19.5" customHeight="1" x14ac:dyDescent="0.2">
      <c r="B11" s="14"/>
      <c r="C11" s="15"/>
      <c r="D11" s="16" t="s">
        <v>10</v>
      </c>
      <c r="E11" s="17">
        <f t="shared" ref="E11:E12" si="10">10*16055</f>
        <v>160550</v>
      </c>
      <c r="F11" s="18">
        <f>12*16055</f>
        <v>192660</v>
      </c>
      <c r="G11" s="18">
        <f>5*16055</f>
        <v>80275</v>
      </c>
      <c r="H11" s="18">
        <f>8*16055</f>
        <v>128440</v>
      </c>
      <c r="I11" s="18">
        <f>12*16055</f>
        <v>192660</v>
      </c>
      <c r="J11" s="18">
        <f t="shared" ref="J11:K11" si="11">4*16055</f>
        <v>64220</v>
      </c>
      <c r="K11" s="18">
        <f t="shared" si="11"/>
        <v>64220</v>
      </c>
      <c r="L11" s="18">
        <f>10*16055</f>
        <v>160550</v>
      </c>
      <c r="M11" s="18">
        <f>17*16055</f>
        <v>272935</v>
      </c>
      <c r="N11" s="18">
        <f>7*16055</f>
        <v>112385</v>
      </c>
      <c r="O11" s="18">
        <f>12*16055</f>
        <v>192660</v>
      </c>
      <c r="P11" s="18">
        <f>5*16055</f>
        <v>80275</v>
      </c>
      <c r="Q11" s="19">
        <f>8*16055</f>
        <v>128440</v>
      </c>
      <c r="R11" s="20">
        <f t="shared" si="3"/>
        <v>1830270</v>
      </c>
      <c r="T11" s="2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2:33" ht="19.5" customHeight="1" x14ac:dyDescent="0.2">
      <c r="B12" s="14">
        <v>4</v>
      </c>
      <c r="C12" s="8" t="s">
        <v>8</v>
      </c>
      <c r="D12" s="9" t="s">
        <v>9</v>
      </c>
      <c r="E12" s="21">
        <f t="shared" si="10"/>
        <v>160550</v>
      </c>
      <c r="F12" s="22">
        <f>4*16055</f>
        <v>64220</v>
      </c>
      <c r="G12" s="22">
        <f>14*16055</f>
        <v>224770</v>
      </c>
      <c r="H12" s="22">
        <f>6*16055</f>
        <v>96330</v>
      </c>
      <c r="I12" s="22">
        <f>4*16055</f>
        <v>64220</v>
      </c>
      <c r="J12" s="22">
        <f>10*16055</f>
        <v>160550</v>
      </c>
      <c r="K12" s="22">
        <f>5*16055</f>
        <v>80275</v>
      </c>
      <c r="L12" s="22">
        <f>3*16055</f>
        <v>48165</v>
      </c>
      <c r="M12" s="22">
        <f>5*16055</f>
        <v>80275</v>
      </c>
      <c r="N12" s="22">
        <f>8*16055</f>
        <v>128440</v>
      </c>
      <c r="O12" s="22">
        <f>4*16055</f>
        <v>64220</v>
      </c>
      <c r="P12" s="22">
        <f>14*16055</f>
        <v>224770</v>
      </c>
      <c r="Q12" s="23">
        <f>6*16055</f>
        <v>96330</v>
      </c>
      <c r="R12" s="24">
        <f t="shared" si="3"/>
        <v>1493115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2:33" ht="19.5" customHeight="1" x14ac:dyDescent="0.2">
      <c r="B13" s="14"/>
      <c r="C13" s="15"/>
      <c r="D13" s="16" t="s">
        <v>10</v>
      </c>
      <c r="E13" s="17">
        <f>3*16055</f>
        <v>48165</v>
      </c>
      <c r="F13" s="18">
        <f>12*16055</f>
        <v>192660</v>
      </c>
      <c r="G13" s="18">
        <f>13*16055</f>
        <v>208715</v>
      </c>
      <c r="H13" s="18">
        <f t="shared" ref="H13:H14" si="12">4*16055</f>
        <v>64220</v>
      </c>
      <c r="I13" s="18">
        <f>12*16055</f>
        <v>192660</v>
      </c>
      <c r="J13" s="18">
        <f>7*16055</f>
        <v>112385</v>
      </c>
      <c r="K13" s="18">
        <f>17*16055</f>
        <v>272935</v>
      </c>
      <c r="L13" s="18">
        <f t="shared" ref="L13:L14" si="13">2*16055</f>
        <v>32110</v>
      </c>
      <c r="M13" s="18">
        <f>8*16055</f>
        <v>128440</v>
      </c>
      <c r="N13" s="18">
        <f t="shared" ref="N13:N14" si="14">10*16055</f>
        <v>160550</v>
      </c>
      <c r="O13" s="18">
        <f>12*16055</f>
        <v>192660</v>
      </c>
      <c r="P13" s="18">
        <f>13*16055</f>
        <v>208715</v>
      </c>
      <c r="Q13" s="19">
        <f t="shared" ref="Q13:Q14" si="15">4*16055</f>
        <v>64220</v>
      </c>
      <c r="R13" s="20">
        <f t="shared" si="3"/>
        <v>1878435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ht="19.5" customHeight="1" x14ac:dyDescent="0.2">
      <c r="B14" s="14">
        <v>5</v>
      </c>
      <c r="C14" s="8" t="s">
        <v>8</v>
      </c>
      <c r="D14" s="9" t="s">
        <v>9</v>
      </c>
      <c r="E14" s="21">
        <f>4*16055</f>
        <v>64220</v>
      </c>
      <c r="F14" s="22">
        <f>15*16055</f>
        <v>240825</v>
      </c>
      <c r="G14" s="22">
        <f>10*16055</f>
        <v>160550</v>
      </c>
      <c r="H14" s="22">
        <f t="shared" si="12"/>
        <v>64220</v>
      </c>
      <c r="I14" s="22">
        <f>15*16055</f>
        <v>240825</v>
      </c>
      <c r="J14" s="22">
        <f>2*16055</f>
        <v>32110</v>
      </c>
      <c r="K14" s="22">
        <f>20*16055</f>
        <v>321100</v>
      </c>
      <c r="L14" s="22">
        <f t="shared" si="13"/>
        <v>32110</v>
      </c>
      <c r="M14" s="22">
        <f>13*16055</f>
        <v>208715</v>
      </c>
      <c r="N14" s="22">
        <f t="shared" si="14"/>
        <v>160550</v>
      </c>
      <c r="O14" s="22">
        <f>15*16055</f>
        <v>240825</v>
      </c>
      <c r="P14" s="22">
        <f>10*16055</f>
        <v>160550</v>
      </c>
      <c r="Q14" s="23">
        <f t="shared" si="15"/>
        <v>64220</v>
      </c>
      <c r="R14" s="24">
        <f t="shared" si="3"/>
        <v>1990820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2:33" ht="19.5" customHeight="1" x14ac:dyDescent="0.2">
      <c r="B15" s="14"/>
      <c r="C15" s="15"/>
      <c r="D15" s="16" t="s">
        <v>10</v>
      </c>
      <c r="E15" s="17">
        <f t="shared" ref="E15:E16" si="16">10*16055</f>
        <v>160550</v>
      </c>
      <c r="F15" s="18">
        <f>12*16055</f>
        <v>192660</v>
      </c>
      <c r="G15" s="18">
        <f>5*16055</f>
        <v>80275</v>
      </c>
      <c r="H15" s="18">
        <f>8*16055</f>
        <v>128440</v>
      </c>
      <c r="I15" s="18">
        <f>12*16055</f>
        <v>192660</v>
      </c>
      <c r="J15" s="18">
        <f t="shared" ref="J15:K15" si="17">4*16055</f>
        <v>64220</v>
      </c>
      <c r="K15" s="18">
        <f t="shared" si="17"/>
        <v>64220</v>
      </c>
      <c r="L15" s="18">
        <f>10*16055</f>
        <v>160550</v>
      </c>
      <c r="M15" s="18">
        <f>17*16055</f>
        <v>272935</v>
      </c>
      <c r="N15" s="18">
        <f>7*16055</f>
        <v>112385</v>
      </c>
      <c r="O15" s="18">
        <f>12*16055</f>
        <v>192660</v>
      </c>
      <c r="P15" s="18">
        <f>5*16055</f>
        <v>80275</v>
      </c>
      <c r="Q15" s="19">
        <f>8*16055</f>
        <v>128440</v>
      </c>
      <c r="R15" s="20">
        <f t="shared" si="3"/>
        <v>1830270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2:33" ht="19.5" customHeight="1" x14ac:dyDescent="0.2">
      <c r="B16" s="14">
        <v>6</v>
      </c>
      <c r="C16" s="8" t="s">
        <v>8</v>
      </c>
      <c r="D16" s="9" t="s">
        <v>9</v>
      </c>
      <c r="E16" s="21">
        <f t="shared" si="16"/>
        <v>160550</v>
      </c>
      <c r="F16" s="22">
        <f>4*16055</f>
        <v>64220</v>
      </c>
      <c r="G16" s="22">
        <f>14*16055</f>
        <v>224770</v>
      </c>
      <c r="H16" s="22">
        <f>6*16055</f>
        <v>96330</v>
      </c>
      <c r="I16" s="22">
        <f>4*16055</f>
        <v>64220</v>
      </c>
      <c r="J16" s="22">
        <f>10*16055</f>
        <v>160550</v>
      </c>
      <c r="K16" s="22">
        <f>5*16055</f>
        <v>80275</v>
      </c>
      <c r="L16" s="22">
        <f>3*16055</f>
        <v>48165</v>
      </c>
      <c r="M16" s="22">
        <f>5*16055</f>
        <v>80275</v>
      </c>
      <c r="N16" s="22">
        <f>8*16055</f>
        <v>128440</v>
      </c>
      <c r="O16" s="22">
        <f>4*16055</f>
        <v>64220</v>
      </c>
      <c r="P16" s="22">
        <f>14*16055</f>
        <v>224770</v>
      </c>
      <c r="Q16" s="23">
        <f>6*16055</f>
        <v>96330</v>
      </c>
      <c r="R16" s="24">
        <f t="shared" si="3"/>
        <v>1493115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2:33" ht="19.5" customHeight="1" x14ac:dyDescent="0.2">
      <c r="B17" s="14"/>
      <c r="C17" s="15"/>
      <c r="D17" s="16" t="s">
        <v>10</v>
      </c>
      <c r="E17" s="17">
        <f>3*16055</f>
        <v>48165</v>
      </c>
      <c r="F17" s="18">
        <f>12*16055</f>
        <v>192660</v>
      </c>
      <c r="G17" s="18">
        <f>13*16055</f>
        <v>208715</v>
      </c>
      <c r="H17" s="18">
        <f>4*16055</f>
        <v>64220</v>
      </c>
      <c r="I17" s="18">
        <f>12*16055</f>
        <v>192660</v>
      </c>
      <c r="J17" s="18">
        <f>7*16055</f>
        <v>112385</v>
      </c>
      <c r="K17" s="18">
        <f>17*16055</f>
        <v>272935</v>
      </c>
      <c r="L17" s="18">
        <f>2*16055</f>
        <v>32110</v>
      </c>
      <c r="M17" s="18">
        <f>8*16055</f>
        <v>128440</v>
      </c>
      <c r="N17" s="18">
        <f>10*16055</f>
        <v>160550</v>
      </c>
      <c r="O17" s="18">
        <f>12*16055</f>
        <v>192660</v>
      </c>
      <c r="P17" s="18">
        <f>13*16055</f>
        <v>208715</v>
      </c>
      <c r="Q17" s="19">
        <f>4*16055</f>
        <v>64220</v>
      </c>
      <c r="R17" s="20">
        <f t="shared" si="3"/>
        <v>1878435</v>
      </c>
      <c r="T17" s="6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2:33" ht="19.5" customHeight="1" x14ac:dyDescent="0.2">
      <c r="B18" s="14">
        <v>7</v>
      </c>
      <c r="C18" s="8" t="s">
        <v>8</v>
      </c>
      <c r="D18" s="9" t="s">
        <v>9</v>
      </c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3"/>
      <c r="R18" s="24">
        <f t="shared" si="3"/>
        <v>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2:33" ht="19.5" customHeight="1" x14ac:dyDescent="0.2">
      <c r="B19" s="14"/>
      <c r="C19" s="15"/>
      <c r="D19" s="16" t="s">
        <v>10</v>
      </c>
      <c r="E19" s="1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  <c r="R19" s="20">
        <f t="shared" si="3"/>
        <v>0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2:33" ht="19.5" customHeight="1" x14ac:dyDescent="0.2">
      <c r="B20" s="14">
        <v>8</v>
      </c>
      <c r="C20" s="8" t="s">
        <v>8</v>
      </c>
      <c r="D20" s="9" t="s">
        <v>9</v>
      </c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3"/>
      <c r="R20" s="24">
        <f t="shared" si="3"/>
        <v>0</v>
      </c>
      <c r="T20" s="6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ht="19.5" customHeight="1" x14ac:dyDescent="0.2">
      <c r="B21" s="14"/>
      <c r="C21" s="15"/>
      <c r="D21" s="16" t="s">
        <v>10</v>
      </c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/>
      <c r="R21" s="20">
        <f t="shared" si="3"/>
        <v>0</v>
      </c>
      <c r="T21" s="6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2:33" ht="19.5" customHeight="1" x14ac:dyDescent="0.2">
      <c r="B22" s="14">
        <v>9</v>
      </c>
      <c r="C22" s="8" t="s">
        <v>8</v>
      </c>
      <c r="D22" s="9" t="s">
        <v>9</v>
      </c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3"/>
      <c r="R22" s="24">
        <f t="shared" si="3"/>
        <v>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2:33" ht="19.5" customHeight="1" x14ac:dyDescent="0.2">
      <c r="B23" s="14"/>
      <c r="C23" s="15"/>
      <c r="D23" s="16" t="s">
        <v>10</v>
      </c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20">
        <f t="shared" si="3"/>
        <v>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2:33" ht="19.5" customHeight="1" x14ac:dyDescent="0.2">
      <c r="B24" s="14">
        <v>10</v>
      </c>
      <c r="C24" s="8" t="s">
        <v>8</v>
      </c>
      <c r="D24" s="9" t="s">
        <v>9</v>
      </c>
      <c r="E24" s="2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3"/>
      <c r="R24" s="24">
        <f t="shared" si="3"/>
        <v>0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2:33" ht="19.5" customHeight="1" x14ac:dyDescent="0.2">
      <c r="B25" s="14"/>
      <c r="C25" s="15"/>
      <c r="D25" s="16" t="s">
        <v>10</v>
      </c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/>
      <c r="R25" s="20">
        <f t="shared" si="3"/>
        <v>0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2:33" ht="19.5" customHeight="1" x14ac:dyDescent="0.2">
      <c r="B26" s="14">
        <v>11</v>
      </c>
      <c r="C26" s="8" t="s">
        <v>8</v>
      </c>
      <c r="D26" s="9" t="s">
        <v>9</v>
      </c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3"/>
      <c r="R26" s="24">
        <f t="shared" si="3"/>
        <v>0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2:33" ht="19.5" customHeight="1" x14ac:dyDescent="0.2">
      <c r="B27" s="14"/>
      <c r="C27" s="15"/>
      <c r="D27" s="16" t="s">
        <v>10</v>
      </c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9"/>
      <c r="R27" s="20">
        <f t="shared" si="3"/>
        <v>0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2:33" ht="19.5" customHeight="1" x14ac:dyDescent="0.2">
      <c r="B28" s="14">
        <v>12</v>
      </c>
      <c r="C28" s="8" t="s">
        <v>8</v>
      </c>
      <c r="D28" s="9" t="s">
        <v>9</v>
      </c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3"/>
      <c r="R28" s="24">
        <f t="shared" si="3"/>
        <v>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2:33" ht="19.5" customHeight="1" x14ac:dyDescent="0.2">
      <c r="B29" s="14"/>
      <c r="C29" s="15"/>
      <c r="D29" s="16" t="s">
        <v>10</v>
      </c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9"/>
      <c r="R29" s="20">
        <f t="shared" si="3"/>
        <v>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2:33" ht="19.5" customHeight="1" x14ac:dyDescent="0.2">
      <c r="B30" s="14">
        <v>13</v>
      </c>
      <c r="C30" s="8" t="s">
        <v>8</v>
      </c>
      <c r="D30" s="9" t="s">
        <v>9</v>
      </c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/>
      <c r="R30" s="24">
        <f t="shared" si="3"/>
        <v>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2:33" ht="19.5" customHeight="1" x14ac:dyDescent="0.2">
      <c r="B31" s="14"/>
      <c r="C31" s="15"/>
      <c r="D31" s="16" t="s">
        <v>10</v>
      </c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/>
      <c r="R31" s="20">
        <f t="shared" si="3"/>
        <v>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2:33" ht="19.5" customHeight="1" x14ac:dyDescent="0.2">
      <c r="B32" s="14">
        <v>14</v>
      </c>
      <c r="C32" s="8" t="s">
        <v>8</v>
      </c>
      <c r="D32" s="9" t="s">
        <v>9</v>
      </c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/>
      <c r="R32" s="24">
        <f t="shared" si="3"/>
        <v>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2:33" ht="19.5" customHeight="1" x14ac:dyDescent="0.2">
      <c r="B33" s="14"/>
      <c r="C33" s="15"/>
      <c r="D33" s="16" t="s">
        <v>10</v>
      </c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9"/>
      <c r="R33" s="20">
        <f t="shared" si="3"/>
        <v>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2:33" ht="19.5" customHeight="1" x14ac:dyDescent="0.2">
      <c r="B34" s="14">
        <v>15</v>
      </c>
      <c r="C34" s="8" t="s">
        <v>8</v>
      </c>
      <c r="D34" s="9" t="s">
        <v>9</v>
      </c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/>
      <c r="R34" s="24">
        <f t="shared" si="3"/>
        <v>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2:33" ht="19.5" customHeight="1" x14ac:dyDescent="0.2">
      <c r="B35" s="14"/>
      <c r="C35" s="15"/>
      <c r="D35" s="16" t="s">
        <v>10</v>
      </c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  <c r="R35" s="20">
        <f t="shared" si="3"/>
        <v>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2:33" ht="19.5" customHeight="1" x14ac:dyDescent="0.2">
      <c r="B36" s="14">
        <v>16</v>
      </c>
      <c r="C36" s="8" t="s">
        <v>8</v>
      </c>
      <c r="D36" s="9" t="s">
        <v>9</v>
      </c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3"/>
      <c r="R36" s="24">
        <f t="shared" si="3"/>
        <v>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2:33" ht="19.5" customHeight="1" x14ac:dyDescent="0.2">
      <c r="B37" s="14"/>
      <c r="C37" s="15"/>
      <c r="D37" s="16" t="s">
        <v>10</v>
      </c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/>
      <c r="R37" s="20">
        <f t="shared" si="3"/>
        <v>0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2:33" ht="19.5" customHeight="1" x14ac:dyDescent="0.2">
      <c r="B38" s="14">
        <v>17</v>
      </c>
      <c r="C38" s="8" t="s">
        <v>8</v>
      </c>
      <c r="D38" s="9" t="s">
        <v>9</v>
      </c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3"/>
      <c r="R38" s="24">
        <f t="shared" si="3"/>
        <v>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2:33" ht="19.5" customHeight="1" x14ac:dyDescent="0.2">
      <c r="B39" s="14"/>
      <c r="C39" s="15"/>
      <c r="D39" s="16" t="s">
        <v>10</v>
      </c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9"/>
      <c r="R39" s="20">
        <f t="shared" si="3"/>
        <v>0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2:33" ht="19.5" customHeight="1" x14ac:dyDescent="0.2">
      <c r="B40" s="14">
        <v>18</v>
      </c>
      <c r="C40" s="8" t="s">
        <v>8</v>
      </c>
      <c r="D40" s="9" t="s">
        <v>9</v>
      </c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3"/>
      <c r="R40" s="24">
        <f t="shared" si="3"/>
        <v>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2:33" ht="19.5" customHeight="1" x14ac:dyDescent="0.2">
      <c r="B41" s="14"/>
      <c r="C41" s="15"/>
      <c r="D41" s="16" t="s">
        <v>10</v>
      </c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9"/>
      <c r="R41" s="20">
        <f t="shared" si="3"/>
        <v>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2:33" ht="19.5" customHeight="1" x14ac:dyDescent="0.2">
      <c r="B42" s="14">
        <v>19</v>
      </c>
      <c r="C42" s="8" t="s">
        <v>8</v>
      </c>
      <c r="D42" s="9" t="s">
        <v>9</v>
      </c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3"/>
      <c r="R42" s="24">
        <f t="shared" si="3"/>
        <v>0</v>
      </c>
      <c r="T42" s="6" t="s">
        <v>11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2:33" ht="19.5" customHeight="1" x14ac:dyDescent="0.2">
      <c r="B43" s="14"/>
      <c r="C43" s="15"/>
      <c r="D43" s="16" t="s">
        <v>10</v>
      </c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9"/>
      <c r="R43" s="20">
        <f t="shared" si="3"/>
        <v>0</v>
      </c>
      <c r="T43" s="6" t="s">
        <v>12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2:33" ht="19.5" customHeight="1" x14ac:dyDescent="0.2">
      <c r="B44" s="14">
        <v>20</v>
      </c>
      <c r="C44" s="8" t="s">
        <v>8</v>
      </c>
      <c r="D44" s="9" t="s">
        <v>9</v>
      </c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3"/>
      <c r="R44" s="24">
        <f t="shared" si="3"/>
        <v>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2:33" ht="19.5" customHeight="1" x14ac:dyDescent="0.2">
      <c r="B45" s="26"/>
      <c r="C45" s="15"/>
      <c r="D45" s="16" t="s">
        <v>10</v>
      </c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9"/>
      <c r="R45" s="27">
        <f t="shared" si="3"/>
        <v>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2:33" ht="19.5" customHeight="1" x14ac:dyDescent="0.2">
      <c r="B46" s="28"/>
      <c r="C46" s="29" t="s">
        <v>13</v>
      </c>
      <c r="D46" s="30" t="s">
        <v>9</v>
      </c>
      <c r="E46" s="31">
        <f t="array" ref="E46">SUM(E6:E45*(MOD(ROW(E6:E45),2)=0))</f>
        <v>722475</v>
      </c>
      <c r="F46" s="31">
        <f t="array" ref="F46">SUM(F6:F45*(MOD(ROW(F6:F45),2)=0))</f>
        <v>866970</v>
      </c>
      <c r="G46" s="31">
        <f t="array" ref="G46">SUM(G6:G45*(MOD(ROW(G6:G45),2)=0))</f>
        <v>1075685</v>
      </c>
      <c r="H46" s="31">
        <f t="array" ref="H46">SUM(H6:H45*(MOD(ROW(H6:H45),2)=0))</f>
        <v>610090</v>
      </c>
      <c r="I46" s="31">
        <f t="array" ref="I46">SUM(I6:I45*(MOD(ROW(I6:I45),2)=0))</f>
        <v>866970</v>
      </c>
      <c r="J46" s="31">
        <f t="array" ref="J46">SUM(J6:J45*(MOD(ROW(J6:J45),2)=0))</f>
        <v>626145</v>
      </c>
      <c r="K46" s="31">
        <f t="array" ref="K46">SUM(K6:K45*(MOD(ROW(K6:K45),2)=0))</f>
        <v>995410</v>
      </c>
      <c r="L46" s="31">
        <f t="array" ref="L46">SUM(L6:L45*(MOD(ROW(L6:L45),2)=0))</f>
        <v>305045</v>
      </c>
      <c r="M46" s="31">
        <f t="array" ref="M46">SUM(M6:M45*(MOD(ROW(M6:M45),2)=0))</f>
        <v>754585</v>
      </c>
      <c r="N46" s="31">
        <f t="array" ref="N46">SUM(N6:N45*(MOD(ROW(N6:N45),2)=0))</f>
        <v>818805</v>
      </c>
      <c r="O46" s="31">
        <f t="array" ref="O46">SUM(O6:O45*(MOD(ROW(O6:O45),2)=0))</f>
        <v>866970</v>
      </c>
      <c r="P46" s="31">
        <f t="array" ref="P46">SUM(P6:P45*(MOD(ROW(P6:P45),2)=0))</f>
        <v>1075685</v>
      </c>
      <c r="Q46" s="31">
        <f t="array" ref="Q46">SUM(Q6:Q45*(MOD(ROW(Q6:Q45),2)=0))</f>
        <v>610090</v>
      </c>
      <c r="R46" s="32">
        <f t="shared" si="3"/>
        <v>10194925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2:33" ht="19.5" customHeight="1" x14ac:dyDescent="0.2">
      <c r="B47" s="33"/>
      <c r="C47" s="34" t="s">
        <v>14</v>
      </c>
      <c r="D47" s="35" t="s">
        <v>9</v>
      </c>
      <c r="E47" s="36">
        <f>E46</f>
        <v>722475</v>
      </c>
      <c r="F47" s="36">
        <f>E47+F46</f>
        <v>1589445</v>
      </c>
      <c r="G47" s="36">
        <f>SUM(E47:F47)+G46</f>
        <v>3387605</v>
      </c>
      <c r="H47" s="36">
        <f>SUM(E47:G47)+H46</f>
        <v>6309615</v>
      </c>
      <c r="I47" s="36">
        <f>SUM(E47:H47)+I46</f>
        <v>12876110</v>
      </c>
      <c r="J47" s="36">
        <f>SUM(E47:I47)+J46</f>
        <v>25511395</v>
      </c>
      <c r="K47" s="36">
        <f>SUM(E47:J47)+K46</f>
        <v>51392055</v>
      </c>
      <c r="L47" s="36">
        <f>SUM(E47:K47)+L46</f>
        <v>102093745</v>
      </c>
      <c r="M47" s="36">
        <f>SUM(E47:L47)+M46</f>
        <v>204637030</v>
      </c>
      <c r="N47" s="36">
        <f>SUM(E47:M47)+N46</f>
        <v>409338280</v>
      </c>
      <c r="O47" s="36">
        <f>SUM(E47:N47)+O46</f>
        <v>818724725</v>
      </c>
      <c r="P47" s="36">
        <f>SUM(E47:O47)+P46</f>
        <v>1637658165</v>
      </c>
      <c r="Q47" s="36">
        <f>SUM(E47:P47)+Q46</f>
        <v>3274850735</v>
      </c>
      <c r="R47" s="32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2:33" ht="19.5" customHeight="1" x14ac:dyDescent="0.2">
      <c r="B48" s="33"/>
      <c r="C48" s="34" t="s">
        <v>15</v>
      </c>
      <c r="D48" s="35" t="s">
        <v>10</v>
      </c>
      <c r="E48" s="62">
        <f t="array" ref="E48">SUM(E6:E45*(MOD(ROW(E6:E45),2)=1))</f>
        <v>658255</v>
      </c>
      <c r="F48" s="62">
        <f t="array" ref="F48">SUM(F6:F45*(MOD(ROW(F6:F45),2)=1))</f>
        <v>1059630</v>
      </c>
      <c r="G48" s="62">
        <f t="array" ref="G48">SUM(G6:G45*(MOD(ROW(G6:G45),2)=1))</f>
        <v>915135</v>
      </c>
      <c r="H48" s="62">
        <f t="array" ref="H48">SUM(H6:H45*(MOD(ROW(H6:H45),2)=1))</f>
        <v>610090</v>
      </c>
      <c r="I48" s="62">
        <f t="array" ref="I48">SUM(I6:I45*(MOD(ROW(I6:I45),2)=1))</f>
        <v>1059630</v>
      </c>
      <c r="J48" s="62">
        <f t="array" ref="J48">SUM(J6:J45*(MOD(ROW(J6:J45),2)=1))</f>
        <v>658255</v>
      </c>
      <c r="K48" s="62">
        <f t="array" ref="K48">SUM(K6:K45*(MOD(ROW(K6:K45),2)=1))</f>
        <v>1027520</v>
      </c>
      <c r="L48" s="62">
        <f t="array" ref="L48">SUM(L6:L45*(MOD(ROW(L6:L45),2)=1))</f>
        <v>481650</v>
      </c>
      <c r="M48" s="62">
        <f t="array" ref="M48">SUM(M6:M45*(MOD(ROW(M6:M45),2)=1))</f>
        <v>1011465</v>
      </c>
      <c r="N48" s="62">
        <f t="array" ref="N48">SUM(N6:N45*(MOD(ROW(N6:N45),2)=1))</f>
        <v>786695</v>
      </c>
      <c r="O48" s="62">
        <f t="array" ref="O48">SUM(O6:O45*(MOD(ROW(O6:O45),2)=1))</f>
        <v>1059630</v>
      </c>
      <c r="P48" s="62">
        <f t="array" ref="P48">SUM(P6:P45*(MOD(ROW(P6:P45),2)=1))</f>
        <v>915135</v>
      </c>
      <c r="Q48" s="62">
        <f t="array" ref="Q48">SUM(Q6:Q45*(MOD(ROW(Q6:Q45),2)=1))</f>
        <v>610090</v>
      </c>
      <c r="R48" s="63">
        <f>SUM(E48:Q48)</f>
        <v>10853180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2:33" ht="19.5" customHeight="1" x14ac:dyDescent="0.2">
      <c r="B49" s="37"/>
      <c r="C49" s="38" t="s">
        <v>16</v>
      </c>
      <c r="D49" s="39" t="s">
        <v>10</v>
      </c>
      <c r="E49" s="64">
        <f>E48</f>
        <v>658255</v>
      </c>
      <c r="F49" s="64">
        <f>E49+F48</f>
        <v>1717885</v>
      </c>
      <c r="G49" s="64">
        <f>SUM(E49:F49)+G48</f>
        <v>3291275</v>
      </c>
      <c r="H49" s="64">
        <f>SUM(E49:G49)+H48</f>
        <v>6277505</v>
      </c>
      <c r="I49" s="64">
        <f>SUM(E49:H49)+I48</f>
        <v>13004550</v>
      </c>
      <c r="J49" s="64">
        <f>SUM(E49:I49)+J48</f>
        <v>25607725</v>
      </c>
      <c r="K49" s="64">
        <f>SUM(E49:J49)+K48</f>
        <v>51584715</v>
      </c>
      <c r="L49" s="64">
        <f>SUM(E49:K49)+L48</f>
        <v>102623560</v>
      </c>
      <c r="M49" s="64">
        <f>SUM(E49:L49)+M48</f>
        <v>205776935</v>
      </c>
      <c r="N49" s="64">
        <f>SUM(E49:M49)+N48</f>
        <v>411329100</v>
      </c>
      <c r="O49" s="64">
        <f>SUM(E49:N49)+O48</f>
        <v>822931135</v>
      </c>
      <c r="P49" s="64">
        <f>SUM(E49:O49)+P48</f>
        <v>1645717775</v>
      </c>
      <c r="Q49" s="64">
        <f>SUM(E49:P49)+Q48</f>
        <v>3291130505</v>
      </c>
      <c r="R49" s="6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2:33" ht="13.5" customHeight="1" x14ac:dyDescent="0.2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</row>
    <row r="51" spans="2:33" ht="13.5" customHeight="1" x14ac:dyDescent="0.2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</row>
    <row r="52" spans="2:33" ht="13.5" customHeight="1" x14ac:dyDescent="0.2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</row>
    <row r="53" spans="2:33" ht="13.5" customHeight="1" x14ac:dyDescent="0.2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</row>
    <row r="54" spans="2:33" ht="13.5" customHeight="1" x14ac:dyDescent="0.2"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</row>
    <row r="55" spans="2:33" ht="13.5" customHeight="1" x14ac:dyDescent="0.2"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</row>
    <row r="56" spans="2:33" ht="13.5" customHeight="1" x14ac:dyDescent="0.2"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</row>
    <row r="57" spans="2:33" ht="13.5" customHeight="1" x14ac:dyDescent="0.2"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</row>
    <row r="58" spans="2:33" ht="13.5" customHeight="1" x14ac:dyDescent="0.2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</row>
    <row r="59" spans="2:33" ht="13.5" customHeight="1" x14ac:dyDescent="0.2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</row>
    <row r="60" spans="2:33" ht="13.5" customHeight="1" x14ac:dyDescent="0.2"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</row>
    <row r="61" spans="2:33" ht="13.5" customHeight="1" x14ac:dyDescent="0.2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</row>
    <row r="62" spans="2:33" ht="13.5" customHeight="1" x14ac:dyDescent="0.2"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</row>
    <row r="63" spans="2:33" ht="13.5" customHeight="1" x14ac:dyDescent="0.2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</row>
    <row r="64" spans="2:33" ht="13.5" customHeight="1" x14ac:dyDescent="0.2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</row>
    <row r="65" spans="2:18" ht="13.5" customHeight="1" x14ac:dyDescent="0.2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</row>
    <row r="66" spans="2:18" ht="13.5" customHeight="1" x14ac:dyDescent="0.2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</row>
    <row r="67" spans="2:18" ht="13.5" customHeight="1" x14ac:dyDescent="0.2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</row>
    <row r="68" spans="2:18" ht="13.5" customHeight="1" x14ac:dyDescent="0.2"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</row>
    <row r="69" spans="2:18" ht="13.5" customHeight="1" x14ac:dyDescent="0.2"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</row>
    <row r="70" spans="2:18" ht="13.5" customHeight="1" x14ac:dyDescent="0.2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</row>
    <row r="71" spans="2:18" ht="13.5" customHeight="1" x14ac:dyDescent="0.2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</row>
    <row r="72" spans="2:18" ht="13.5" customHeight="1" x14ac:dyDescent="0.2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</row>
    <row r="73" spans="2:18" ht="13.5" customHeight="1" x14ac:dyDescent="0.2"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</row>
    <row r="74" spans="2:18" ht="13.5" customHeight="1" x14ac:dyDescent="0.2"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</row>
    <row r="75" spans="2:18" ht="13.5" customHeight="1" x14ac:dyDescent="0.2"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</row>
    <row r="76" spans="2:18" ht="13.5" customHeight="1" x14ac:dyDescent="0.2"/>
    <row r="77" spans="2:18" ht="13.5" customHeight="1" x14ac:dyDescent="0.2"/>
    <row r="78" spans="2:18" ht="13.5" customHeight="1" x14ac:dyDescent="0.2"/>
    <row r="79" spans="2:18" ht="13.5" customHeight="1" x14ac:dyDescent="0.2"/>
    <row r="80" spans="2:18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autoFilter ref="B5:D49" xr:uid="{00000000-0009-0000-0000-000000000000}"/>
  <mergeCells count="1">
    <mergeCell ref="E2:M4"/>
  </mergeCells>
  <conditionalFormatting sqref="E7:Q7">
    <cfRule type="cellIs" dxfId="15" priority="1" operator="lessThan">
      <formula>E6</formula>
    </cfRule>
    <cfRule type="cellIs" dxfId="14" priority="2" operator="greaterThan">
      <formula>E6</formula>
    </cfRule>
  </conditionalFormatting>
  <conditionalFormatting sqref="E9:Q9">
    <cfRule type="cellIs" dxfId="13" priority="3" operator="lessThan">
      <formula>E$8</formula>
    </cfRule>
    <cfRule type="cellIs" dxfId="12" priority="4" operator="greaterThan">
      <formula>E$8</formula>
    </cfRule>
  </conditionalFormatting>
  <conditionalFormatting sqref="E11:Q11">
    <cfRule type="cellIs" dxfId="11" priority="5" operator="lessThan">
      <formula>E10</formula>
    </cfRule>
    <cfRule type="cellIs" dxfId="10" priority="6" operator="greaterThan">
      <formula>E10</formula>
    </cfRule>
  </conditionalFormatting>
  <conditionalFormatting sqref="E13:Q13">
    <cfRule type="cellIs" dxfId="9" priority="7" operator="lessThan">
      <formula>E$8</formula>
    </cfRule>
    <cfRule type="cellIs" dxfId="8" priority="8" operator="greaterThan">
      <formula>E$8</formula>
    </cfRule>
  </conditionalFormatting>
  <conditionalFormatting sqref="E15:Q15">
    <cfRule type="cellIs" dxfId="7" priority="9" operator="lessThan">
      <formula>E14</formula>
    </cfRule>
    <cfRule type="cellIs" dxfId="6" priority="10" operator="greaterThan">
      <formula>E14</formula>
    </cfRule>
  </conditionalFormatting>
  <conditionalFormatting sqref="E17:Q17">
    <cfRule type="cellIs" dxfId="5" priority="11" operator="lessThan">
      <formula>E$8</formula>
    </cfRule>
    <cfRule type="cellIs" dxfId="4" priority="12" operator="greaterThan">
      <formula>E$8</formula>
    </cfRule>
  </conditionalFormatting>
  <conditionalFormatting sqref="E19:Q19 E21:Q21 E23:Q23 E25:Q25 E27:Q27 E29:Q29 E31:Q31 E33:Q33 E35:Q35 E37:Q37 E39:Q39 E41:Q41 E43:Q43 E45:Q45">
    <cfRule type="cellIs" dxfId="3" priority="15" operator="lessThan">
      <formula>E18</formula>
    </cfRule>
    <cfRule type="cellIs" dxfId="2" priority="16" operator="greaterThan">
      <formula>E18</formula>
    </cfRule>
  </conditionalFormatting>
  <conditionalFormatting sqref="E49:Q49">
    <cfRule type="expression" dxfId="1" priority="14">
      <formula>ISERROR(E49)</formula>
    </cfRule>
  </conditionalFormatting>
  <conditionalFormatting sqref="F47:Q47">
    <cfRule type="expression" dxfId="0" priority="13">
      <formula>ISERROR(F47)</formula>
    </cfRule>
  </conditionalFormatting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showGridLines="0" tabSelected="1" workbookViewId="0">
      <selection activeCell="O11" sqref="O11"/>
    </sheetView>
  </sheetViews>
  <sheetFormatPr defaultColWidth="14.42578125" defaultRowHeight="15" customHeight="1" x14ac:dyDescent="0.25"/>
  <cols>
    <col min="1" max="26" width="8.855468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vs Actual - List</vt:lpstr>
      <vt:lpstr>Budget vs Actual -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ihsan nur rahman</cp:lastModifiedBy>
  <dcterms:modified xsi:type="dcterms:W3CDTF">2024-06-20T05:05:38Z</dcterms:modified>
</cp:coreProperties>
</file>