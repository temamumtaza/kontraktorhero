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1B9ACB16-8544-410B-9E8B-AC65CE0EC716}" xr6:coauthVersionLast="47" xr6:coauthVersionMax="47" xr10:uidLastSave="{00000000-0000-0000-0000-000000000000}"/>
  <bookViews>
    <workbookView xWindow="-120" yWindow="-120" windowWidth="20730" windowHeight="11760" tabRatio="979" xr2:uid="{00000000-000D-0000-FFFF-FFFF00000000}"/>
  </bookViews>
  <sheets>
    <sheet name="Sample" sheetId="10" r:id="rId1"/>
    <sheet name="Finders Fee" sheetId="4" state="hidden" r:id="rId2"/>
  </sheets>
  <definedNames>
    <definedName name="_xlnm.Print_Area" localSheetId="0">Sample!$A$1:$M$44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G6" i="4"/>
  <c r="H6" i="4" s="1"/>
  <c r="A7" i="4"/>
  <c r="J17" i="10" l="1"/>
  <c r="J18" i="10" s="1"/>
  <c r="J19" i="10" s="1"/>
  <c r="H8" i="4"/>
  <c r="G8" i="4"/>
</calcChain>
</file>

<file path=xl/sharedStrings.xml><?xml version="1.0" encoding="utf-8"?>
<sst xmlns="http://schemas.openxmlformats.org/spreadsheetml/2006/main" count="48" uniqueCount="44">
  <si>
    <t>SPERTON PAKISTAN (PRIVATE) LIMITED</t>
  </si>
  <si>
    <t>For the month of December 2020</t>
  </si>
  <si>
    <t>S.No.</t>
  </si>
  <si>
    <t>Emp. Num.</t>
  </si>
  <si>
    <t>Employee Name</t>
  </si>
  <si>
    <t>Designation</t>
  </si>
  <si>
    <t>DOJ</t>
  </si>
  <si>
    <t>Montly Salary</t>
  </si>
  <si>
    <t>SP00005</t>
  </si>
  <si>
    <t>Zohaib Farooq</t>
  </si>
  <si>
    <t>Project Manager HV</t>
  </si>
  <si>
    <t>SP00006</t>
  </si>
  <si>
    <t>Muhammad Yousaf Malik</t>
  </si>
  <si>
    <t>Project Manager</t>
  </si>
  <si>
    <t>Total</t>
  </si>
  <si>
    <t>Finders Fee</t>
  </si>
  <si>
    <t>Net Payable</t>
  </si>
  <si>
    <t>A/C Title</t>
  </si>
  <si>
    <t>Account #</t>
  </si>
  <si>
    <t>Bank</t>
  </si>
  <si>
    <t>Branch</t>
  </si>
  <si>
    <t>Faysal Bank Ltd</t>
  </si>
  <si>
    <t>IBAN #</t>
  </si>
  <si>
    <t>For and on behalf of</t>
  </si>
  <si>
    <t xml:space="preserve">NTN: </t>
  </si>
  <si>
    <t xml:space="preserve">STRN: </t>
  </si>
  <si>
    <t>ABC Limited</t>
  </si>
  <si>
    <t>ABC Ltd</t>
  </si>
  <si>
    <t>Fee under Agreement dated between ABC Ltd and Other</t>
  </si>
  <si>
    <t>KEPALA SURAT</t>
  </si>
  <si>
    <t>Alamat Kantor Terdaftar:</t>
  </si>
  <si>
    <t>Faktur Pajak Penjualan</t>
  </si>
  <si>
    <t>Tanggal Faktur</t>
  </si>
  <si>
    <t>Nomor Faktur</t>
  </si>
  <si>
    <t>PEMBAYARAN KEPADA</t>
  </si>
  <si>
    <t>Nama Kustomer</t>
  </si>
  <si>
    <t>Alamat ;</t>
  </si>
  <si>
    <t>Deskripsi</t>
  </si>
  <si>
    <t>JUMLAH - PKR</t>
  </si>
  <si>
    <t>Biaya tidak termasuk Pajak Penjualan</t>
  </si>
  <si>
    <t>Pajak Penjualan @ 16% berdasarkan Undang-Undang Pajak Penjualan Sindh</t>
  </si>
  <si>
    <t>Biaya termasuk Pajak Penjualan</t>
  </si>
  <si>
    <t>Detail Pembayaran</t>
  </si>
  <si>
    <t>Penandatangan yang 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</si>
</sst>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24"/>
      <color theme="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59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65" fontId="4" fillId="0" borderId="0" xfId="1" applyNumberFormat="1" applyFont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5" fontId="7" fillId="0" borderId="3" xfId="0" applyNumberFormat="1" applyFont="1" applyBorder="1" applyAlignment="1">
      <alignment horizontal="center" vertical="center"/>
    </xf>
    <xf numFmtId="165" fontId="7" fillId="0" borderId="3" xfId="1" applyNumberFormat="1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15" fontId="7" fillId="0" borderId="6" xfId="0" applyNumberFormat="1" applyFont="1" applyBorder="1" applyAlignment="1">
      <alignment horizontal="center" vertical="center"/>
    </xf>
    <xf numFmtId="165" fontId="7" fillId="0" borderId="6" xfId="1" applyNumberFormat="1" applyFont="1" applyBorder="1" applyAlignment="1">
      <alignment vertical="center"/>
    </xf>
    <xf numFmtId="165" fontId="6" fillId="0" borderId="8" xfId="0" applyNumberFormat="1" applyFont="1" applyBorder="1" applyAlignment="1">
      <alignment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165" fontId="0" fillId="0" borderId="3" xfId="1" applyNumberFormat="1" applyFont="1" applyBorder="1"/>
    <xf numFmtId="165" fontId="0" fillId="0" borderId="4" xfId="0" applyNumberFormat="1" applyBorder="1"/>
    <xf numFmtId="165" fontId="0" fillId="0" borderId="6" xfId="1" applyNumberFormat="1" applyFont="1" applyBorder="1"/>
    <xf numFmtId="0" fontId="0" fillId="0" borderId="7" xfId="0" applyBorder="1"/>
    <xf numFmtId="0" fontId="6" fillId="0" borderId="8" xfId="0" applyFont="1" applyBorder="1" applyAlignment="1">
      <alignment horizontal="center" vertical="center"/>
    </xf>
    <xf numFmtId="0" fontId="7" fillId="0" borderId="0" xfId="0" applyFont="1"/>
    <xf numFmtId="0" fontId="10" fillId="4" borderId="0" xfId="0" applyFont="1" applyFill="1" applyAlignment="1">
      <alignment vertical="center"/>
    </xf>
    <xf numFmtId="0" fontId="7" fillId="4" borderId="0" xfId="0" applyFont="1" applyFill="1" applyAlignment="1" applyProtection="1">
      <alignment vertical="top"/>
      <protection locked="0"/>
    </xf>
    <xf numFmtId="0" fontId="7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6" fillId="0" borderId="0" xfId="3" applyFont="1" applyAlignment="1" applyProtection="1">
      <alignment horizontal="left"/>
    </xf>
    <xf numFmtId="0" fontId="7" fillId="4" borderId="0" xfId="0" applyFont="1" applyFill="1" applyAlignment="1">
      <alignment horizontal="left" vertical="top"/>
    </xf>
    <xf numFmtId="0" fontId="7" fillId="4" borderId="17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0" fontId="7" fillId="4" borderId="26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left" vertical="center" wrapText="1" indent="1"/>
      <protection locked="0"/>
    </xf>
    <xf numFmtId="165" fontId="7" fillId="0" borderId="0" xfId="0" applyNumberFormat="1" applyFont="1" applyAlignment="1">
      <alignment vertical="center"/>
    </xf>
    <xf numFmtId="0" fontId="11" fillId="5" borderId="26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165" fontId="6" fillId="5" borderId="1" xfId="1" applyNumberFormat="1" applyFont="1" applyFill="1" applyBorder="1" applyAlignment="1">
      <alignment horizontal="center" vertical="center"/>
    </xf>
    <xf numFmtId="165" fontId="6" fillId="5" borderId="18" xfId="1" applyNumberFormat="1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right" vertical="center"/>
    </xf>
    <xf numFmtId="0" fontId="11" fillId="5" borderId="22" xfId="0" applyFont="1" applyFill="1" applyBorder="1" applyAlignment="1">
      <alignment horizontal="right" vertical="center"/>
    </xf>
    <xf numFmtId="165" fontId="6" fillId="5" borderId="22" xfId="1" applyNumberFormat="1" applyFont="1" applyFill="1" applyBorder="1" applyAlignment="1">
      <alignment horizontal="center" vertical="center"/>
    </xf>
    <xf numFmtId="165" fontId="6" fillId="5" borderId="23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12" fillId="4" borderId="17" xfId="0" applyFont="1" applyFill="1" applyBorder="1" applyAlignment="1">
      <alignment horizontal="right" vertical="center"/>
    </xf>
    <xf numFmtId="0" fontId="12" fillId="4" borderId="13" xfId="0" applyFont="1" applyFill="1" applyBorder="1" applyAlignment="1">
      <alignment horizontal="right" vertical="center"/>
    </xf>
    <xf numFmtId="0" fontId="12" fillId="4" borderId="19" xfId="0" applyFont="1" applyFill="1" applyBorder="1" applyAlignment="1">
      <alignment horizontal="right" vertical="center"/>
    </xf>
    <xf numFmtId="0" fontId="12" fillId="4" borderId="21" xfId="0" applyFont="1" applyFill="1" applyBorder="1" applyAlignment="1">
      <alignment horizontal="right" vertical="center"/>
    </xf>
    <xf numFmtId="0" fontId="7" fillId="4" borderId="0" xfId="0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6" fillId="4" borderId="0" xfId="2" applyFont="1" applyFill="1" applyAlignment="1">
      <alignment horizontal="center" vertical="center"/>
    </xf>
    <xf numFmtId="0" fontId="6" fillId="4" borderId="11" xfId="2" applyFont="1" applyFill="1" applyBorder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13" fillId="6" borderId="0" xfId="0" applyFont="1" applyFill="1" applyAlignment="1" applyProtection="1">
      <alignment horizontal="center" vertical="center"/>
      <protection locked="0"/>
    </xf>
    <xf numFmtId="0" fontId="10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15" fontId="14" fillId="6" borderId="1" xfId="0" applyNumberFormat="1" applyFont="1" applyFill="1" applyBorder="1" applyAlignment="1">
      <alignment horizontal="center" vertical="center"/>
    </xf>
    <xf numFmtId="15" fontId="14" fillId="6" borderId="18" xfId="0" applyNumberFormat="1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left" vertical="top"/>
    </xf>
    <xf numFmtId="0" fontId="14" fillId="6" borderId="0" xfId="0" applyFont="1" applyFill="1" applyAlignment="1">
      <alignment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left" vertical="center" indent="1"/>
    </xf>
    <xf numFmtId="0" fontId="7" fillId="7" borderId="1" xfId="0" applyFont="1" applyFill="1" applyBorder="1" applyAlignment="1" applyProtection="1">
      <alignment horizontal="left" vertical="center" indent="1"/>
      <protection locked="0"/>
    </xf>
    <xf numFmtId="0" fontId="7" fillId="7" borderId="18" xfId="0" applyFont="1" applyFill="1" applyBorder="1" applyAlignment="1" applyProtection="1">
      <alignment horizontal="left" vertical="center" indent="1"/>
      <protection locked="0"/>
    </xf>
    <xf numFmtId="0" fontId="7" fillId="7" borderId="17" xfId="0" applyFont="1" applyFill="1" applyBorder="1" applyAlignment="1">
      <alignment horizontal="left" vertical="center" indent="1"/>
    </xf>
    <xf numFmtId="0" fontId="7" fillId="7" borderId="12" xfId="0" applyFont="1" applyFill="1" applyBorder="1" applyAlignment="1">
      <alignment horizontal="left" vertical="center" indent="1"/>
    </xf>
    <xf numFmtId="0" fontId="7" fillId="7" borderId="25" xfId="0" applyFont="1" applyFill="1" applyBorder="1" applyAlignment="1">
      <alignment horizontal="left" vertical="center" indent="1"/>
    </xf>
    <xf numFmtId="0" fontId="7" fillId="7" borderId="19" xfId="0" applyFont="1" applyFill="1" applyBorder="1" applyAlignment="1">
      <alignment horizontal="left" vertical="center" indent="1"/>
    </xf>
    <xf numFmtId="0" fontId="7" fillId="7" borderId="20" xfId="0" applyFont="1" applyFill="1" applyBorder="1" applyAlignment="1">
      <alignment horizontal="left" vertical="center" indent="1"/>
    </xf>
    <xf numFmtId="0" fontId="7" fillId="7" borderId="27" xfId="0" applyFont="1" applyFill="1" applyBorder="1" applyAlignment="1">
      <alignment horizontal="left" vertical="center" indent="1"/>
    </xf>
    <xf numFmtId="165" fontId="7" fillId="7" borderId="1" xfId="0" applyNumberFormat="1" applyFont="1" applyFill="1" applyBorder="1" applyAlignment="1">
      <alignment horizontal="center" vertical="center"/>
    </xf>
    <xf numFmtId="165" fontId="7" fillId="7" borderId="18" xfId="0" applyNumberFormat="1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2" fillId="7" borderId="24" xfId="0" applyFont="1" applyFill="1" applyBorder="1" applyAlignment="1">
      <alignment horizontal="left" vertical="center" indent="1"/>
    </xf>
    <xf numFmtId="0" fontId="12" fillId="7" borderId="25" xfId="0" applyFont="1" applyFill="1" applyBorder="1" applyAlignment="1">
      <alignment horizontal="left" vertical="center" indent="1"/>
    </xf>
    <xf numFmtId="1" fontId="12" fillId="7" borderId="24" xfId="0" applyNumberFormat="1" applyFont="1" applyFill="1" applyBorder="1" applyAlignment="1">
      <alignment horizontal="left" vertical="center" indent="1"/>
    </xf>
    <xf numFmtId="1" fontId="12" fillId="7" borderId="25" xfId="0" applyNumberFormat="1" applyFont="1" applyFill="1" applyBorder="1" applyAlignment="1">
      <alignment horizontal="left" vertical="center" indent="1"/>
    </xf>
    <xf numFmtId="0" fontId="12" fillId="7" borderId="29" xfId="0" applyFont="1" applyFill="1" applyBorder="1" applyAlignment="1">
      <alignment horizontal="left" vertical="center" indent="1"/>
    </xf>
    <xf numFmtId="0" fontId="12" fillId="7" borderId="27" xfId="0" applyFont="1" applyFill="1" applyBorder="1" applyAlignment="1">
      <alignment horizontal="left" vertical="center" indent="1"/>
    </xf>
    <xf numFmtId="0" fontId="5" fillId="6" borderId="14" xfId="0" applyFont="1" applyFill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Style 1" xfId="2" xr:uid="{00000000-0005-0000-0000-000003000000}"/>
  </cellStyles>
  <dxfs count="0"/>
  <tableStyles count="0" defaultTableStyle="TableStyleMedium2" defaultPivotStyle="PivotStyleLight16"/>
  <colors>
    <mruColors>
      <color rgb="FFFFE5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1:WVS62"/>
  <sheetViews>
    <sheetView showGridLines="0" showRowColHeaders="0" tabSelected="1" topLeftCell="A7" zoomScaleNormal="100" zoomScaleSheetLayoutView="100" workbookViewId="0">
      <selection activeCell="N15" sqref="N15"/>
    </sheetView>
  </sheetViews>
  <sheetFormatPr defaultColWidth="10.28515625" defaultRowHeight="12.75" x14ac:dyDescent="0.2"/>
  <cols>
    <col min="1" max="1" width="1.7109375" style="26" customWidth="1"/>
    <col min="2" max="2" width="7.5703125" style="26" customWidth="1"/>
    <col min="3" max="3" width="13.42578125" style="26" customWidth="1"/>
    <col min="4" max="4" width="20.7109375" style="26" customWidth="1"/>
    <col min="5" max="5" width="7.5703125" style="26" customWidth="1"/>
    <col min="6" max="6" width="8.7109375" style="26" customWidth="1"/>
    <col min="7" max="12" width="7.7109375" style="26" customWidth="1"/>
    <col min="13" max="13" width="1.7109375" style="26" customWidth="1"/>
    <col min="14" max="14" width="33.28515625" style="26" customWidth="1"/>
    <col min="15" max="254" width="10.28515625" style="26"/>
    <col min="255" max="16139" width="10.28515625" style="70"/>
    <col min="16140" max="16384" width="10.28515625" style="26"/>
  </cols>
  <sheetData>
    <row r="1" spans="2:17" s="26" customFormat="1" ht="66" customHeight="1" thickBot="1" x14ac:dyDescent="0.25">
      <c r="B1" s="71" t="s">
        <v>29</v>
      </c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2:17" s="26" customFormat="1" ht="19.5" customHeight="1" x14ac:dyDescent="0.2">
      <c r="B2" s="27" t="s">
        <v>27</v>
      </c>
      <c r="C2" s="28"/>
      <c r="D2" s="28"/>
      <c r="E2" s="29"/>
      <c r="F2" s="30"/>
      <c r="G2" s="72" t="s">
        <v>31</v>
      </c>
      <c r="H2" s="73"/>
      <c r="I2" s="73"/>
      <c r="J2" s="73"/>
      <c r="K2" s="73"/>
      <c r="L2" s="74"/>
      <c r="N2" s="31"/>
      <c r="O2" s="31"/>
    </row>
    <row r="3" spans="2:17" s="26" customFormat="1" ht="19.5" customHeight="1" x14ac:dyDescent="0.2">
      <c r="B3" s="79" t="s">
        <v>30</v>
      </c>
      <c r="C3" s="79"/>
      <c r="D3" s="79"/>
      <c r="E3" s="32"/>
      <c r="F3" s="30"/>
      <c r="G3" s="33" t="s">
        <v>32</v>
      </c>
      <c r="H3" s="34"/>
      <c r="I3" s="35"/>
      <c r="J3" s="75"/>
      <c r="K3" s="75"/>
      <c r="L3" s="76"/>
      <c r="N3" s="31"/>
      <c r="O3" s="31"/>
    </row>
    <row r="4" spans="2:17" s="26" customFormat="1" ht="19.5" customHeight="1" thickBot="1" x14ac:dyDescent="0.25">
      <c r="B4" s="32"/>
      <c r="C4" s="32"/>
      <c r="D4" s="32"/>
      <c r="E4" s="32"/>
      <c r="F4" s="30"/>
      <c r="G4" s="36" t="s">
        <v>33</v>
      </c>
      <c r="H4" s="37"/>
      <c r="I4" s="38"/>
      <c r="J4" s="77"/>
      <c r="K4" s="77"/>
      <c r="L4" s="78"/>
      <c r="N4" s="31"/>
      <c r="O4" s="31"/>
    </row>
    <row r="5" spans="2:17" s="26" customFormat="1" ht="19.5" customHeight="1" x14ac:dyDescent="0.2">
      <c r="B5" s="79" t="s">
        <v>24</v>
      </c>
      <c r="C5" s="80"/>
      <c r="D5" s="80"/>
      <c r="E5" s="29"/>
      <c r="F5" s="30"/>
      <c r="N5" s="39"/>
      <c r="O5" s="39"/>
      <c r="Q5" s="40"/>
    </row>
    <row r="6" spans="2:17" s="26" customFormat="1" ht="19.5" customHeight="1" x14ac:dyDescent="0.2">
      <c r="B6" s="79" t="s">
        <v>25</v>
      </c>
      <c r="C6" s="80"/>
      <c r="D6" s="80"/>
      <c r="E6" s="29"/>
      <c r="F6" s="30"/>
      <c r="G6" s="41"/>
      <c r="H6" s="41"/>
      <c r="I6" s="41"/>
      <c r="N6" s="39"/>
      <c r="O6" s="39"/>
      <c r="Q6" s="40"/>
    </row>
    <row r="7" spans="2:17" s="26" customFormat="1" ht="15" customHeight="1" thickBot="1" x14ac:dyDescent="0.25">
      <c r="C7" s="30"/>
      <c r="D7" s="29"/>
      <c r="E7" s="29"/>
      <c r="F7" s="30"/>
      <c r="G7" s="29"/>
      <c r="H7" s="29"/>
      <c r="I7" s="29"/>
      <c r="J7" s="29"/>
      <c r="N7" s="39"/>
      <c r="O7" s="39"/>
      <c r="Q7" s="40"/>
    </row>
    <row r="8" spans="2:17" s="26" customFormat="1" ht="19.5" customHeight="1" x14ac:dyDescent="0.2">
      <c r="B8" s="81" t="s">
        <v>34</v>
      </c>
      <c r="C8" s="82"/>
      <c r="D8" s="83"/>
      <c r="E8" s="29"/>
      <c r="F8" s="30"/>
      <c r="N8" s="29"/>
      <c r="Q8" s="29"/>
    </row>
    <row r="9" spans="2:17" s="26" customFormat="1" ht="19.5" customHeight="1" x14ac:dyDescent="0.2">
      <c r="B9" s="84" t="s">
        <v>35</v>
      </c>
      <c r="C9" s="85"/>
      <c r="D9" s="86"/>
      <c r="E9" s="29"/>
      <c r="F9" s="30"/>
      <c r="G9" s="42"/>
      <c r="H9" s="42"/>
      <c r="I9" s="42"/>
      <c r="J9" s="42"/>
      <c r="K9" s="42"/>
      <c r="L9" s="43"/>
      <c r="N9" s="29"/>
      <c r="Q9" s="29"/>
    </row>
    <row r="10" spans="2:17" s="26" customFormat="1" ht="19.5" customHeight="1" x14ac:dyDescent="0.2">
      <c r="B10" s="87" t="s">
        <v>36</v>
      </c>
      <c r="C10" s="88"/>
      <c r="D10" s="89"/>
      <c r="E10" s="29"/>
      <c r="F10" s="30"/>
      <c r="G10" s="44"/>
      <c r="H10" s="44"/>
      <c r="I10" s="44"/>
      <c r="J10" s="44"/>
      <c r="K10" s="44"/>
      <c r="L10" s="45"/>
      <c r="N10" s="29"/>
      <c r="Q10" s="29"/>
    </row>
    <row r="11" spans="2:17" s="26" customFormat="1" ht="19.5" customHeight="1" x14ac:dyDescent="0.2">
      <c r="B11" s="87"/>
      <c r="C11" s="88"/>
      <c r="D11" s="89"/>
      <c r="E11" s="29"/>
      <c r="F11" s="30"/>
      <c r="G11" s="44"/>
      <c r="H11" s="44"/>
      <c r="I11" s="44"/>
      <c r="J11" s="44"/>
      <c r="K11" s="44"/>
      <c r="L11" s="45"/>
      <c r="N11" s="29"/>
      <c r="Q11" s="29"/>
    </row>
    <row r="12" spans="2:17" s="26" customFormat="1" ht="19.5" customHeight="1" x14ac:dyDescent="0.2">
      <c r="B12" s="90" t="s">
        <v>24</v>
      </c>
      <c r="C12" s="91"/>
      <c r="D12" s="92"/>
      <c r="E12" s="29"/>
      <c r="F12" s="30"/>
      <c r="G12" s="46"/>
      <c r="H12" s="46"/>
      <c r="I12" s="46"/>
      <c r="J12" s="44"/>
      <c r="K12" s="44"/>
      <c r="L12" s="45"/>
      <c r="N12" s="29"/>
      <c r="Q12" s="29"/>
    </row>
    <row r="13" spans="2:17" s="26" customFormat="1" ht="19.5" customHeight="1" thickBot="1" x14ac:dyDescent="0.25">
      <c r="B13" s="93" t="s">
        <v>25</v>
      </c>
      <c r="C13" s="94"/>
      <c r="D13" s="95"/>
      <c r="E13" s="29"/>
      <c r="F13" s="30"/>
      <c r="G13" s="46"/>
      <c r="H13" s="46"/>
      <c r="I13" s="46"/>
      <c r="J13" s="44"/>
      <c r="K13" s="44"/>
      <c r="L13" s="45"/>
      <c r="N13" s="29"/>
      <c r="Q13" s="29"/>
    </row>
    <row r="14" spans="2:17" s="26" customFormat="1" ht="15" customHeight="1" thickBot="1" x14ac:dyDescent="0.25">
      <c r="C14" s="47"/>
      <c r="D14" s="30"/>
      <c r="E14" s="30"/>
      <c r="F14" s="29"/>
      <c r="G14" s="29"/>
      <c r="H14" s="29"/>
      <c r="I14" s="29"/>
      <c r="J14" s="29"/>
      <c r="K14" s="29"/>
      <c r="L14" s="29"/>
      <c r="Q14" s="29"/>
    </row>
    <row r="15" spans="2:17" s="26" customFormat="1" ht="15" customHeight="1" x14ac:dyDescent="0.2">
      <c r="B15" s="106" t="s">
        <v>2</v>
      </c>
      <c r="C15" s="82" t="s">
        <v>37</v>
      </c>
      <c r="D15" s="82"/>
      <c r="E15" s="82"/>
      <c r="F15" s="82"/>
      <c r="G15" s="82"/>
      <c r="H15" s="82"/>
      <c r="I15" s="82"/>
      <c r="J15" s="82" t="s">
        <v>38</v>
      </c>
      <c r="K15" s="82"/>
      <c r="L15" s="83"/>
      <c r="N15" s="29"/>
      <c r="Q15" s="29"/>
    </row>
    <row r="16" spans="2:17" s="26" customFormat="1" ht="47.65" customHeight="1" x14ac:dyDescent="0.2">
      <c r="B16" s="48">
        <v>1</v>
      </c>
      <c r="C16" s="49" t="s">
        <v>28</v>
      </c>
      <c r="D16" s="49"/>
      <c r="E16" s="49"/>
      <c r="F16" s="49"/>
      <c r="G16" s="49"/>
      <c r="H16" s="49"/>
      <c r="I16" s="49"/>
      <c r="J16" s="96"/>
      <c r="K16" s="96"/>
      <c r="L16" s="97"/>
      <c r="N16" s="50"/>
    </row>
    <row r="17" spans="2:14" s="26" customFormat="1" ht="15" customHeight="1" x14ac:dyDescent="0.2">
      <c r="B17" s="51" t="s">
        <v>39</v>
      </c>
      <c r="C17" s="52"/>
      <c r="D17" s="52"/>
      <c r="E17" s="52"/>
      <c r="F17" s="52"/>
      <c r="G17" s="52"/>
      <c r="H17" s="52"/>
      <c r="I17" s="52"/>
      <c r="J17" s="53">
        <f>SUM(J16:L16)</f>
        <v>0</v>
      </c>
      <c r="K17" s="53"/>
      <c r="L17" s="54"/>
      <c r="N17" s="29"/>
    </row>
    <row r="18" spans="2:14" s="26" customFormat="1" ht="15" customHeight="1" x14ac:dyDescent="0.2">
      <c r="B18" s="98" t="s">
        <v>40</v>
      </c>
      <c r="C18" s="99"/>
      <c r="D18" s="99"/>
      <c r="E18" s="99"/>
      <c r="F18" s="99"/>
      <c r="G18" s="99"/>
      <c r="H18" s="99"/>
      <c r="I18" s="99"/>
      <c r="J18" s="53">
        <f>ROUND(J17*16%,0)</f>
        <v>0</v>
      </c>
      <c r="K18" s="53"/>
      <c r="L18" s="54"/>
      <c r="N18" s="29"/>
    </row>
    <row r="19" spans="2:14" s="26" customFormat="1" ht="15" customHeight="1" thickBot="1" x14ac:dyDescent="0.25">
      <c r="B19" s="55" t="s">
        <v>41</v>
      </c>
      <c r="C19" s="56"/>
      <c r="D19" s="56"/>
      <c r="E19" s="56"/>
      <c r="F19" s="56"/>
      <c r="G19" s="56"/>
      <c r="H19" s="56"/>
      <c r="I19" s="56"/>
      <c r="J19" s="57">
        <f>+ROUND(J17+J18,0)</f>
        <v>0</v>
      </c>
      <c r="K19" s="57"/>
      <c r="L19" s="58"/>
      <c r="N19" s="29"/>
    </row>
    <row r="20" spans="2:14" s="26" customFormat="1" ht="15" customHeight="1" thickBot="1" x14ac:dyDescent="0.25"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</row>
    <row r="21" spans="2:14" s="26" customFormat="1" ht="15" customHeight="1" x14ac:dyDescent="0.2">
      <c r="B21" s="81" t="s">
        <v>42</v>
      </c>
      <c r="C21" s="82"/>
      <c r="D21" s="82"/>
      <c r="E21" s="83"/>
      <c r="F21" s="60"/>
      <c r="G21" s="60"/>
      <c r="H21" s="60"/>
      <c r="I21" s="60"/>
      <c r="J21" s="60"/>
      <c r="K21" s="60"/>
      <c r="L21" s="60"/>
      <c r="N21" s="29"/>
    </row>
    <row r="22" spans="2:14" s="26" customFormat="1" ht="15" customHeight="1" x14ac:dyDescent="0.2">
      <c r="B22" s="61" t="s">
        <v>17</v>
      </c>
      <c r="C22" s="62"/>
      <c r="D22" s="100" t="s">
        <v>21</v>
      </c>
      <c r="E22" s="101"/>
    </row>
    <row r="23" spans="2:14" s="26" customFormat="1" ht="15" customHeight="1" x14ac:dyDescent="0.2">
      <c r="B23" s="61" t="s">
        <v>18</v>
      </c>
      <c r="C23" s="62"/>
      <c r="D23" s="102"/>
      <c r="E23" s="103"/>
    </row>
    <row r="24" spans="2:14" s="26" customFormat="1" ht="15" customHeight="1" x14ac:dyDescent="0.2">
      <c r="B24" s="61" t="s">
        <v>22</v>
      </c>
      <c r="C24" s="62"/>
      <c r="D24" s="102"/>
      <c r="E24" s="103"/>
    </row>
    <row r="25" spans="2:14" s="26" customFormat="1" ht="15" customHeight="1" x14ac:dyDescent="0.2">
      <c r="B25" s="61" t="s">
        <v>19</v>
      </c>
      <c r="C25" s="62"/>
      <c r="D25" s="100"/>
      <c r="E25" s="101"/>
    </row>
    <row r="26" spans="2:14" s="26" customFormat="1" ht="15" customHeight="1" thickBot="1" x14ac:dyDescent="0.25">
      <c r="B26" s="63" t="s">
        <v>20</v>
      </c>
      <c r="C26" s="64"/>
      <c r="D26" s="104"/>
      <c r="E26" s="105"/>
    </row>
    <row r="27" spans="2:14" s="26" customFormat="1" ht="15" customHeight="1" x14ac:dyDescent="0.2">
      <c r="B27" s="65"/>
      <c r="D27" s="65"/>
      <c r="E27" s="65"/>
    </row>
    <row r="28" spans="2:14" s="26" customFormat="1" x14ac:dyDescent="0.2">
      <c r="B28" s="65"/>
      <c r="C28" s="65"/>
      <c r="D28" s="65"/>
      <c r="E28" s="65"/>
    </row>
    <row r="29" spans="2:14" s="26" customFormat="1" x14ac:dyDescent="0.2">
      <c r="B29" s="65"/>
      <c r="C29" s="65"/>
      <c r="D29" s="65"/>
      <c r="E29" s="65"/>
    </row>
    <row r="30" spans="2:14" s="26" customFormat="1" x14ac:dyDescent="0.2">
      <c r="B30" s="65"/>
      <c r="C30" s="65"/>
      <c r="D30" s="65"/>
      <c r="E30" s="65"/>
    </row>
    <row r="31" spans="2:14" s="26" customFormat="1" x14ac:dyDescent="0.2">
      <c r="B31" s="65"/>
      <c r="C31" s="65"/>
      <c r="D31" s="65"/>
      <c r="E31" s="65"/>
    </row>
    <row r="32" spans="2:14" s="26" customFormat="1" x14ac:dyDescent="0.2">
      <c r="B32" s="65"/>
      <c r="C32" s="65"/>
      <c r="D32" s="65"/>
      <c r="E32" s="65"/>
    </row>
    <row r="33" spans="2:12" s="26" customFormat="1" x14ac:dyDescent="0.2">
      <c r="B33" s="65"/>
      <c r="C33" s="65"/>
      <c r="D33" s="65"/>
      <c r="E33" s="65"/>
    </row>
    <row r="34" spans="2:12" s="26" customFormat="1" ht="15" customHeight="1" x14ac:dyDescent="0.2">
      <c r="B34" s="65"/>
      <c r="C34" s="65"/>
      <c r="D34" s="65"/>
      <c r="E34" s="65"/>
      <c r="H34" s="66" t="s">
        <v>23</v>
      </c>
      <c r="I34" s="67"/>
      <c r="J34" s="67"/>
      <c r="K34" s="67"/>
      <c r="L34" s="67"/>
    </row>
    <row r="35" spans="2:12" s="26" customFormat="1" x14ac:dyDescent="0.2">
      <c r="B35" s="65"/>
      <c r="C35" s="65"/>
      <c r="D35" s="65"/>
      <c r="E35" s="65"/>
      <c r="H35" s="67" t="s">
        <v>26</v>
      </c>
      <c r="I35" s="68"/>
      <c r="J35" s="68"/>
      <c r="K35" s="68"/>
      <c r="L35" s="68"/>
    </row>
    <row r="36" spans="2:12" s="26" customFormat="1" x14ac:dyDescent="0.2">
      <c r="B36" s="65"/>
      <c r="C36" s="65"/>
      <c r="D36" s="65"/>
      <c r="E36" s="65"/>
      <c r="H36" s="68"/>
      <c r="I36" s="68"/>
      <c r="J36" s="68"/>
      <c r="K36" s="68"/>
      <c r="L36" s="68"/>
    </row>
    <row r="37" spans="2:12" s="26" customFormat="1" x14ac:dyDescent="0.2">
      <c r="B37" s="65"/>
      <c r="C37" s="65"/>
      <c r="D37" s="65"/>
      <c r="E37" s="65"/>
      <c r="H37" s="68"/>
      <c r="I37" s="68"/>
      <c r="J37" s="68"/>
      <c r="K37" s="68"/>
      <c r="L37" s="68"/>
    </row>
    <row r="38" spans="2:12" s="26" customFormat="1" x14ac:dyDescent="0.2">
      <c r="B38" s="65"/>
      <c r="C38" s="65"/>
      <c r="D38" s="65"/>
      <c r="E38" s="65"/>
      <c r="H38" s="68"/>
      <c r="I38" s="68"/>
      <c r="J38" s="68"/>
      <c r="K38" s="68"/>
      <c r="L38" s="68"/>
    </row>
    <row r="39" spans="2:12" s="26" customFormat="1" x14ac:dyDescent="0.2">
      <c r="B39" s="65"/>
      <c r="C39" s="65"/>
      <c r="D39" s="65"/>
      <c r="E39" s="65"/>
      <c r="H39" s="68"/>
      <c r="I39" s="68"/>
      <c r="J39" s="68"/>
      <c r="K39" s="68"/>
      <c r="L39" s="68"/>
    </row>
    <row r="40" spans="2:12" s="26" customFormat="1" x14ac:dyDescent="0.2">
      <c r="B40" s="65"/>
      <c r="C40" s="65"/>
      <c r="D40" s="65"/>
      <c r="E40" s="65"/>
      <c r="H40" s="68"/>
      <c r="I40" s="68"/>
      <c r="J40" s="68"/>
      <c r="K40" s="68"/>
      <c r="L40" s="68"/>
    </row>
    <row r="41" spans="2:12" s="26" customFormat="1" x14ac:dyDescent="0.2"/>
    <row r="42" spans="2:12" s="26" customFormat="1" x14ac:dyDescent="0.2"/>
    <row r="43" spans="2:12" s="26" customFormat="1" x14ac:dyDescent="0.2">
      <c r="H43" s="69" t="s">
        <v>43</v>
      </c>
      <c r="I43" s="69"/>
      <c r="J43" s="69"/>
      <c r="K43" s="69"/>
      <c r="L43" s="69"/>
    </row>
    <row r="44" spans="2:12" s="26" customFormat="1" x14ac:dyDescent="0.2"/>
    <row r="45" spans="2:12" s="26" customFormat="1" x14ac:dyDescent="0.2"/>
    <row r="46" spans="2:12" s="26" customFormat="1" x14ac:dyDescent="0.2"/>
    <row r="47" spans="2:12" s="26" customFormat="1" x14ac:dyDescent="0.2"/>
    <row r="48" spans="2:12" s="26" customFormat="1" x14ac:dyDescent="0.2"/>
    <row r="49" s="26" customFormat="1" x14ac:dyDescent="0.2"/>
    <row r="50" s="26" customFormat="1" x14ac:dyDescent="0.2"/>
    <row r="51" s="26" customFormat="1" x14ac:dyDescent="0.2"/>
    <row r="52" s="26" customFormat="1" x14ac:dyDescent="0.2"/>
    <row r="53" s="26" customFormat="1" x14ac:dyDescent="0.2"/>
    <row r="54" s="26" customFormat="1" x14ac:dyDescent="0.2"/>
    <row r="55" s="26" customFormat="1" x14ac:dyDescent="0.2"/>
    <row r="59" s="26" customFormat="1" x14ac:dyDescent="0.2"/>
    <row r="60" s="26" customFormat="1" x14ac:dyDescent="0.2"/>
    <row r="62" s="26" customFormat="1" x14ac:dyDescent="0.2"/>
  </sheetData>
  <mergeCells count="35">
    <mergeCell ref="B1:L1"/>
    <mergeCell ref="B9:D9"/>
    <mergeCell ref="C15:I15"/>
    <mergeCell ref="J15:L15"/>
    <mergeCell ref="G2:L2"/>
    <mergeCell ref="G3:I3"/>
    <mergeCell ref="J3:L3"/>
    <mergeCell ref="G4:I4"/>
    <mergeCell ref="J4:L4"/>
    <mergeCell ref="B8:D8"/>
    <mergeCell ref="G9:I9"/>
    <mergeCell ref="J9:K9"/>
    <mergeCell ref="B12:D12"/>
    <mergeCell ref="B13:D13"/>
    <mergeCell ref="C16:I16"/>
    <mergeCell ref="J16:L16"/>
    <mergeCell ref="B17:I17"/>
    <mergeCell ref="J17:L17"/>
    <mergeCell ref="B18:I18"/>
    <mergeCell ref="J18:L18"/>
    <mergeCell ref="B19:I19"/>
    <mergeCell ref="J19:L19"/>
    <mergeCell ref="B20:L20"/>
    <mergeCell ref="B21:E21"/>
    <mergeCell ref="B22:C22"/>
    <mergeCell ref="D22:E22"/>
    <mergeCell ref="B26:C26"/>
    <mergeCell ref="D26:E26"/>
    <mergeCell ref="H43:L43"/>
    <mergeCell ref="B23:C23"/>
    <mergeCell ref="D23:E23"/>
    <mergeCell ref="B24:C24"/>
    <mergeCell ref="D24:E24"/>
    <mergeCell ref="B25:C25"/>
    <mergeCell ref="D25:E25"/>
  </mergeCells>
  <pageMargins left="0.82677165354330717" right="0.23622047244094491" top="0.74803149606299213" bottom="0.74803149606299213" header="0.31496062992125984" footer="0.31496062992125984"/>
  <pageSetup scale="82" orientation="portrait" horizontalDpi="4294967295" verticalDpi="4294967295" r:id="rId1"/>
  <headerFooter>
    <oddFooter>&amp;L&amp;"-,Bold"Scatec Solar (Private) Limited &amp;"-,Regular"
&amp;"-,Bold"Registered Address:&amp;"-,Regular" Gerry’s Center, 1-B, 3rd Floor, 
Service Road West, 7th Avenue, G-6/1 Islamabad.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H9" sqref="H9"/>
    </sheetView>
  </sheetViews>
  <sheetFormatPr defaultRowHeight="15" x14ac:dyDescent="0.25"/>
  <cols>
    <col min="1" max="1" width="6" customWidth="1"/>
    <col min="2" max="2" width="8.5703125" bestFit="1" customWidth="1"/>
    <col min="3" max="3" width="22.42578125" bestFit="1" customWidth="1"/>
    <col min="4" max="4" width="29.7109375" bestFit="1" customWidth="1"/>
    <col min="5" max="5" width="9.42578125" bestFit="1" customWidth="1"/>
    <col min="6" max="6" width="10.28515625" bestFit="1" customWidth="1"/>
    <col min="7" max="7" width="13.28515625" bestFit="1" customWidth="1"/>
    <col min="8" max="8" width="10.5703125" bestFit="1" customWidth="1"/>
  </cols>
  <sheetData>
    <row r="1" spans="1:8" x14ac:dyDescent="0.25">
      <c r="A1" s="1" t="s">
        <v>0</v>
      </c>
      <c r="B1" s="1"/>
      <c r="C1" s="2"/>
      <c r="D1" s="3"/>
      <c r="E1" s="4"/>
      <c r="F1" s="2"/>
    </row>
    <row r="2" spans="1:8" x14ac:dyDescent="0.25">
      <c r="A2" s="2" t="s">
        <v>1</v>
      </c>
      <c r="B2" s="2"/>
      <c r="C2" s="2"/>
      <c r="D2" s="3"/>
      <c r="E2" s="4"/>
      <c r="F2" s="2"/>
    </row>
    <row r="3" spans="1:8" x14ac:dyDescent="0.25">
      <c r="A3" s="2" t="s">
        <v>15</v>
      </c>
      <c r="B3" s="2"/>
      <c r="C3" s="2"/>
      <c r="D3" s="2"/>
      <c r="E3" s="2"/>
      <c r="F3" s="2"/>
    </row>
    <row r="4" spans="1:8" x14ac:dyDescent="0.25">
      <c r="A4" s="2"/>
      <c r="B4" s="2"/>
      <c r="C4" s="2"/>
      <c r="D4" s="2"/>
      <c r="E4" s="2"/>
      <c r="F4" s="2"/>
    </row>
    <row r="5" spans="1:8" ht="25.5" x14ac:dyDescent="0.25">
      <c r="A5" s="18" t="s">
        <v>2</v>
      </c>
      <c r="B5" s="18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9" t="s">
        <v>15</v>
      </c>
      <c r="H5" s="20" t="s">
        <v>16</v>
      </c>
    </row>
    <row r="6" spans="1:8" x14ac:dyDescent="0.25">
      <c r="A6" s="5">
        <v>1</v>
      </c>
      <c r="B6" s="6" t="s">
        <v>8</v>
      </c>
      <c r="C6" s="7" t="s">
        <v>9</v>
      </c>
      <c r="D6" s="8" t="s">
        <v>10</v>
      </c>
      <c r="E6" s="9">
        <v>44183</v>
      </c>
      <c r="F6" s="10">
        <v>636000</v>
      </c>
      <c r="G6" s="21">
        <f t="shared" ref="G6" si="0">F6*12*18/100</f>
        <v>1373760</v>
      </c>
      <c r="H6" s="22">
        <f t="shared" ref="H6" si="1">G6</f>
        <v>1373760</v>
      </c>
    </row>
    <row r="7" spans="1:8" x14ac:dyDescent="0.25">
      <c r="A7" s="11">
        <f t="shared" ref="A7" si="2">A6+1</f>
        <v>2</v>
      </c>
      <c r="B7" s="12" t="s">
        <v>11</v>
      </c>
      <c r="C7" s="13" t="s">
        <v>12</v>
      </c>
      <c r="D7" s="14" t="s">
        <v>13</v>
      </c>
      <c r="E7" s="15">
        <v>44184</v>
      </c>
      <c r="F7" s="16">
        <v>600000</v>
      </c>
      <c r="G7" s="23"/>
      <c r="H7" s="24"/>
    </row>
    <row r="8" spans="1:8" ht="15.75" thickBot="1" x14ac:dyDescent="0.3">
      <c r="A8" s="25" t="s">
        <v>14</v>
      </c>
      <c r="B8" s="25"/>
      <c r="C8" s="25"/>
      <c r="D8" s="25"/>
      <c r="E8" s="25"/>
      <c r="F8" s="17">
        <f>SUM(F6:F7)</f>
        <v>1236000</v>
      </c>
      <c r="G8" s="17">
        <f>SUM(G6:G7)</f>
        <v>1373760</v>
      </c>
      <c r="H8" s="17">
        <f>SUM(H6:H7)</f>
        <v>1373760</v>
      </c>
    </row>
    <row r="9" spans="1:8" ht="15.75" thickTop="1" x14ac:dyDescent="0.25"/>
  </sheetData>
  <mergeCells count="1"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Sample</vt:lpstr>
      <vt:lpstr>Finders Fee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2021-12-16T07:05:45Z</cp:lastPrinted>
  <dcterms:created xsi:type="dcterms:W3CDTF">2020-11-09T13:42:05Z</dcterms:created>
  <dcterms:modified xsi:type="dcterms:W3CDTF">2024-07-12T04:10:31Z</dcterms:modified>
</cp:coreProperties>
</file>