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emplate Project\Smart Business Owner\Invoices\"/>
    </mc:Choice>
  </mc:AlternateContent>
  <xr:revisionPtr revIDLastSave="0" documentId="13_ncr:1_{69BC3E25-5903-4923-8CD7-3B89C6B760EF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Invoice" sheetId="2" r:id="rId1"/>
    <sheet name="Data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2" l="1"/>
  <c r="G20" i="2" s="1"/>
  <c r="I20" i="2" s="1"/>
  <c r="F19" i="2" l="1"/>
  <c r="D20" i="2" l="1"/>
  <c r="D21" i="2"/>
  <c r="D22" i="2"/>
  <c r="D23" i="2"/>
  <c r="D24" i="2"/>
  <c r="D25" i="2"/>
  <c r="D26" i="2"/>
  <c r="D27" i="2"/>
  <c r="D28" i="2"/>
  <c r="D19" i="2"/>
  <c r="F21" i="2"/>
  <c r="G21" i="2" s="1"/>
  <c r="I21" i="2" s="1"/>
  <c r="F22" i="2"/>
  <c r="F23" i="2"/>
  <c r="G23" i="2" s="1"/>
  <c r="I23" i="2" s="1"/>
  <c r="F24" i="2"/>
  <c r="G24" i="2" s="1"/>
  <c r="I24" i="2" s="1"/>
  <c r="F25" i="2"/>
  <c r="F26" i="2"/>
  <c r="G26" i="2" s="1"/>
  <c r="I26" i="2" s="1"/>
  <c r="F27" i="2"/>
  <c r="G27" i="2" s="1"/>
  <c r="I27" i="2" s="1"/>
  <c r="F28" i="2"/>
  <c r="G28" i="2" s="1"/>
  <c r="I28" i="2" s="1"/>
  <c r="K28" i="2" s="1"/>
  <c r="G19" i="2"/>
  <c r="I19" i="2" s="1"/>
  <c r="K19" i="2" s="1"/>
  <c r="G25" i="2" l="1"/>
  <c r="I25" i="2" s="1"/>
  <c r="K25" i="2" s="1"/>
  <c r="G22" i="2"/>
  <c r="I22" i="2" s="1"/>
  <c r="K22" i="2" s="1"/>
  <c r="O19" i="2"/>
  <c r="M19" i="2"/>
  <c r="M20" i="2"/>
  <c r="O20" i="2"/>
  <c r="K20" i="2"/>
  <c r="M28" i="2"/>
  <c r="O28" i="2"/>
  <c r="K27" i="2"/>
  <c r="M27" i="2"/>
  <c r="O27" i="2"/>
  <c r="O23" i="2"/>
  <c r="K23" i="2"/>
  <c r="M23" i="2"/>
  <c r="K24" i="2"/>
  <c r="M24" i="2"/>
  <c r="O24" i="2"/>
  <c r="K26" i="2"/>
  <c r="M26" i="2"/>
  <c r="O26" i="2"/>
  <c r="M25" i="2"/>
  <c r="N13" i="2"/>
  <c r="B20" i="2"/>
  <c r="O25" i="2" l="1"/>
  <c r="M22" i="2"/>
  <c r="O22" i="2"/>
  <c r="K21" i="2"/>
  <c r="O21" i="2"/>
  <c r="M21" i="2"/>
  <c r="G29" i="2"/>
  <c r="N33" i="2" s="1"/>
  <c r="H29" i="2"/>
  <c r="N34" i="2" s="1"/>
  <c r="I29" i="2" l="1"/>
  <c r="N35" i="2" s="1"/>
  <c r="K29" i="2" l="1"/>
  <c r="N36" i="2" s="1"/>
  <c r="O29" i="2"/>
  <c r="N38" i="2" s="1"/>
  <c r="M29" i="2"/>
  <c r="N37" i="2" s="1"/>
  <c r="N39" i="2" l="1"/>
  <c r="E43" i="2"/>
</calcChain>
</file>

<file path=xl/sharedStrings.xml><?xml version="1.0" encoding="utf-8"?>
<sst xmlns="http://schemas.openxmlformats.org/spreadsheetml/2006/main" count="66" uniqueCount="56">
  <si>
    <t>Qty</t>
  </si>
  <si>
    <t>Rate</t>
  </si>
  <si>
    <t>CGST</t>
  </si>
  <si>
    <t>SGST</t>
  </si>
  <si>
    <t>IGST</t>
  </si>
  <si>
    <t>Rate %</t>
  </si>
  <si>
    <t>Total</t>
  </si>
  <si>
    <t>Total CGST</t>
  </si>
  <si>
    <t>Total SGST</t>
  </si>
  <si>
    <t>Total IGST</t>
  </si>
  <si>
    <t>Cust. GST No</t>
  </si>
  <si>
    <t>Sr. 
No.</t>
  </si>
  <si>
    <t>GSTIN</t>
  </si>
  <si>
    <t>Keyboard</t>
  </si>
  <si>
    <t>Mouse</t>
  </si>
  <si>
    <t>Monitor</t>
  </si>
  <si>
    <t>Cpu</t>
  </si>
  <si>
    <t>Wireless Mouse</t>
  </si>
  <si>
    <t>Wireless keyboard</t>
  </si>
  <si>
    <t>Power Cable</t>
  </si>
  <si>
    <t>Hard Disk</t>
  </si>
  <si>
    <t>VGA Cable</t>
  </si>
  <si>
    <t>Motherboard</t>
  </si>
  <si>
    <t>S.No</t>
  </si>
  <si>
    <t>FAKTUR</t>
  </si>
  <si>
    <t>DETAIL KUSTOMER</t>
  </si>
  <si>
    <t>NAMA</t>
  </si>
  <si>
    <t>ALAMAT</t>
  </si>
  <si>
    <t>NO HP</t>
  </si>
  <si>
    <t>NO FAKTUR</t>
  </si>
  <si>
    <t>TANGGAL</t>
  </si>
  <si>
    <t>Sebutkan Nomor Telepon Pelanggan Di Sini</t>
  </si>
  <si>
    <t>Sebutkan Alamat Pelanggan Disini</t>
  </si>
  <si>
    <t>Detail Produk</t>
  </si>
  <si>
    <t xml:space="preserve">Kode HSE/SAC </t>
  </si>
  <si>
    <t>Tarif</t>
  </si>
  <si>
    <t>Diskon</t>
  </si>
  <si>
    <t>Total Penjualan</t>
  </si>
  <si>
    <t>Nilai Kena Pajak</t>
  </si>
  <si>
    <t>Jumlah</t>
  </si>
  <si>
    <t>Instruksi Khusus</t>
  </si>
  <si>
    <t>Ringkasan</t>
  </si>
  <si>
    <t>Alamat, No Hp 222222222, Fax 2222222222, Email: username@mail.com</t>
  </si>
  <si>
    <t>1. Harap Sebutkan Nomor Faktur Anda Di Cek.</t>
  </si>
  <si>
    <t>2. Harap Pastikan Informasi Yang Anda Berikan Benar.</t>
  </si>
  <si>
    <t>3. Tulis Instruksi Anda Di Sini</t>
  </si>
  <si>
    <t>Total Nilai Faktur</t>
  </si>
  <si>
    <t>Total Diskon</t>
  </si>
  <si>
    <t>Total Nilai Pajak</t>
  </si>
  <si>
    <t>Hasil Akhir</t>
  </si>
  <si>
    <t>Hasil Akhir Dalam Kata-kata</t>
  </si>
  <si>
    <t>Tanda Tangan Kustomer</t>
  </si>
  <si>
    <t>Tanda Tangan Akun</t>
  </si>
  <si>
    <t>Terimakasih Atas Bisnis Anda !</t>
  </si>
  <si>
    <t>Nama Produk</t>
  </si>
  <si>
    <t>Kode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</si>
</sst>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_([$IDR]\ * #,##0.00_);_([$IDR]\ * \(#,##0.00\);_([$IDR]\ * &quot;-&quot;??_);_(@_)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b/>
      <sz val="36"/>
      <color theme="4" tint="-0.499984740745262"/>
      <name val="Arial"/>
      <family val="2"/>
    </font>
    <font>
      <b/>
      <sz val="26"/>
      <color theme="0"/>
      <name val="Arial"/>
      <family val="2"/>
    </font>
    <font>
      <b/>
      <sz val="16"/>
      <color theme="0"/>
      <name val="Arial"/>
      <family val="2"/>
    </font>
    <font>
      <b/>
      <sz val="12"/>
      <color theme="1"/>
      <name val="Arial"/>
      <family val="2"/>
    </font>
    <font>
      <u/>
      <sz val="36"/>
      <color theme="10"/>
      <name val="Arial"/>
      <family val="2"/>
    </font>
    <font>
      <sz val="36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48"/>
      <color theme="1"/>
      <name val="Arial"/>
      <family val="2"/>
    </font>
    <font>
      <b/>
      <sz val="14"/>
      <color theme="1"/>
      <name val="Arial"/>
      <family val="2"/>
    </font>
    <font>
      <sz val="16"/>
      <color theme="0"/>
      <name val="Arial"/>
      <family val="2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sz val="14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29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rgb="FFFF0000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 style="hair">
        <color theme="4" tint="-0.499984740745262"/>
      </left>
      <right/>
      <top style="hair">
        <color theme="4" tint="-0.499984740745262"/>
      </top>
      <bottom/>
      <diagonal/>
    </border>
    <border>
      <left/>
      <right/>
      <top style="hair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1"/>
      </left>
      <right style="hair">
        <color theme="4" tint="-0.499984740745262"/>
      </right>
      <top style="hair">
        <color theme="1"/>
      </top>
      <bottom style="hair">
        <color theme="1"/>
      </bottom>
      <diagonal/>
    </border>
    <border>
      <left style="hair">
        <color theme="4" tint="-0.499984740745262"/>
      </left>
      <right/>
      <top/>
      <bottom style="hair">
        <color theme="4" tint="-0.499984740745262"/>
      </bottom>
      <diagonal/>
    </border>
    <border>
      <left/>
      <right/>
      <top/>
      <bottom style="hair">
        <color theme="4" tint="-0.499984740745262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4" tint="-0.499984740745262"/>
      </bottom>
      <diagonal/>
    </border>
    <border>
      <left/>
      <right style="hair">
        <color theme="4" tint="-0.499984740745262"/>
      </right>
      <top style="hair">
        <color theme="1"/>
      </top>
      <bottom style="hair">
        <color theme="4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6">
    <xf numFmtId="0" fontId="0" fillId="0" borderId="0" xfId="0"/>
    <xf numFmtId="0" fontId="2" fillId="5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14" fontId="5" fillId="2" borderId="0" xfId="0" applyNumberFormat="1" applyFont="1" applyFill="1" applyAlignment="1">
      <alignment vertical="center"/>
    </xf>
    <xf numFmtId="0" fontId="4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righ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right" vertical="center"/>
    </xf>
    <xf numFmtId="0" fontId="8" fillId="0" borderId="0" xfId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3" fillId="2" borderId="4" xfId="0" applyNumberFormat="1" applyFont="1" applyFill="1" applyBorder="1" applyAlignment="1">
      <alignment horizontal="right" vertical="center"/>
    </xf>
    <xf numFmtId="0" fontId="3" fillId="2" borderId="6" xfId="0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11" fillId="3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vertical="center"/>
    </xf>
    <xf numFmtId="0" fontId="11" fillId="2" borderId="2" xfId="0" applyFont="1" applyFill="1" applyBorder="1" applyAlignment="1">
      <alignment horizontal="center" vertical="center"/>
    </xf>
    <xf numFmtId="165" fontId="11" fillId="2" borderId="2" xfId="0" applyNumberFormat="1" applyFont="1" applyFill="1" applyBorder="1" applyAlignment="1">
      <alignment horizontal="center" vertical="center"/>
    </xf>
    <xf numFmtId="165" fontId="11" fillId="3" borderId="2" xfId="0" applyNumberFormat="1" applyFont="1" applyFill="1" applyBorder="1" applyAlignment="1">
      <alignment horizontal="center" vertical="center"/>
    </xf>
    <xf numFmtId="10" fontId="11" fillId="2" borderId="2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3" borderId="2" xfId="0" applyFont="1" applyFill="1" applyBorder="1" applyAlignment="1">
      <alignment horizontal="center" vertical="center"/>
    </xf>
    <xf numFmtId="164" fontId="11" fillId="3" borderId="2" xfId="0" applyNumberFormat="1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left" vertical="center"/>
    </xf>
    <xf numFmtId="0" fontId="2" fillId="5" borderId="13" xfId="0" applyFont="1" applyFill="1" applyBorder="1" applyAlignment="1">
      <alignment horizontal="left" vertical="center"/>
    </xf>
    <xf numFmtId="0" fontId="2" fillId="5" borderId="14" xfId="0" applyFont="1" applyFill="1" applyBorder="1" applyAlignment="1">
      <alignment horizontal="left" vertical="center"/>
    </xf>
    <xf numFmtId="0" fontId="11" fillId="2" borderId="0" xfId="0" applyFont="1" applyFill="1" applyAlignment="1">
      <alignment vertical="center"/>
    </xf>
    <xf numFmtId="0" fontId="3" fillId="2" borderId="21" xfId="0" applyFont="1" applyFill="1" applyBorder="1" applyAlignment="1">
      <alignment vertical="center"/>
    </xf>
    <xf numFmtId="0" fontId="7" fillId="2" borderId="15" xfId="0" applyFont="1" applyFill="1" applyBorder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7" fillId="2" borderId="16" xfId="0" applyFont="1" applyFill="1" applyBorder="1" applyAlignment="1">
      <alignment horizontal="left" vertical="center"/>
    </xf>
    <xf numFmtId="0" fontId="7" fillId="2" borderId="23" xfId="0" applyFont="1" applyFill="1" applyBorder="1" applyAlignment="1">
      <alignment horizontal="right" vertical="center"/>
    </xf>
    <xf numFmtId="0" fontId="7" fillId="2" borderId="0" xfId="0" applyFont="1" applyFill="1" applyAlignment="1">
      <alignment horizontal="right" vertical="center"/>
    </xf>
    <xf numFmtId="165" fontId="3" fillId="0" borderId="4" xfId="0" applyNumberFormat="1" applyFont="1" applyBorder="1" applyAlignment="1">
      <alignment horizontal="center" vertical="center"/>
    </xf>
    <xf numFmtId="165" fontId="3" fillId="0" borderId="24" xfId="0" applyNumberFormat="1" applyFont="1" applyBorder="1" applyAlignment="1">
      <alignment horizontal="center" vertical="center"/>
    </xf>
    <xf numFmtId="0" fontId="7" fillId="2" borderId="15" xfId="0" applyFont="1" applyFill="1" applyBorder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16" xfId="0" applyFont="1" applyFill="1" applyBorder="1" applyAlignment="1">
      <alignment vertical="center"/>
    </xf>
    <xf numFmtId="0" fontId="13" fillId="2" borderId="15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3" fillId="2" borderId="16" xfId="0" applyFont="1" applyFill="1" applyBorder="1" applyAlignment="1">
      <alignment horizontal="left" vertical="center"/>
    </xf>
    <xf numFmtId="0" fontId="13" fillId="2" borderId="17" xfId="0" applyFont="1" applyFill="1" applyBorder="1" applyAlignment="1">
      <alignment horizontal="left" vertical="center"/>
    </xf>
    <xf numFmtId="0" fontId="13" fillId="2" borderId="18" xfId="0" applyFont="1" applyFill="1" applyBorder="1" applyAlignment="1">
      <alignment horizontal="left" vertical="center"/>
    </xf>
    <xf numFmtId="0" fontId="13" fillId="2" borderId="19" xfId="0" applyFont="1" applyFill="1" applyBorder="1" applyAlignment="1">
      <alignment horizontal="left" vertical="center"/>
    </xf>
    <xf numFmtId="0" fontId="7" fillId="2" borderId="25" xfId="0" applyFont="1" applyFill="1" applyBorder="1" applyAlignment="1">
      <alignment horizontal="right" vertical="center"/>
    </xf>
    <xf numFmtId="0" fontId="7" fillId="2" borderId="26" xfId="0" applyFont="1" applyFill="1" applyBorder="1" applyAlignment="1">
      <alignment horizontal="right" vertical="center"/>
    </xf>
    <xf numFmtId="165" fontId="11" fillId="2" borderId="27" xfId="0" applyNumberFormat="1" applyFont="1" applyFill="1" applyBorder="1" applyAlignment="1">
      <alignment horizontal="center" vertical="center"/>
    </xf>
    <xf numFmtId="165" fontId="11" fillId="2" borderId="28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/>
    </xf>
    <xf numFmtId="0" fontId="10" fillId="6" borderId="2" xfId="0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6" fillId="6" borderId="20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3" fillId="0" borderId="0" xfId="0" applyFont="1"/>
    <xf numFmtId="0" fontId="11" fillId="0" borderId="11" xfId="0" applyFont="1" applyBorder="1" applyAlignment="1">
      <alignment horizontal="center"/>
    </xf>
    <xf numFmtId="0" fontId="11" fillId="0" borderId="11" xfId="0" applyFont="1" applyBorder="1"/>
    <xf numFmtId="0" fontId="3" fillId="0" borderId="0" xfId="0" applyFont="1" applyAlignment="1">
      <alignment horizontal="center"/>
    </xf>
    <xf numFmtId="0" fontId="17" fillId="6" borderId="11" xfId="0" applyFont="1" applyFill="1" applyBorder="1" applyAlignment="1">
      <alignment horizontal="center"/>
    </xf>
    <xf numFmtId="0" fontId="17" fillId="6" borderId="11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55"/>
  <sheetViews>
    <sheetView showGridLines="0" showRowColHeaders="0" topLeftCell="A10" zoomScale="90" zoomScaleNormal="90" workbookViewId="0">
      <selection activeCell="R18" sqref="R18"/>
    </sheetView>
  </sheetViews>
  <sheetFormatPr defaultColWidth="8.85546875" defaultRowHeight="14.25" x14ac:dyDescent="0.25"/>
  <cols>
    <col min="1" max="1" width="0.85546875" style="3" customWidth="1"/>
    <col min="2" max="2" width="5.140625" style="3" customWidth="1"/>
    <col min="3" max="3" width="22.140625" style="3" customWidth="1"/>
    <col min="4" max="4" width="11.140625" style="3" customWidth="1"/>
    <col min="5" max="5" width="9" style="3" customWidth="1"/>
    <col min="6" max="6" width="14.85546875" style="3" bestFit="1" customWidth="1"/>
    <col min="7" max="7" width="15.5703125" style="3" bestFit="1" customWidth="1"/>
    <col min="8" max="8" width="10" style="3" bestFit="1" customWidth="1"/>
    <col min="9" max="9" width="16.5703125" style="3" bestFit="1" customWidth="1"/>
    <col min="10" max="10" width="9" style="3" bestFit="1" customWidth="1"/>
    <col min="11" max="11" width="11.85546875" style="3" bestFit="1" customWidth="1"/>
    <col min="12" max="12" width="8.85546875" style="3"/>
    <col min="13" max="13" width="10" style="3" bestFit="1" customWidth="1"/>
    <col min="14" max="14" width="8.85546875" style="3"/>
    <col min="15" max="15" width="10" style="3" bestFit="1" customWidth="1"/>
    <col min="16" max="16" width="0.85546875" style="3" customWidth="1"/>
    <col min="17" max="16384" width="8.85546875" style="3"/>
  </cols>
  <sheetData>
    <row r="1" spans="2:39" ht="24.6" customHeight="1" x14ac:dyDescent="0.25">
      <c r="B1" s="1" t="s">
        <v>42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2:39" s="4" customFormat="1" ht="34.700000000000003" customHeight="1" x14ac:dyDescent="0.25"/>
    <row r="3" spans="2:39" s="4" customFormat="1" ht="24.6" customHeight="1" x14ac:dyDescent="0.25"/>
    <row r="4" spans="2:39" ht="22.7" customHeight="1" x14ac:dyDescent="0.25">
      <c r="B4" s="5" t="s">
        <v>24</v>
      </c>
      <c r="C4" s="5"/>
      <c r="D4" s="5"/>
      <c r="L4" s="6"/>
      <c r="M4" s="6"/>
      <c r="N4" s="6"/>
      <c r="O4" s="6"/>
    </row>
    <row r="5" spans="2:39" ht="22.7" customHeight="1" x14ac:dyDescent="0.25">
      <c r="B5" s="5"/>
      <c r="C5" s="5"/>
      <c r="D5" s="5"/>
      <c r="L5" s="6"/>
      <c r="M5" s="6"/>
      <c r="N5" s="6"/>
      <c r="O5" s="6"/>
    </row>
    <row r="6" spans="2:39" ht="15" customHeight="1" thickBot="1" x14ac:dyDescent="0.3">
      <c r="B6" s="7"/>
      <c r="C6" s="7"/>
      <c r="D6" s="7"/>
      <c r="E6" s="8"/>
      <c r="F6" s="8"/>
      <c r="G6" s="8"/>
      <c r="H6" s="8"/>
      <c r="I6" s="8"/>
      <c r="J6" s="8"/>
      <c r="K6" s="8"/>
      <c r="L6" s="8"/>
      <c r="M6" s="8"/>
      <c r="N6" s="8"/>
      <c r="O6" s="8"/>
    </row>
    <row r="7" spans="2:39" ht="21.6" customHeight="1" thickTop="1" x14ac:dyDescent="0.25">
      <c r="B7" s="9"/>
      <c r="C7" s="9"/>
      <c r="D7" s="9"/>
      <c r="L7" s="4"/>
      <c r="M7" s="4"/>
      <c r="N7" s="4"/>
      <c r="O7" s="4"/>
    </row>
    <row r="9" spans="2:39" ht="18.600000000000001" customHeight="1" x14ac:dyDescent="0.25">
      <c r="B9" s="63" t="s">
        <v>25</v>
      </c>
      <c r="C9" s="63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</row>
    <row r="11" spans="2:39" ht="15.75" x14ac:dyDescent="0.25">
      <c r="B11" s="10" t="s">
        <v>26</v>
      </c>
      <c r="C11" s="10"/>
      <c r="D11" s="11" t="s">
        <v>31</v>
      </c>
      <c r="E11" s="11"/>
      <c r="F11" s="11"/>
      <c r="G11" s="11"/>
      <c r="H11" s="11"/>
      <c r="I11" s="11"/>
      <c r="J11" s="11"/>
      <c r="L11" s="10" t="s">
        <v>12</v>
      </c>
      <c r="M11" s="10"/>
      <c r="N11" s="12" t="s">
        <v>10</v>
      </c>
      <c r="O11" s="12"/>
    </row>
    <row r="12" spans="2:39" ht="15.6" customHeight="1" x14ac:dyDescent="0.25">
      <c r="B12" s="10" t="s">
        <v>27</v>
      </c>
      <c r="C12" s="10"/>
      <c r="D12" s="11" t="s">
        <v>32</v>
      </c>
      <c r="E12" s="11"/>
      <c r="F12" s="11"/>
      <c r="G12" s="11"/>
      <c r="H12" s="11"/>
      <c r="I12" s="11"/>
      <c r="J12" s="11"/>
      <c r="L12" s="10" t="s">
        <v>29</v>
      </c>
      <c r="M12" s="10"/>
      <c r="N12" s="12">
        <v>23232</v>
      </c>
      <c r="O12" s="12"/>
      <c r="Y12" s="13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</row>
    <row r="13" spans="2:39" ht="15.6" customHeight="1" x14ac:dyDescent="0.25">
      <c r="B13" s="10" t="s">
        <v>28</v>
      </c>
      <c r="C13" s="10"/>
      <c r="D13" s="11" t="s">
        <v>31</v>
      </c>
      <c r="E13" s="11"/>
      <c r="F13" s="11"/>
      <c r="G13" s="11"/>
      <c r="H13" s="11"/>
      <c r="I13" s="11"/>
      <c r="J13" s="11"/>
      <c r="L13" s="10" t="s">
        <v>30</v>
      </c>
      <c r="M13" s="10"/>
      <c r="N13" s="15">
        <f ca="1">TODAY()</f>
        <v>45485</v>
      </c>
      <c r="O13" s="12"/>
      <c r="R13" s="16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</row>
    <row r="14" spans="2:39" ht="32.450000000000003" customHeight="1" x14ac:dyDescent="0.25">
      <c r="B14" s="17"/>
      <c r="C14" s="17"/>
      <c r="D14" s="4"/>
      <c r="E14" s="4"/>
      <c r="F14" s="4"/>
      <c r="G14" s="4"/>
      <c r="H14" s="4"/>
      <c r="N14" s="17"/>
      <c r="O14" s="17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</row>
    <row r="15" spans="2:39" x14ac:dyDescent="0.25">
      <c r="B15" s="17"/>
      <c r="C15" s="17"/>
      <c r="D15" s="4"/>
      <c r="E15" s="4"/>
      <c r="F15" s="4"/>
      <c r="G15" s="4"/>
      <c r="H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</row>
    <row r="16" spans="2:39" ht="14.45" customHeight="1" x14ac:dyDescent="0.25">
      <c r="Y16" s="4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4"/>
    </row>
    <row r="17" spans="2:39" ht="14.45" customHeight="1" x14ac:dyDescent="0.25">
      <c r="B17" s="64" t="s">
        <v>11</v>
      </c>
      <c r="C17" s="64" t="s">
        <v>33</v>
      </c>
      <c r="D17" s="64" t="s">
        <v>34</v>
      </c>
      <c r="E17" s="65" t="s">
        <v>0</v>
      </c>
      <c r="F17" s="65" t="s">
        <v>35</v>
      </c>
      <c r="G17" s="64" t="s">
        <v>37</v>
      </c>
      <c r="H17" s="65" t="s">
        <v>36</v>
      </c>
      <c r="I17" s="64" t="s">
        <v>38</v>
      </c>
      <c r="J17" s="65" t="s">
        <v>2</v>
      </c>
      <c r="K17" s="65"/>
      <c r="L17" s="65" t="s">
        <v>3</v>
      </c>
      <c r="M17" s="65"/>
      <c r="N17" s="65" t="s">
        <v>4</v>
      </c>
      <c r="O17" s="65"/>
      <c r="Y17" s="4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4"/>
    </row>
    <row r="18" spans="2:39" ht="14.45" customHeight="1" x14ac:dyDescent="0.25">
      <c r="B18" s="64"/>
      <c r="C18" s="64"/>
      <c r="D18" s="64"/>
      <c r="E18" s="65"/>
      <c r="F18" s="65"/>
      <c r="G18" s="65"/>
      <c r="H18" s="65"/>
      <c r="I18" s="64"/>
      <c r="J18" s="66" t="s">
        <v>5</v>
      </c>
      <c r="K18" s="66" t="s">
        <v>39</v>
      </c>
      <c r="L18" s="66" t="s">
        <v>5</v>
      </c>
      <c r="M18" s="66" t="s">
        <v>39</v>
      </c>
      <c r="N18" s="66" t="s">
        <v>5</v>
      </c>
      <c r="O18" s="66" t="s">
        <v>39</v>
      </c>
      <c r="Y18" s="4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4"/>
    </row>
    <row r="19" spans="2:39" ht="14.45" customHeight="1" x14ac:dyDescent="0.25">
      <c r="B19" s="19">
        <v>1</v>
      </c>
      <c r="C19" s="20" t="s">
        <v>14</v>
      </c>
      <c r="D19" s="21">
        <f>IFERROR(VLOOKUP(C19,Data!C2:E12,2,0),"")</f>
        <v>2346</v>
      </c>
      <c r="E19" s="21">
        <v>4</v>
      </c>
      <c r="F19" s="22">
        <f>IFERROR(VLOOKUP(C19,Data!C2:E12,3,0),"")</f>
        <v>140</v>
      </c>
      <c r="G19" s="23">
        <f>IFERROR(E19*F19,"")</f>
        <v>560</v>
      </c>
      <c r="H19" s="22"/>
      <c r="I19" s="23">
        <f>IFERROR(G19-H19,"")</f>
        <v>560</v>
      </c>
      <c r="J19" s="24">
        <v>0.04</v>
      </c>
      <c r="K19" s="23">
        <f>IFERROR(J19*I19,"")</f>
        <v>22.400000000000002</v>
      </c>
      <c r="L19" s="24"/>
      <c r="M19" s="23">
        <f>IFERROR(L19*I19,"")</f>
        <v>0</v>
      </c>
      <c r="N19" s="24"/>
      <c r="O19" s="23">
        <f>IFERROR(N19*I19,"")</f>
        <v>0</v>
      </c>
      <c r="Y19" s="4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4"/>
    </row>
    <row r="20" spans="2:39" ht="14.45" customHeight="1" x14ac:dyDescent="0.25">
      <c r="B20" s="19">
        <f>1+B19</f>
        <v>2</v>
      </c>
      <c r="C20" s="20" t="s">
        <v>15</v>
      </c>
      <c r="D20" s="21">
        <f>IFERROR(VLOOKUP(C20,Data!C3:E13,2,0),"")</f>
        <v>2347</v>
      </c>
      <c r="E20" s="21"/>
      <c r="F20" s="22">
        <f>IFERROR(VLOOKUP(C20,Data!C3:E13,3,0),"")</f>
        <v>2500</v>
      </c>
      <c r="G20" s="23">
        <f t="shared" ref="G20:G28" si="0">IFERROR(E20*F20,"")</f>
        <v>0</v>
      </c>
      <c r="H20" s="22"/>
      <c r="I20" s="23">
        <f t="shared" ref="I20:I28" si="1">IFERROR(G20-H20,"")</f>
        <v>0</v>
      </c>
      <c r="J20" s="24"/>
      <c r="K20" s="23">
        <f>IFERROR(J20*I20,"")</f>
        <v>0</v>
      </c>
      <c r="L20" s="24"/>
      <c r="M20" s="23">
        <f>IFERROR(L20*I20,"")</f>
        <v>0</v>
      </c>
      <c r="N20" s="24"/>
      <c r="O20" s="23">
        <f>IFERROR(N20*I20,"")</f>
        <v>0</v>
      </c>
      <c r="Y20" s="4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4"/>
    </row>
    <row r="21" spans="2:39" ht="14.45" customHeight="1" x14ac:dyDescent="0.25">
      <c r="B21" s="19">
        <v>3</v>
      </c>
      <c r="C21" s="20"/>
      <c r="D21" s="21" t="str">
        <f>IFERROR(VLOOKUP(C21,Data!C4:E14,2,0),"")</f>
        <v/>
      </c>
      <c r="E21" s="21"/>
      <c r="F21" s="22" t="str">
        <f>IFERROR(VLOOKUP(C21,Data!C4:E14,3,0),"")</f>
        <v/>
      </c>
      <c r="G21" s="23" t="str">
        <f t="shared" si="0"/>
        <v/>
      </c>
      <c r="H21" s="22"/>
      <c r="I21" s="23" t="str">
        <f t="shared" si="1"/>
        <v/>
      </c>
      <c r="J21" s="24"/>
      <c r="K21" s="23" t="str">
        <f t="shared" ref="K21:K28" si="2">IFERROR(J21*I21,"")</f>
        <v/>
      </c>
      <c r="L21" s="24"/>
      <c r="M21" s="23" t="str">
        <f t="shared" ref="M21:M28" si="3">IFERROR(L21*I21,"")</f>
        <v/>
      </c>
      <c r="N21" s="24"/>
      <c r="O21" s="23" t="str">
        <f t="shared" ref="O21:O28" si="4">IFERROR(N21*I21,"")</f>
        <v/>
      </c>
      <c r="Y21" s="4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4"/>
    </row>
    <row r="22" spans="2:39" ht="14.45" customHeight="1" x14ac:dyDescent="0.25">
      <c r="B22" s="19">
        <v>4</v>
      </c>
      <c r="C22" s="20"/>
      <c r="D22" s="21" t="str">
        <f>IFERROR(VLOOKUP(C22,Data!C5:E15,2,0),"")</f>
        <v/>
      </c>
      <c r="E22" s="21"/>
      <c r="F22" s="22" t="str">
        <f>IFERROR(VLOOKUP(C22,Data!C5:E15,3,0),"")</f>
        <v/>
      </c>
      <c r="G22" s="23" t="str">
        <f t="shared" si="0"/>
        <v/>
      </c>
      <c r="H22" s="22"/>
      <c r="I22" s="23" t="str">
        <f t="shared" si="1"/>
        <v/>
      </c>
      <c r="J22" s="24"/>
      <c r="K22" s="23" t="str">
        <f t="shared" si="2"/>
        <v/>
      </c>
      <c r="L22" s="24"/>
      <c r="M22" s="23" t="str">
        <f t="shared" si="3"/>
        <v/>
      </c>
      <c r="N22" s="24"/>
      <c r="O22" s="23" t="str">
        <f t="shared" si="4"/>
        <v/>
      </c>
      <c r="Y22" s="4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4"/>
    </row>
    <row r="23" spans="2:39" ht="15" x14ac:dyDescent="0.25">
      <c r="B23" s="19">
        <v>5</v>
      </c>
      <c r="C23" s="20"/>
      <c r="D23" s="21" t="str">
        <f>IFERROR(VLOOKUP(C23,Data!C6:E16,2,0),"")</f>
        <v/>
      </c>
      <c r="E23" s="21"/>
      <c r="F23" s="22" t="str">
        <f>IFERROR(VLOOKUP(C23,Data!C6:E16,3,0),"")</f>
        <v/>
      </c>
      <c r="G23" s="23" t="str">
        <f t="shared" si="0"/>
        <v/>
      </c>
      <c r="H23" s="22"/>
      <c r="I23" s="23" t="str">
        <f t="shared" si="1"/>
        <v/>
      </c>
      <c r="J23" s="24"/>
      <c r="K23" s="23" t="str">
        <f t="shared" si="2"/>
        <v/>
      </c>
      <c r="L23" s="24"/>
      <c r="M23" s="23" t="str">
        <f t="shared" si="3"/>
        <v/>
      </c>
      <c r="N23" s="24"/>
      <c r="O23" s="23" t="str">
        <f t="shared" si="4"/>
        <v/>
      </c>
    </row>
    <row r="24" spans="2:39" ht="15" x14ac:dyDescent="0.25">
      <c r="B24" s="19">
        <v>6</v>
      </c>
      <c r="C24" s="20"/>
      <c r="D24" s="21" t="str">
        <f>IFERROR(VLOOKUP(C24,Data!C7:E17,2,0),"")</f>
        <v/>
      </c>
      <c r="E24" s="21"/>
      <c r="F24" s="22" t="str">
        <f>IFERROR(VLOOKUP(C24,Data!C7:E17,3,0),"")</f>
        <v/>
      </c>
      <c r="G24" s="23" t="str">
        <f t="shared" si="0"/>
        <v/>
      </c>
      <c r="H24" s="22"/>
      <c r="I24" s="23" t="str">
        <f t="shared" si="1"/>
        <v/>
      </c>
      <c r="J24" s="24"/>
      <c r="K24" s="23" t="str">
        <f t="shared" si="2"/>
        <v/>
      </c>
      <c r="L24" s="24"/>
      <c r="M24" s="23" t="str">
        <f t="shared" si="3"/>
        <v/>
      </c>
      <c r="N24" s="24"/>
      <c r="O24" s="23" t="str">
        <f t="shared" si="4"/>
        <v/>
      </c>
    </row>
    <row r="25" spans="2:39" ht="15" x14ac:dyDescent="0.25">
      <c r="B25" s="19">
        <v>7</v>
      </c>
      <c r="C25" s="20"/>
      <c r="D25" s="21" t="str">
        <f>IFERROR(VLOOKUP(C25,Data!C8:E18,2,0),"")</f>
        <v/>
      </c>
      <c r="E25" s="21"/>
      <c r="F25" s="22" t="str">
        <f>IFERROR(VLOOKUP(C25,Data!C8:E18,3,0),"")</f>
        <v/>
      </c>
      <c r="G25" s="23" t="str">
        <f t="shared" si="0"/>
        <v/>
      </c>
      <c r="H25" s="22"/>
      <c r="I25" s="23" t="str">
        <f t="shared" si="1"/>
        <v/>
      </c>
      <c r="J25" s="24"/>
      <c r="K25" s="23" t="str">
        <f t="shared" si="2"/>
        <v/>
      </c>
      <c r="L25" s="24"/>
      <c r="M25" s="23" t="str">
        <f t="shared" si="3"/>
        <v/>
      </c>
      <c r="N25" s="24"/>
      <c r="O25" s="23" t="str">
        <f t="shared" si="4"/>
        <v/>
      </c>
    </row>
    <row r="26" spans="2:39" ht="15" x14ac:dyDescent="0.25">
      <c r="B26" s="19">
        <v>8</v>
      </c>
      <c r="C26" s="20"/>
      <c r="D26" s="21" t="str">
        <f>IFERROR(VLOOKUP(C26,Data!C9:E19,2,0),"")</f>
        <v/>
      </c>
      <c r="E26" s="21"/>
      <c r="F26" s="22" t="str">
        <f>IFERROR(VLOOKUP(C26,Data!C9:E19,3,0),"")</f>
        <v/>
      </c>
      <c r="G26" s="23" t="str">
        <f t="shared" si="0"/>
        <v/>
      </c>
      <c r="H26" s="22"/>
      <c r="I26" s="23" t="str">
        <f t="shared" si="1"/>
        <v/>
      </c>
      <c r="J26" s="24"/>
      <c r="K26" s="23" t="str">
        <f t="shared" si="2"/>
        <v/>
      </c>
      <c r="L26" s="24"/>
      <c r="M26" s="23" t="str">
        <f t="shared" si="3"/>
        <v/>
      </c>
      <c r="N26" s="24"/>
      <c r="O26" s="23" t="str">
        <f t="shared" si="4"/>
        <v/>
      </c>
    </row>
    <row r="27" spans="2:39" ht="15" x14ac:dyDescent="0.25">
      <c r="B27" s="19">
        <v>9</v>
      </c>
      <c r="C27" s="20"/>
      <c r="D27" s="21" t="str">
        <f>IFERROR(VLOOKUP(C27,Data!C10:E20,2,0),"")</f>
        <v/>
      </c>
      <c r="E27" s="21"/>
      <c r="F27" s="22" t="str">
        <f>IFERROR(VLOOKUP(C27,Data!C10:E20,3,0),"")</f>
        <v/>
      </c>
      <c r="G27" s="23" t="str">
        <f t="shared" si="0"/>
        <v/>
      </c>
      <c r="H27" s="22"/>
      <c r="I27" s="23" t="str">
        <f t="shared" si="1"/>
        <v/>
      </c>
      <c r="J27" s="24"/>
      <c r="K27" s="23" t="str">
        <f t="shared" si="2"/>
        <v/>
      </c>
      <c r="L27" s="24"/>
      <c r="M27" s="23" t="str">
        <f t="shared" si="3"/>
        <v/>
      </c>
      <c r="N27" s="24"/>
      <c r="O27" s="23" t="str">
        <f t="shared" si="4"/>
        <v/>
      </c>
    </row>
    <row r="28" spans="2:39" ht="15" x14ac:dyDescent="0.25">
      <c r="B28" s="19">
        <v>10</v>
      </c>
      <c r="C28" s="20"/>
      <c r="D28" s="21" t="str">
        <f>IFERROR(VLOOKUP(C28,Data!C11:E21,2,0),"")</f>
        <v/>
      </c>
      <c r="E28" s="21"/>
      <c r="F28" s="22" t="str">
        <f>IFERROR(VLOOKUP(C28,Data!C11:E21,3,0),"")</f>
        <v/>
      </c>
      <c r="G28" s="23" t="str">
        <f t="shared" si="0"/>
        <v/>
      </c>
      <c r="H28" s="22"/>
      <c r="I28" s="23" t="str">
        <f t="shared" si="1"/>
        <v/>
      </c>
      <c r="J28" s="24"/>
      <c r="K28" s="23" t="str">
        <f t="shared" si="2"/>
        <v/>
      </c>
      <c r="L28" s="24"/>
      <c r="M28" s="23" t="str">
        <f t="shared" si="3"/>
        <v/>
      </c>
      <c r="N28" s="24"/>
      <c r="O28" s="23" t="str">
        <f t="shared" si="4"/>
        <v/>
      </c>
    </row>
    <row r="29" spans="2:39" ht="15" x14ac:dyDescent="0.25">
      <c r="B29" s="26" t="s">
        <v>6</v>
      </c>
      <c r="C29" s="26"/>
      <c r="D29" s="26"/>
      <c r="E29" s="26"/>
      <c r="F29" s="26"/>
      <c r="G29" s="23">
        <f>SUM(G19:G28)</f>
        <v>560</v>
      </c>
      <c r="H29" s="23">
        <f>SUM(H19:H28)</f>
        <v>0</v>
      </c>
      <c r="I29" s="23">
        <f>SUM(I19:I28)</f>
        <v>560</v>
      </c>
      <c r="J29" s="27"/>
      <c r="K29" s="23">
        <f>SUM(K19:K28)</f>
        <v>22.400000000000002</v>
      </c>
      <c r="L29" s="27"/>
      <c r="M29" s="23">
        <f>SUM(M19:M28)</f>
        <v>0</v>
      </c>
      <c r="N29" s="27"/>
      <c r="O29" s="23">
        <f>SUM(O19:O28)</f>
        <v>0</v>
      </c>
    </row>
    <row r="30" spans="2:39" ht="30" customHeight="1" x14ac:dyDescent="0.25"/>
    <row r="32" spans="2:39" ht="20.25" x14ac:dyDescent="0.25">
      <c r="B32" s="28" t="s">
        <v>40</v>
      </c>
      <c r="C32" s="29"/>
      <c r="D32" s="29"/>
      <c r="E32" s="29"/>
      <c r="F32" s="29"/>
      <c r="G32" s="29"/>
      <c r="H32" s="29"/>
      <c r="I32" s="30"/>
      <c r="J32" s="31"/>
      <c r="K32" s="67" t="s">
        <v>41</v>
      </c>
      <c r="L32" s="68"/>
      <c r="M32" s="68"/>
      <c r="N32" s="68" t="s">
        <v>39</v>
      </c>
      <c r="O32" s="69"/>
      <c r="Q32" s="32"/>
    </row>
    <row r="33" spans="2:15" ht="15.75" x14ac:dyDescent="0.25">
      <c r="B33" s="33" t="s">
        <v>43</v>
      </c>
      <c r="C33" s="34"/>
      <c r="D33" s="34"/>
      <c r="E33" s="34"/>
      <c r="F33" s="34"/>
      <c r="G33" s="34"/>
      <c r="H33" s="34"/>
      <c r="I33" s="35"/>
      <c r="J33" s="31"/>
      <c r="K33" s="36" t="s">
        <v>46</v>
      </c>
      <c r="L33" s="37"/>
      <c r="M33" s="37"/>
      <c r="N33" s="38">
        <f>G29</f>
        <v>560</v>
      </c>
      <c r="O33" s="39"/>
    </row>
    <row r="34" spans="2:15" ht="15.75" x14ac:dyDescent="0.25">
      <c r="B34" s="40" t="s">
        <v>44</v>
      </c>
      <c r="C34" s="41"/>
      <c r="D34" s="41"/>
      <c r="E34" s="41"/>
      <c r="F34" s="41"/>
      <c r="G34" s="41"/>
      <c r="H34" s="41"/>
      <c r="I34" s="42"/>
      <c r="J34" s="31"/>
      <c r="K34" s="36" t="s">
        <v>47</v>
      </c>
      <c r="L34" s="37"/>
      <c r="M34" s="37"/>
      <c r="N34" s="38">
        <f>H29</f>
        <v>0</v>
      </c>
      <c r="O34" s="39"/>
    </row>
    <row r="35" spans="2:15" ht="15.75" x14ac:dyDescent="0.25">
      <c r="B35" s="33" t="s">
        <v>45</v>
      </c>
      <c r="C35" s="34"/>
      <c r="D35" s="34"/>
      <c r="E35" s="34"/>
      <c r="F35" s="34"/>
      <c r="G35" s="34"/>
      <c r="H35" s="34"/>
      <c r="I35" s="35"/>
      <c r="J35" s="31"/>
      <c r="K35" s="36" t="s">
        <v>48</v>
      </c>
      <c r="L35" s="37"/>
      <c r="M35" s="37"/>
      <c r="N35" s="38">
        <f>I29</f>
        <v>560</v>
      </c>
      <c r="O35" s="39"/>
    </row>
    <row r="36" spans="2:15" ht="15.75" x14ac:dyDescent="0.25">
      <c r="B36" s="33" t="s">
        <v>45</v>
      </c>
      <c r="C36" s="34"/>
      <c r="D36" s="34"/>
      <c r="E36" s="34"/>
      <c r="F36" s="34"/>
      <c r="G36" s="34"/>
      <c r="H36" s="34"/>
      <c r="I36" s="35"/>
      <c r="J36" s="31"/>
      <c r="K36" s="36" t="s">
        <v>7</v>
      </c>
      <c r="L36" s="37"/>
      <c r="M36" s="37"/>
      <c r="N36" s="38">
        <f>K29</f>
        <v>22.400000000000002</v>
      </c>
      <c r="O36" s="39"/>
    </row>
    <row r="37" spans="2:15" ht="15.75" x14ac:dyDescent="0.25">
      <c r="B37" s="33" t="s">
        <v>45</v>
      </c>
      <c r="C37" s="34"/>
      <c r="D37" s="34"/>
      <c r="E37" s="34"/>
      <c r="F37" s="34"/>
      <c r="G37" s="34"/>
      <c r="H37" s="34"/>
      <c r="I37" s="35"/>
      <c r="J37" s="31"/>
      <c r="K37" s="36" t="s">
        <v>8</v>
      </c>
      <c r="L37" s="37"/>
      <c r="M37" s="37"/>
      <c r="N37" s="38">
        <f>M29</f>
        <v>0</v>
      </c>
      <c r="O37" s="39"/>
    </row>
    <row r="38" spans="2:15" ht="18" x14ac:dyDescent="0.25">
      <c r="B38" s="43"/>
      <c r="C38" s="44"/>
      <c r="D38" s="44"/>
      <c r="E38" s="44"/>
      <c r="F38" s="44"/>
      <c r="G38" s="44"/>
      <c r="H38" s="44"/>
      <c r="I38" s="45"/>
      <c r="J38" s="31"/>
      <c r="K38" s="36" t="s">
        <v>9</v>
      </c>
      <c r="L38" s="37"/>
      <c r="M38" s="37"/>
      <c r="N38" s="38">
        <f>O29</f>
        <v>0</v>
      </c>
      <c r="O38" s="39"/>
    </row>
    <row r="39" spans="2:15" ht="18" x14ac:dyDescent="0.25">
      <c r="B39" s="46"/>
      <c r="C39" s="47"/>
      <c r="D39" s="47"/>
      <c r="E39" s="47"/>
      <c r="F39" s="47"/>
      <c r="G39" s="47"/>
      <c r="H39" s="47"/>
      <c r="I39" s="48"/>
      <c r="K39" s="49" t="s">
        <v>49</v>
      </c>
      <c r="L39" s="50"/>
      <c r="M39" s="50"/>
      <c r="N39" s="51">
        <f>SUM(N35:O38)</f>
        <v>582.4</v>
      </c>
      <c r="O39" s="52"/>
    </row>
    <row r="40" spans="2:15" x14ac:dyDescent="0.25">
      <c r="K40" s="17"/>
      <c r="L40" s="17"/>
      <c r="M40" s="17"/>
    </row>
    <row r="43" spans="2:15" ht="20.25" x14ac:dyDescent="0.25">
      <c r="B43" s="53" t="s">
        <v>50</v>
      </c>
      <c r="C43" s="53"/>
      <c r="D43" s="53"/>
      <c r="E43" s="54" t="str">
        <f>englishnumber(N39)</f>
        <v>five hundred eighty-two</v>
      </c>
      <c r="F43" s="54"/>
      <c r="G43" s="54"/>
      <c r="H43" s="54"/>
      <c r="I43" s="54"/>
      <c r="J43" s="54"/>
      <c r="K43" s="54"/>
      <c r="L43" s="54"/>
      <c r="M43" s="54"/>
      <c r="N43" s="54"/>
      <c r="O43" s="54"/>
    </row>
    <row r="46" spans="2:15" x14ac:dyDescent="0.25">
      <c r="B46" s="55"/>
      <c r="C46" s="56"/>
      <c r="D46" s="57"/>
      <c r="L46" s="55"/>
      <c r="M46" s="56"/>
      <c r="N46" s="56"/>
      <c r="O46" s="57"/>
    </row>
    <row r="47" spans="2:15" x14ac:dyDescent="0.25">
      <c r="B47" s="58"/>
      <c r="C47" s="59"/>
      <c r="D47" s="60"/>
      <c r="L47" s="58"/>
      <c r="M47" s="59"/>
      <c r="N47" s="59"/>
      <c r="O47" s="60"/>
    </row>
    <row r="48" spans="2:15" ht="12.6" customHeight="1" x14ac:dyDescent="0.25"/>
    <row r="49" spans="2:15" ht="23.25" x14ac:dyDescent="0.25">
      <c r="B49" s="61" t="s">
        <v>51</v>
      </c>
      <c r="C49" s="61"/>
      <c r="D49" s="61"/>
      <c r="L49" s="61" t="s">
        <v>52</v>
      </c>
      <c r="M49" s="61"/>
      <c r="N49" s="61"/>
      <c r="O49" s="61"/>
    </row>
    <row r="53" spans="2:15" ht="15" thickBot="1" x14ac:dyDescent="0.3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</row>
    <row r="54" spans="2:15" ht="15" thickTop="1" x14ac:dyDescent="0.25"/>
    <row r="55" spans="2:15" ht="20.25" x14ac:dyDescent="0.25">
      <c r="E55" s="62" t="s">
        <v>53</v>
      </c>
      <c r="F55" s="62"/>
      <c r="G55" s="62"/>
      <c r="H55" s="62"/>
      <c r="I55" s="62"/>
      <c r="J55" s="62"/>
      <c r="K55" s="62"/>
    </row>
  </sheetData>
  <mergeCells count="62">
    <mergeCell ref="B1:O1"/>
    <mergeCell ref="B33:I33"/>
    <mergeCell ref="B34:I34"/>
    <mergeCell ref="J17:K17"/>
    <mergeCell ref="L17:M17"/>
    <mergeCell ref="N17:O17"/>
    <mergeCell ref="B13:C13"/>
    <mergeCell ref="B4:D6"/>
    <mergeCell ref="K32:M32"/>
    <mergeCell ref="B9:O9"/>
    <mergeCell ref="N33:O33"/>
    <mergeCell ref="G17:G18"/>
    <mergeCell ref="H17:H18"/>
    <mergeCell ref="I17:I18"/>
    <mergeCell ref="B17:B18"/>
    <mergeCell ref="C17:C18"/>
    <mergeCell ref="E17:E18"/>
    <mergeCell ref="F17:F18"/>
    <mergeCell ref="B38:I38"/>
    <mergeCell ref="N38:O38"/>
    <mergeCell ref="K33:M33"/>
    <mergeCell ref="B35:I35"/>
    <mergeCell ref="B29:F29"/>
    <mergeCell ref="B32:I32"/>
    <mergeCell ref="N32:O32"/>
    <mergeCell ref="D17:D18"/>
    <mergeCell ref="K35:M35"/>
    <mergeCell ref="N36:O36"/>
    <mergeCell ref="N37:O37"/>
    <mergeCell ref="N34:O34"/>
    <mergeCell ref="N35:O35"/>
    <mergeCell ref="B14:C14"/>
    <mergeCell ref="B15:C15"/>
    <mergeCell ref="E55:K55"/>
    <mergeCell ref="N11:O11"/>
    <mergeCell ref="N12:O12"/>
    <mergeCell ref="N13:O13"/>
    <mergeCell ref="N14:O14"/>
    <mergeCell ref="L11:M11"/>
    <mergeCell ref="L12:M12"/>
    <mergeCell ref="L13:M13"/>
    <mergeCell ref="K36:M36"/>
    <mergeCell ref="K37:M37"/>
    <mergeCell ref="K38:M38"/>
    <mergeCell ref="B36:I36"/>
    <mergeCell ref="B37:I37"/>
    <mergeCell ref="K34:M34"/>
    <mergeCell ref="D11:J11"/>
    <mergeCell ref="D12:J12"/>
    <mergeCell ref="D13:J13"/>
    <mergeCell ref="B11:C11"/>
    <mergeCell ref="B12:C12"/>
    <mergeCell ref="B46:D47"/>
    <mergeCell ref="B49:D49"/>
    <mergeCell ref="L46:O47"/>
    <mergeCell ref="L49:O49"/>
    <mergeCell ref="K39:M39"/>
    <mergeCell ref="K40:M40"/>
    <mergeCell ref="N39:O39"/>
    <mergeCell ref="B39:I39"/>
    <mergeCell ref="B43:D43"/>
    <mergeCell ref="E43:O43"/>
  </mergeCells>
  <pageMargins left="0.25" right="0.25" top="0.75" bottom="0.75" header="0.3" footer="0.3"/>
  <pageSetup scale="7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Data!$C$3:$C$12</xm:f>
          </x14:formula1>
          <xm:sqref>C19:C28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E12"/>
  <sheetViews>
    <sheetView showGridLines="0" showRowColHeaders="0" tabSelected="1" workbookViewId="0">
      <selection activeCell="K10" sqref="K10"/>
    </sheetView>
  </sheetViews>
  <sheetFormatPr defaultColWidth="8.85546875" defaultRowHeight="14.25" x14ac:dyDescent="0.2"/>
  <cols>
    <col min="1" max="1" width="1.85546875" style="70" customWidth="1"/>
    <col min="2" max="2" width="6.140625" style="73" bestFit="1" customWidth="1"/>
    <col min="3" max="3" width="21.85546875" style="70" customWidth="1"/>
    <col min="4" max="4" width="15.140625" style="70" customWidth="1"/>
    <col min="5" max="5" width="10.42578125" style="70" customWidth="1"/>
    <col min="6" max="6" width="1.85546875" style="70" customWidth="1"/>
    <col min="7" max="16384" width="8.85546875" style="70"/>
  </cols>
  <sheetData>
    <row r="2" spans="2:5" ht="18" x14ac:dyDescent="0.25">
      <c r="B2" s="74" t="s">
        <v>23</v>
      </c>
      <c r="C2" s="75" t="s">
        <v>54</v>
      </c>
      <c r="D2" s="74" t="s">
        <v>55</v>
      </c>
      <c r="E2" s="74" t="s">
        <v>1</v>
      </c>
    </row>
    <row r="3" spans="2:5" ht="15" x14ac:dyDescent="0.25">
      <c r="B3" s="71">
        <v>1</v>
      </c>
      <c r="C3" s="72" t="s">
        <v>13</v>
      </c>
      <c r="D3" s="71">
        <v>2345</v>
      </c>
      <c r="E3" s="71">
        <v>210</v>
      </c>
    </row>
    <row r="4" spans="2:5" ht="15" x14ac:dyDescent="0.25">
      <c r="B4" s="71">
        <v>2</v>
      </c>
      <c r="C4" s="72" t="s">
        <v>14</v>
      </c>
      <c r="D4" s="71">
        <v>2346</v>
      </c>
      <c r="E4" s="71">
        <v>140</v>
      </c>
    </row>
    <row r="5" spans="2:5" ht="15" x14ac:dyDescent="0.25">
      <c r="B5" s="71">
        <v>3</v>
      </c>
      <c r="C5" s="72" t="s">
        <v>15</v>
      </c>
      <c r="D5" s="71">
        <v>2347</v>
      </c>
      <c r="E5" s="71">
        <v>2500</v>
      </c>
    </row>
    <row r="6" spans="2:5" ht="15" x14ac:dyDescent="0.25">
      <c r="B6" s="71">
        <v>4</v>
      </c>
      <c r="C6" s="72" t="s">
        <v>16</v>
      </c>
      <c r="D6" s="71">
        <v>2348</v>
      </c>
      <c r="E6" s="71">
        <v>1000</v>
      </c>
    </row>
    <row r="7" spans="2:5" ht="15" x14ac:dyDescent="0.25">
      <c r="B7" s="71">
        <v>5</v>
      </c>
      <c r="C7" s="72" t="s">
        <v>17</v>
      </c>
      <c r="D7" s="71">
        <v>2349</v>
      </c>
      <c r="E7" s="71">
        <v>430</v>
      </c>
    </row>
    <row r="8" spans="2:5" ht="15" x14ac:dyDescent="0.25">
      <c r="B8" s="71">
        <v>6</v>
      </c>
      <c r="C8" s="72" t="s">
        <v>18</v>
      </c>
      <c r="D8" s="71">
        <v>2350</v>
      </c>
      <c r="E8" s="71">
        <v>540</v>
      </c>
    </row>
    <row r="9" spans="2:5" ht="15" x14ac:dyDescent="0.25">
      <c r="B9" s="71">
        <v>7</v>
      </c>
      <c r="C9" s="72" t="s">
        <v>19</v>
      </c>
      <c r="D9" s="71">
        <v>2351</v>
      </c>
      <c r="E9" s="71">
        <v>100</v>
      </c>
    </row>
    <row r="10" spans="2:5" ht="15" x14ac:dyDescent="0.25">
      <c r="B10" s="71">
        <v>8</v>
      </c>
      <c r="C10" s="72" t="s">
        <v>20</v>
      </c>
      <c r="D10" s="71">
        <v>2352</v>
      </c>
      <c r="E10" s="71">
        <v>1500</v>
      </c>
    </row>
    <row r="11" spans="2:5" ht="15" x14ac:dyDescent="0.25">
      <c r="B11" s="71">
        <v>9</v>
      </c>
      <c r="C11" s="72" t="s">
        <v>21</v>
      </c>
      <c r="D11" s="71">
        <v>2353</v>
      </c>
      <c r="E11" s="71">
        <v>120</v>
      </c>
    </row>
    <row r="12" spans="2:5" ht="15" x14ac:dyDescent="0.25">
      <c r="B12" s="71">
        <v>10</v>
      </c>
      <c r="C12" s="72" t="s">
        <v>22</v>
      </c>
      <c r="D12" s="71">
        <v>2354</v>
      </c>
      <c r="E12" s="71">
        <v>2000</v>
      </c>
    </row>
  </sheetData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GST Invoice</dc:title>
  <dc:creator>Jamshaid Ali</dc:creator>
  <cp:keywords>GST Invoice</cp:keywords>
  <cp:lastModifiedBy>ihsan nur rahman</cp:lastModifiedBy>
  <cp:lastPrinted>2022-08-10T18:17:36Z</cp:lastPrinted>
  <dcterms:created xsi:type="dcterms:W3CDTF">2017-07-03T08:09:47Z</dcterms:created>
  <dcterms:modified xsi:type="dcterms:W3CDTF">2024-07-12T04:06:52Z</dcterms:modified>
  <cp:category>Invoice</cp:category>
</cp:coreProperties>
</file>