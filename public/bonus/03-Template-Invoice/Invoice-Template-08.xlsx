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filterPrivacy="1"/>
  <xr:revisionPtr revIDLastSave="0" documentId="13_ncr:1_{955499DE-329C-45CC-9DA2-B86988F485A2}" xr6:coauthVersionLast="47" xr6:coauthVersionMax="47" xr10:uidLastSave="{00000000-0000-0000-0000-000000000000}"/>
  <bookViews>
    <workbookView xWindow="-120" yWindow="-120" windowWidth="20730" windowHeight="11760" tabRatio="748" xr2:uid="{00000000-000D-0000-FFFF-FFFF00000000}"/>
  </bookViews>
  <sheets>
    <sheet name="Invoice" sheetId="5" r:id="rId1"/>
  </sheets>
  <definedNames>
    <definedName name="_xlnm._FilterDatabase" localSheetId="0" hidden="1">Invoice!$B$6:$F$10</definedName>
    <definedName name="_xlnm.Print_Area" localSheetId="0">Invoice!$A$1:$G$37</definedName>
  </definedNames>
  <calcPr calcId="191029" concurrentCalc="0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0" i="5" l="1"/>
  <c r="F20" i="5"/>
  <c r="F21" i="5"/>
  <c r="F22" i="5"/>
  <c r="F23" i="5"/>
  <c r="F24" i="5"/>
  <c r="F13" i="5"/>
  <c r="F14" i="5"/>
  <c r="F15" i="5"/>
  <c r="F16" i="5"/>
  <c r="F17" i="5"/>
  <c r="F18" i="5"/>
  <c r="F19" i="5"/>
  <c r="F25" i="5"/>
  <c r="F26" i="5"/>
  <c r="F28" i="5"/>
  <c r="F32" i="5"/>
  <c r="C2" i="5"/>
  <c r="C4" i="5"/>
</calcChain>
</file>

<file path=xl/sharedStrings.xml><?xml version="1.0" encoding="utf-8"?>
<sst xmlns="http://schemas.openxmlformats.org/spreadsheetml/2006/main" count="27" uniqueCount="27">
  <si>
    <t xml:space="preserve">Balance due  </t>
  </si>
  <si>
    <t>Item Number 1</t>
  </si>
  <si>
    <t>Item Number 2</t>
  </si>
  <si>
    <t>Item Number 3</t>
  </si>
  <si>
    <t>Item Number 4</t>
  </si>
  <si>
    <t>XYZ Private Limited.</t>
  </si>
  <si>
    <t>I-00-001</t>
  </si>
  <si>
    <t>Sub Total</t>
  </si>
  <si>
    <t>VAT Rate</t>
  </si>
  <si>
    <t>FAKTUR</t>
  </si>
  <si>
    <t>Tanggal :</t>
  </si>
  <si>
    <t>Faktur #:</t>
  </si>
  <si>
    <t>Tenggat :</t>
  </si>
  <si>
    <t>PEMABAYARAN KEPADA</t>
  </si>
  <si>
    <t>Nama</t>
  </si>
  <si>
    <t>Alamat</t>
  </si>
  <si>
    <t>Kota, Kode POS</t>
  </si>
  <si>
    <t>No Hp</t>
  </si>
  <si>
    <t>Kuantitas</t>
  </si>
  <si>
    <t>Deskripsi</t>
  </si>
  <si>
    <t>Harga Unit</t>
  </si>
  <si>
    <t>Pemakaian Diskon</t>
  </si>
  <si>
    <t>Jumlah</t>
  </si>
  <si>
    <t>KOMEN</t>
  </si>
  <si>
    <t>TERIMAKASIH ATAS BISNIS ANDA !</t>
  </si>
  <si>
    <t>Pengiriman</t>
  </si>
  <si>
    <t>VAT 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</si>
</sst>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(&quot;$&quot;* #,##0.00_);_(&quot;$&quot;* \(#,##0.00\);_(&quot;$&quot;* &quot;-&quot;??_);_(@_)"/>
    <numFmt numFmtId="165" formatCode="@\ \ "/>
    <numFmt numFmtId="166" formatCode="mm/dd/yy;@"/>
    <numFmt numFmtId="167" formatCode="_([$IDR]\ * #,##0.00_);_([$IDR]\ * \(#,##0.00\);_([$IDR]\ * &quot;-&quot;??_);_(@_)"/>
  </numFmts>
  <fonts count="21" x14ac:knownFonts="1">
    <font>
      <sz val="11"/>
      <name val="Century Gothic"/>
      <family val="2"/>
      <scheme val="minor"/>
    </font>
    <font>
      <sz val="10"/>
      <name val="Arial"/>
      <family val="2"/>
    </font>
    <font>
      <b/>
      <sz val="48"/>
      <color theme="5"/>
      <name val="Century Gothic"/>
      <family val="2"/>
      <scheme val="major"/>
    </font>
    <font>
      <b/>
      <sz val="12"/>
      <color theme="1"/>
      <name val="Century Gothic"/>
      <family val="2"/>
      <scheme val="major"/>
    </font>
    <font>
      <sz val="8"/>
      <name val="Century Gothic"/>
      <family val="2"/>
      <scheme val="minor"/>
    </font>
    <font>
      <sz val="10"/>
      <color theme="5"/>
      <name val="Arial"/>
      <family val="2"/>
    </font>
    <font>
      <b/>
      <sz val="10"/>
      <color theme="0"/>
      <name val="Century Gothic"/>
      <family val="2"/>
      <scheme val="minor"/>
    </font>
    <font>
      <b/>
      <sz val="25"/>
      <color theme="0"/>
      <name val="Arial"/>
      <family val="2"/>
    </font>
    <font>
      <b/>
      <i/>
      <sz val="25"/>
      <color theme="0"/>
      <name val="Arial"/>
      <family val="2"/>
    </font>
    <font>
      <b/>
      <sz val="10"/>
      <color theme="0"/>
      <name val="Arial"/>
      <family val="2"/>
    </font>
    <font>
      <b/>
      <sz val="12"/>
      <color theme="0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48"/>
      <color theme="1"/>
      <name val="Arial"/>
      <family val="2"/>
    </font>
    <font>
      <sz val="9"/>
      <color theme="1"/>
      <name val="Arial"/>
      <family val="2"/>
    </font>
    <font>
      <b/>
      <sz val="40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/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6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medium">
        <color theme="0" tint="-0.14999847407452621"/>
      </left>
      <right/>
      <top style="medium">
        <color theme="0" tint="-0.14999847407452621"/>
      </top>
      <bottom style="medium">
        <color theme="0" tint="-0.14999847407452621"/>
      </bottom>
      <diagonal/>
    </border>
    <border>
      <left/>
      <right/>
      <top style="medium">
        <color theme="0" tint="-0.14999847407452621"/>
      </top>
      <bottom style="medium">
        <color theme="0" tint="-0.14999847407452621"/>
      </bottom>
      <diagonal/>
    </border>
    <border>
      <left/>
      <right style="medium">
        <color theme="0" tint="-0.14999847407452621"/>
      </right>
      <top style="medium">
        <color theme="0" tint="-0.14999847407452621"/>
      </top>
      <bottom style="medium">
        <color theme="0" tint="-0.14999847407452621"/>
      </bottom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>
      <alignment horizontal="left" vertical="center"/>
    </xf>
    <xf numFmtId="0" fontId="3" fillId="3" borderId="0">
      <alignment vertical="center"/>
    </xf>
    <xf numFmtId="0" fontId="5" fillId="2" borderId="1" applyFont="0">
      <alignment horizontal="left"/>
    </xf>
    <xf numFmtId="0" fontId="6" fillId="2" borderId="0" applyFont="0" applyAlignment="0">
      <alignment horizontal="left" vertical="top" wrapText="1" indent="1"/>
    </xf>
    <xf numFmtId="0" fontId="4" fillId="0" borderId="0" applyFont="0" applyAlignment="0">
      <alignment horizontal="left" vertical="top" wrapText="1" indent="1"/>
    </xf>
  </cellStyleXfs>
  <cellXfs count="64">
    <xf numFmtId="0" fontId="0" fillId="0" borderId="0" xfId="0"/>
    <xf numFmtId="0" fontId="7" fillId="4" borderId="0" xfId="5" applyFont="1" applyFill="1" applyBorder="1" applyAlignment="1">
      <alignment horizontal="center" vertical="center" wrapText="1"/>
    </xf>
    <xf numFmtId="0" fontId="8" fillId="4" borderId="0" xfId="5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/>
    </xf>
    <xf numFmtId="0" fontId="7" fillId="4" borderId="0" xfId="3" applyFont="1" applyFill="1" applyAlignment="1">
      <alignment horizontal="center" vertical="center"/>
    </xf>
    <xf numFmtId="0" fontId="10" fillId="4" borderId="7" xfId="4" applyFont="1" applyFill="1" applyBorder="1">
      <alignment vertical="center"/>
    </xf>
    <xf numFmtId="0" fontId="10" fillId="4" borderId="14" xfId="4" applyFont="1" applyFill="1" applyBorder="1" applyAlignment="1">
      <alignment horizontal="center" vertical="center"/>
    </xf>
    <xf numFmtId="0" fontId="10" fillId="4" borderId="15" xfId="4" applyFont="1" applyFill="1" applyBorder="1" applyAlignment="1">
      <alignment horizontal="center" vertical="center"/>
    </xf>
    <xf numFmtId="0" fontId="10" fillId="4" borderId="16" xfId="4" applyFont="1" applyFill="1" applyBorder="1" applyAlignment="1">
      <alignment horizontal="center" vertical="center"/>
    </xf>
    <xf numFmtId="0" fontId="11" fillId="0" borderId="0" xfId="0" applyFont="1" applyAlignment="1">
      <alignment horizontal="left" indent="1"/>
    </xf>
    <xf numFmtId="0" fontId="13" fillId="0" borderId="0" xfId="0" applyFont="1" applyAlignment="1">
      <alignment horizontal="left" indent="1"/>
    </xf>
    <xf numFmtId="0" fontId="12" fillId="5" borderId="0" xfId="0" applyFont="1" applyFill="1" applyAlignment="1">
      <alignment horizontal="left" vertical="center"/>
    </xf>
    <xf numFmtId="166" fontId="13" fillId="5" borderId="0" xfId="0" quotePrefix="1" applyNumberFormat="1" applyFont="1" applyFill="1" applyAlignment="1">
      <alignment horizontal="left" vertical="center" indent="1"/>
    </xf>
    <xf numFmtId="0" fontId="13" fillId="5" borderId="0" xfId="0" applyFont="1" applyFill="1" applyAlignment="1">
      <alignment horizontal="center"/>
    </xf>
    <xf numFmtId="0" fontId="14" fillId="5" borderId="0" xfId="3" applyFont="1" applyFill="1">
      <alignment horizontal="left" vertical="center"/>
    </xf>
    <xf numFmtId="0" fontId="13" fillId="5" borderId="0" xfId="0" applyFont="1" applyFill="1" applyAlignment="1">
      <alignment horizontal="left" vertical="center" indent="1"/>
    </xf>
    <xf numFmtId="0" fontId="15" fillId="5" borderId="0" xfId="0" applyFont="1" applyFill="1" applyAlignment="1">
      <alignment horizontal="center"/>
    </xf>
    <xf numFmtId="0" fontId="15" fillId="5" borderId="0" xfId="0" applyFont="1" applyFill="1" applyAlignment="1">
      <alignment horizontal="left" indent="1"/>
    </xf>
    <xf numFmtId="0" fontId="15" fillId="0" borderId="0" xfId="0" applyFont="1" applyAlignment="1">
      <alignment horizontal="left" indent="1"/>
    </xf>
    <xf numFmtId="166" fontId="13" fillId="5" borderId="0" xfId="0" applyNumberFormat="1" applyFont="1" applyFill="1" applyAlignment="1">
      <alignment horizontal="left" vertical="center" wrapText="1" indent="1"/>
    </xf>
    <xf numFmtId="0" fontId="16" fillId="5" borderId="0" xfId="3" applyFont="1" applyFill="1">
      <alignment horizontal="left" vertical="center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left" vertical="top" wrapText="1" indent="1"/>
    </xf>
    <xf numFmtId="0" fontId="11" fillId="4" borderId="0" xfId="0" applyFont="1" applyFill="1" applyAlignment="1">
      <alignment horizontal="left" indent="1"/>
    </xf>
    <xf numFmtId="0" fontId="11" fillId="5" borderId="3" xfId="0" applyFont="1" applyFill="1" applyBorder="1"/>
    <xf numFmtId="0" fontId="11" fillId="0" borderId="0" xfId="0" applyFont="1" applyAlignment="1">
      <alignment horizontal="left" vertical="center" indent="1"/>
    </xf>
    <xf numFmtId="0" fontId="13" fillId="5" borderId="6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left" vertical="center" indent="1"/>
    </xf>
    <xf numFmtId="167" fontId="15" fillId="5" borderId="1" xfId="1" applyNumberFormat="1" applyFont="1" applyFill="1" applyBorder="1" applyAlignment="1">
      <alignment horizontal="center" vertical="center"/>
    </xf>
    <xf numFmtId="167" fontId="15" fillId="5" borderId="1" xfId="0" applyNumberFormat="1" applyFont="1" applyFill="1" applyBorder="1" applyAlignment="1">
      <alignment horizontal="center" vertical="center"/>
    </xf>
    <xf numFmtId="167" fontId="12" fillId="5" borderId="1" xfId="2" applyNumberFormat="1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left" vertical="center" indent="1"/>
    </xf>
    <xf numFmtId="167" fontId="15" fillId="5" borderId="2" xfId="1" applyNumberFormat="1" applyFont="1" applyFill="1" applyBorder="1" applyAlignment="1">
      <alignment horizontal="center" vertical="center"/>
    </xf>
    <xf numFmtId="167" fontId="15" fillId="5" borderId="2" xfId="0" applyNumberFormat="1" applyFont="1" applyFill="1" applyBorder="1" applyAlignment="1">
      <alignment horizontal="center" vertical="center"/>
    </xf>
    <xf numFmtId="167" fontId="12" fillId="5" borderId="2" xfId="2" applyNumberFormat="1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/>
    </xf>
    <xf numFmtId="167" fontId="15" fillId="5" borderId="0" xfId="1" applyNumberFormat="1" applyFont="1" applyFill="1" applyAlignment="1">
      <alignment horizontal="center" vertical="center"/>
    </xf>
    <xf numFmtId="167" fontId="15" fillId="5" borderId="0" xfId="0" applyNumberFormat="1" applyFont="1" applyFill="1" applyAlignment="1">
      <alignment horizontal="center" vertical="center"/>
    </xf>
    <xf numFmtId="167" fontId="12" fillId="5" borderId="0" xfId="2" applyNumberFormat="1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left" vertical="center" indent="1"/>
    </xf>
    <xf numFmtId="0" fontId="13" fillId="0" borderId="0" xfId="0" applyFont="1" applyAlignment="1">
      <alignment horizontal="left" vertical="center" indent="1"/>
    </xf>
    <xf numFmtId="165" fontId="12" fillId="0" borderId="0" xfId="0" applyNumberFormat="1" applyFont="1" applyAlignment="1">
      <alignment horizontal="left" vertical="center" indent="1"/>
    </xf>
    <xf numFmtId="165" fontId="12" fillId="0" borderId="0" xfId="0" applyNumberFormat="1" applyFont="1" applyAlignment="1">
      <alignment horizontal="center" vertical="center"/>
    </xf>
    <xf numFmtId="164" fontId="13" fillId="0" borderId="0" xfId="0" applyNumberFormat="1" applyFont="1" applyAlignment="1">
      <alignment horizontal="left" vertical="center" indent="1"/>
    </xf>
    <xf numFmtId="0" fontId="18" fillId="0" borderId="0" xfId="0" applyFont="1"/>
    <xf numFmtId="0" fontId="12" fillId="0" borderId="0" xfId="0" applyFont="1" applyAlignment="1">
      <alignment horizontal="right" vertical="center"/>
    </xf>
    <xf numFmtId="0" fontId="19" fillId="0" borderId="8" xfId="0" applyFont="1" applyBorder="1" applyAlignment="1">
      <alignment horizontal="center" vertical="top" wrapText="1"/>
    </xf>
    <xf numFmtId="0" fontId="19" fillId="0" borderId="9" xfId="0" applyFont="1" applyBorder="1" applyAlignment="1">
      <alignment horizontal="center" vertical="top" wrapText="1"/>
    </xf>
    <xf numFmtId="0" fontId="20" fillId="0" borderId="0" xfId="0" applyFont="1" applyAlignment="1">
      <alignment horizontal="right" vertical="center"/>
    </xf>
    <xf numFmtId="9" fontId="15" fillId="5" borderId="1" xfId="2" applyFont="1" applyFill="1" applyBorder="1" applyAlignment="1">
      <alignment horizontal="center"/>
    </xf>
    <xf numFmtId="0" fontId="19" fillId="0" borderId="10" xfId="0" applyFont="1" applyBorder="1" applyAlignment="1">
      <alignment horizontal="center" vertical="top" wrapText="1"/>
    </xf>
    <xf numFmtId="0" fontId="19" fillId="0" borderId="11" xfId="0" applyFont="1" applyBorder="1" applyAlignment="1">
      <alignment horizontal="center" vertical="top" wrapText="1"/>
    </xf>
    <xf numFmtId="167" fontId="15" fillId="5" borderId="2" xfId="2" applyNumberFormat="1" applyFont="1" applyFill="1" applyBorder="1" applyAlignment="1">
      <alignment horizontal="center" vertical="center"/>
    </xf>
    <xf numFmtId="0" fontId="19" fillId="0" borderId="12" xfId="0" applyFont="1" applyBorder="1" applyAlignment="1">
      <alignment horizontal="center" vertical="top" wrapText="1"/>
    </xf>
    <xf numFmtId="0" fontId="19" fillId="0" borderId="13" xfId="0" applyFont="1" applyBorder="1" applyAlignment="1">
      <alignment horizontal="center" vertical="top" wrapText="1"/>
    </xf>
    <xf numFmtId="0" fontId="11" fillId="0" borderId="0" xfId="0" applyFont="1" applyAlignment="1">
      <alignment horizontal="center"/>
    </xf>
    <xf numFmtId="0" fontId="17" fillId="0" borderId="0" xfId="0" applyFont="1" applyAlignment="1">
      <alignment horizontal="right" vertical="center"/>
    </xf>
    <xf numFmtId="0" fontId="18" fillId="0" borderId="0" xfId="0" applyFont="1" applyAlignment="1">
      <alignment horizontal="center" vertical="center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167" fontId="9" fillId="4" borderId="1" xfId="0" applyNumberFormat="1" applyFont="1" applyFill="1" applyBorder="1" applyAlignment="1">
      <alignment horizontal="center" vertical="center"/>
    </xf>
    <xf numFmtId="167" fontId="10" fillId="4" borderId="0" xfId="0" applyNumberFormat="1" applyFont="1" applyFill="1" applyAlignment="1">
      <alignment horizontal="center"/>
    </xf>
  </cellXfs>
  <cellStyles count="8">
    <cellStyle name="Check Payable" xfId="7" xr:uid="{00000000-0005-0000-0000-000000000000}"/>
    <cellStyle name="Contact Info" xfId="6" xr:uid="{00000000-0005-0000-0000-000001000000}"/>
    <cellStyle name="Currency" xfId="1" builtinId="4"/>
    <cellStyle name="Header" xfId="3" xr:uid="{00000000-0005-0000-0000-000003000000}"/>
    <cellStyle name="Normal" xfId="0" builtinId="0" customBuiltin="1"/>
    <cellStyle name="Normal 2" xfId="4" xr:uid="{00000000-0005-0000-0000-000005000000}"/>
    <cellStyle name="Percent" xfId="2" builtinId="5"/>
    <cellStyle name="Tag line" xfId="5" xr:uid="{00000000-0005-0000-0000-000007000000}"/>
  </cellStyles>
  <dxfs count="16">
    <dxf>
      <font>
        <strike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rgb="FFC0000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fill>
        <patternFill patternType="solid">
          <fgColor indexed="64"/>
          <bgColor rgb="FF92D050"/>
        </patternFill>
      </fill>
    </dxf>
    <dxf>
      <font>
        <b/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167" formatCode="_([$IDR]\ * #,##0.00_);_([$IDR]\ * \(#,##0.00\);_([$IDR]\ * &quot;-&quot;??_);_(@_)"/>
      <fill>
        <patternFill patternType="solid">
          <fgColor indexed="64"/>
          <bgColor rgb="FF92D050"/>
        </patternFill>
      </fill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167" formatCode="_([$IDR]\ * #,##0.00_);_([$IDR]\ * \(#,##0.00\);_([$IDR]\ * &quot;-&quot;??_);_(@_)"/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167" formatCode="_([$IDR]\ * #,##0.00_);_([$IDR]\ * \(#,##0.00\);_([$IDR]\ * &quot;-&quot;??_);_(@_)"/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fill>
        <patternFill patternType="solid">
          <fgColor indexed="64"/>
          <bgColor rgb="FF92D050"/>
        </patternFill>
      </fill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fill>
        <patternFill patternType="solid">
          <fgColor indexed="64"/>
          <bgColor rgb="FF92D05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scheme val="none"/>
      </font>
      <numFmt numFmtId="168" formatCode="&quot;$&quot;#,##0.00"/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medium">
          <color theme="0"/>
        </right>
        <top style="medium">
          <color theme="0"/>
        </top>
        <bottom style="medium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scheme val="none"/>
      </font>
      <numFmt numFmtId="168" formatCode="&quot;$&quot;#,##0.00"/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theme="0"/>
        </top>
        <bottom style="medium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scheme val="none"/>
      </font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theme="0"/>
        </top>
        <bottom style="medium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scheme val="none"/>
      </font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theme="0"/>
        </top>
        <bottom style="medium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scheme val="none"/>
      </font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0"/>
        </left>
        <right/>
        <top style="medium">
          <color theme="0"/>
        </top>
        <bottom style="medium">
          <color theme="0"/>
        </bottom>
      </border>
    </dxf>
    <dxf>
      <border>
        <top style="medium">
          <color theme="0"/>
        </top>
      </border>
    </dxf>
    <dxf>
      <font>
        <b/>
        <strike val="0"/>
        <outline val="0"/>
        <shadow val="0"/>
        <u val="none"/>
        <vertAlign val="baseline"/>
        <sz val="10"/>
        <color theme="0"/>
        <name val="Times New Roman"/>
        <scheme val="none"/>
      </font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</dxf>
    <dxf>
      <border>
        <bottom style="medium">
          <color theme="0" tint="-0.14999847407452621"/>
        </bottom>
      </border>
    </dxf>
    <dxf>
      <fill>
        <patternFill>
          <bgColor theme="0" tint="-4.9989318521683403E-2"/>
        </patternFill>
      </fill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</dxfs>
  <tableStyles count="1" defaultTableStyle="TableStyleMedium9" defaultPivotStyle="PivotStyleLight16">
    <tableStyle name="Table Style 1" pivot="0" count="1" xr9:uid="{00000000-0011-0000-FFFF-FFFF00000000}">
      <tableStyleElement type="wholeTable" dxfId="1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5F4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12:F26" totalsRowShown="0" headerRowDxfId="0" dataDxfId="1" totalsRowDxfId="13" headerRowBorderDxfId="14" totalsRowBorderDxfId="12" headerRowCellStyle="Normal 2">
  <tableColumns count="5">
    <tableColumn id="1" xr3:uid="{00000000-0010-0000-0000-000001000000}" name="Kuantitas" dataDxfId="6" totalsRowDxfId="11"/>
    <tableColumn id="2" xr3:uid="{00000000-0010-0000-0000-000002000000}" name="Deskripsi" dataDxfId="5" totalsRowDxfId="10"/>
    <tableColumn id="3" xr3:uid="{00000000-0010-0000-0000-000003000000}" name="Harga Unit" dataDxfId="4" totalsRowDxfId="9" dataCellStyle="Currency"/>
    <tableColumn id="4" xr3:uid="{00000000-0010-0000-0000-000004000000}" name="Pemakaian Diskon" dataDxfId="3" totalsRowDxfId="8">
      <calculatedColumnFormula>B13*D13-IF(B13*D13&gt;100,1,0)*B13*D13*0.1</calculatedColumnFormula>
    </tableColumn>
    <tableColumn id="5" xr3:uid="{00000000-0010-0000-0000-000005000000}" name="Jumlah" dataDxfId="2" totalsRowDxfId="7" dataCellStyle="Percent">
      <calculatedColumnFormula>Table1[[#This Row],[Kuantitas]]*Table1[[#This Row],[Harga Unit]]-Table1[[#This Row],[Pemakaian Diskon]]</calculatedColumnFormula>
    </tableColumn>
  </tableColumns>
  <tableStyleInfo name="Table Style 1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Clarity">
  <a:themeElements>
    <a:clrScheme name="Custom 75">
      <a:dk1>
        <a:srgbClr val="292934"/>
      </a:dk1>
      <a:lt1>
        <a:srgbClr val="FFFFFF"/>
      </a:lt1>
      <a:dk2>
        <a:srgbClr val="EB5F62"/>
      </a:dk2>
      <a:lt2>
        <a:srgbClr val="F2F2F2"/>
      </a:lt2>
      <a:accent1>
        <a:srgbClr val="93A299"/>
      </a:accent1>
      <a:accent2>
        <a:srgbClr val="F5921F"/>
      </a:accent2>
      <a:accent3>
        <a:srgbClr val="3A393B"/>
      </a:accent3>
      <a:accent4>
        <a:srgbClr val="4D9F8E"/>
      </a:accent4>
      <a:accent5>
        <a:srgbClr val="808DA0"/>
      </a:accent5>
      <a:accent6>
        <a:srgbClr val="79463D"/>
      </a:accent6>
      <a:hlink>
        <a:srgbClr val="0000FF"/>
      </a:hlink>
      <a:folHlink>
        <a:srgbClr val="800080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Clarity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86000"/>
                <a:satMod val="140000"/>
              </a:schemeClr>
            </a:gs>
            <a:gs pos="45000">
              <a:schemeClr val="phClr">
                <a:tint val="48000"/>
                <a:satMod val="150000"/>
              </a:schemeClr>
            </a:gs>
            <a:gs pos="100000">
              <a:schemeClr val="phClr">
                <a:tint val="28000"/>
                <a:satMod val="16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shade val="70000"/>
                <a:satMod val="150000"/>
              </a:schemeClr>
            </a:gs>
            <a:gs pos="34000">
              <a:schemeClr val="phClr">
                <a:shade val="70000"/>
                <a:satMod val="140000"/>
              </a:schemeClr>
            </a:gs>
            <a:gs pos="70000">
              <a:schemeClr val="phClr">
                <a:tint val="100000"/>
                <a:shade val="90000"/>
                <a:satMod val="140000"/>
              </a:schemeClr>
            </a:gs>
            <a:gs pos="100000">
              <a:schemeClr val="phClr">
                <a:tint val="100000"/>
                <a:shade val="100000"/>
                <a:sat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26425" cap="flat" cmpd="sng" algn="ctr">
          <a:solidFill>
            <a:schemeClr val="phClr"/>
          </a:solidFill>
          <a:prstDash val="solid"/>
        </a:ln>
        <a:ln w="444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5100000"/>
            </a:lightRig>
          </a:scene3d>
          <a:sp3d contourW="6350">
            <a:bevelT w="29210" h="12700"/>
            <a:contourClr>
              <a:schemeClr val="phClr">
                <a:shade val="3000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85000"/>
                <a:satMod val="180000"/>
              </a:schemeClr>
            </a:gs>
            <a:gs pos="40000">
              <a:schemeClr val="phClr">
                <a:tint val="95000"/>
                <a:shade val="85000"/>
                <a:satMod val="150000"/>
              </a:schemeClr>
            </a:gs>
            <a:gs pos="100000">
              <a:schemeClr val="phClr">
                <a:shade val="45000"/>
                <a:satMod val="200000"/>
              </a:schemeClr>
            </a:gs>
          </a:gsLst>
          <a:lin ang="5400000" scaled="0"/>
        </a:gradFill>
        <a:blipFill rotWithShape="1">
          <a:blip xmlns:r="http://schemas.openxmlformats.org/officeDocument/2006/relationships" r:embed="rId1">
            <a:duotone>
              <a:schemeClr val="phClr">
                <a:shade val="55000"/>
              </a:schemeClr>
              <a:schemeClr val="phClr">
                <a:tint val="97000"/>
                <a:satMod val="95000"/>
              </a:schemeClr>
            </a:duotone>
          </a:blip>
          <a:tile tx="0" ty="0" sx="70000" sy="7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J44"/>
  <sheetViews>
    <sheetView showGridLines="0" showRowColHeaders="0" tabSelected="1" topLeftCell="A31" zoomScaleNormal="100" workbookViewId="0">
      <selection activeCell="I39" sqref="I39"/>
    </sheetView>
  </sheetViews>
  <sheetFormatPr defaultColWidth="9" defaultRowHeight="14.25" x14ac:dyDescent="0.2"/>
  <cols>
    <col min="1" max="1" width="1.5" style="9" customWidth="1"/>
    <col min="2" max="2" width="13.75" style="9" customWidth="1"/>
    <col min="3" max="3" width="30.75" style="9" customWidth="1"/>
    <col min="4" max="4" width="16.5" style="57" customWidth="1"/>
    <col min="5" max="5" width="17" style="9" customWidth="1"/>
    <col min="6" max="6" width="23.375" style="9" customWidth="1"/>
    <col min="7" max="7" width="2.25" style="9" customWidth="1"/>
    <col min="8" max="16384" width="9" style="9"/>
  </cols>
  <sheetData>
    <row r="1" spans="1:7" ht="104.25" customHeight="1" x14ac:dyDescent="0.2">
      <c r="B1" s="1" t="s">
        <v>5</v>
      </c>
      <c r="C1" s="2"/>
      <c r="D1" s="3"/>
      <c r="E1" s="4" t="s">
        <v>9</v>
      </c>
      <c r="F1" s="4"/>
      <c r="G1" s="10"/>
    </row>
    <row r="2" spans="1:7" ht="15" customHeight="1" x14ac:dyDescent="0.2">
      <c r="B2" s="11" t="s">
        <v>10</v>
      </c>
      <c r="C2" s="12">
        <f ca="1">TODAY()</f>
        <v>45485</v>
      </c>
      <c r="D2" s="13"/>
      <c r="E2" s="14"/>
      <c r="F2" s="14"/>
      <c r="G2" s="10"/>
    </row>
    <row r="3" spans="1:7" ht="15" customHeight="1" x14ac:dyDescent="0.2">
      <c r="B3" s="11" t="s">
        <v>11</v>
      </c>
      <c r="C3" s="15" t="s">
        <v>6</v>
      </c>
      <c r="D3" s="16"/>
      <c r="E3" s="17"/>
      <c r="F3" s="17"/>
      <c r="G3" s="18"/>
    </row>
    <row r="4" spans="1:7" ht="15" customHeight="1" x14ac:dyDescent="0.2">
      <c r="B4" s="11" t="s">
        <v>12</v>
      </c>
      <c r="C4" s="19">
        <f ca="1">C2+30</f>
        <v>45515</v>
      </c>
      <c r="D4" s="13"/>
      <c r="E4" s="20"/>
      <c r="F4" s="20"/>
      <c r="G4" s="10"/>
    </row>
    <row r="5" spans="1:7" ht="13.15" customHeight="1" x14ac:dyDescent="0.2">
      <c r="B5" s="10"/>
      <c r="C5" s="10"/>
      <c r="D5" s="21"/>
      <c r="E5" s="10"/>
      <c r="F5" s="22"/>
    </row>
    <row r="6" spans="1:7" ht="27" customHeight="1" thickBot="1" x14ac:dyDescent="0.25">
      <c r="A6" s="23"/>
      <c r="B6" s="5" t="s">
        <v>13</v>
      </c>
      <c r="C6" s="5"/>
      <c r="D6" s="5"/>
      <c r="E6" s="5"/>
      <c r="F6" s="5"/>
    </row>
    <row r="7" spans="1:7" ht="15" thickBot="1" x14ac:dyDescent="0.25">
      <c r="B7" s="24" t="s">
        <v>14</v>
      </c>
      <c r="C7" s="24"/>
      <c r="D7" s="24"/>
      <c r="E7" s="24"/>
      <c r="F7" s="24"/>
    </row>
    <row r="8" spans="1:7" ht="15" thickBot="1" x14ac:dyDescent="0.25">
      <c r="B8" s="24" t="s">
        <v>15</v>
      </c>
      <c r="C8" s="24"/>
      <c r="D8" s="24"/>
      <c r="E8" s="24"/>
      <c r="F8" s="24"/>
    </row>
    <row r="9" spans="1:7" ht="15" thickBot="1" x14ac:dyDescent="0.25">
      <c r="B9" s="24" t="s">
        <v>16</v>
      </c>
      <c r="C9" s="24"/>
      <c r="D9" s="24"/>
      <c r="E9" s="24"/>
      <c r="F9" s="24"/>
    </row>
    <row r="10" spans="1:7" ht="15" thickBot="1" x14ac:dyDescent="0.25">
      <c r="B10" s="24" t="s">
        <v>17</v>
      </c>
      <c r="C10" s="24"/>
      <c r="D10" s="24"/>
      <c r="E10" s="24"/>
      <c r="F10" s="24"/>
    </row>
    <row r="11" spans="1:7" ht="23.45" customHeight="1" thickBot="1" x14ac:dyDescent="0.25">
      <c r="B11" s="10"/>
      <c r="C11" s="10"/>
      <c r="D11" s="21"/>
      <c r="E11" s="10"/>
    </row>
    <row r="12" spans="1:7" s="25" customFormat="1" ht="36" customHeight="1" thickBot="1" x14ac:dyDescent="0.35">
      <c r="B12" s="6" t="s">
        <v>18</v>
      </c>
      <c r="C12" s="7" t="s">
        <v>19</v>
      </c>
      <c r="D12" s="7" t="s">
        <v>20</v>
      </c>
      <c r="E12" s="7" t="s">
        <v>21</v>
      </c>
      <c r="F12" s="8" t="s">
        <v>22</v>
      </c>
    </row>
    <row r="13" spans="1:7" s="25" customFormat="1" ht="20.100000000000001" customHeight="1" thickBot="1" x14ac:dyDescent="0.35">
      <c r="B13" s="26">
        <v>120</v>
      </c>
      <c r="C13" s="27" t="s">
        <v>1</v>
      </c>
      <c r="D13" s="28">
        <v>2</v>
      </c>
      <c r="E13" s="29">
        <v>240</v>
      </c>
      <c r="F13" s="30">
        <f>Table1[[#This Row],[Kuantitas]]*Table1[[#This Row],[Harga Unit]]-Table1[[#This Row],[Pemakaian Diskon]]</f>
        <v>0</v>
      </c>
    </row>
    <row r="14" spans="1:7" s="25" customFormat="1" ht="20.100000000000001" customHeight="1" thickBot="1" x14ac:dyDescent="0.35">
      <c r="B14" s="31">
        <v>50</v>
      </c>
      <c r="C14" s="32" t="s">
        <v>2</v>
      </c>
      <c r="D14" s="33">
        <v>2</v>
      </c>
      <c r="E14" s="34">
        <v>100</v>
      </c>
      <c r="F14" s="35">
        <f>Table1[[#This Row],[Kuantitas]]*Table1[[#This Row],[Harga Unit]]-Table1[[#This Row],[Pemakaian Diskon]]</f>
        <v>0</v>
      </c>
    </row>
    <row r="15" spans="1:7" s="25" customFormat="1" ht="20.100000000000001" customHeight="1" thickBot="1" x14ac:dyDescent="0.35">
      <c r="B15" s="36">
        <v>51</v>
      </c>
      <c r="C15" s="32" t="s">
        <v>3</v>
      </c>
      <c r="D15" s="33">
        <v>2</v>
      </c>
      <c r="E15" s="34">
        <v>50</v>
      </c>
      <c r="F15" s="35">
        <f>Table1[[#This Row],[Kuantitas]]*Table1[[#This Row],[Harga Unit]]-Table1[[#This Row],[Pemakaian Diskon]]</f>
        <v>52</v>
      </c>
    </row>
    <row r="16" spans="1:7" s="25" customFormat="1" ht="20.100000000000001" customHeight="1" thickBot="1" x14ac:dyDescent="0.35">
      <c r="B16" s="37">
        <v>200</v>
      </c>
      <c r="C16" s="32" t="s">
        <v>4</v>
      </c>
      <c r="D16" s="28">
        <v>75</v>
      </c>
      <c r="E16" s="29">
        <v>10</v>
      </c>
      <c r="F16" s="30">
        <f>Table1[[#This Row],[Kuantitas]]*Table1[[#This Row],[Harga Unit]]-Table1[[#This Row],[Pemakaian Diskon]]</f>
        <v>14990</v>
      </c>
    </row>
    <row r="17" spans="2:6" s="25" customFormat="1" ht="20.100000000000001" customHeight="1" thickBot="1" x14ac:dyDescent="0.35">
      <c r="B17" s="26"/>
      <c r="C17" s="27"/>
      <c r="D17" s="28"/>
      <c r="E17" s="29"/>
      <c r="F17" s="30">
        <f>Table1[[#This Row],[Kuantitas]]*Table1[[#This Row],[Harga Unit]]-Table1[[#This Row],[Pemakaian Diskon]]</f>
        <v>0</v>
      </c>
    </row>
    <row r="18" spans="2:6" s="25" customFormat="1" ht="20.100000000000001" customHeight="1" thickBot="1" x14ac:dyDescent="0.35">
      <c r="B18" s="36"/>
      <c r="C18" s="15"/>
      <c r="D18" s="38"/>
      <c r="E18" s="39"/>
      <c r="F18" s="40">
        <f>Table1[[#This Row],[Kuantitas]]*Table1[[#This Row],[Harga Unit]]-Table1[[#This Row],[Pemakaian Diskon]]</f>
        <v>0</v>
      </c>
    </row>
    <row r="19" spans="2:6" s="25" customFormat="1" ht="20.100000000000001" customHeight="1" thickBot="1" x14ac:dyDescent="0.35">
      <c r="B19" s="31"/>
      <c r="C19" s="32"/>
      <c r="D19" s="33"/>
      <c r="E19" s="34"/>
      <c r="F19" s="35">
        <f>Table1[[#This Row],[Kuantitas]]*Table1[[#This Row],[Harga Unit]]-Table1[[#This Row],[Pemakaian Diskon]]</f>
        <v>0</v>
      </c>
    </row>
    <row r="20" spans="2:6" s="25" customFormat="1" ht="20.100000000000001" customHeight="1" thickBot="1" x14ac:dyDescent="0.35">
      <c r="B20" s="26"/>
      <c r="C20" s="27"/>
      <c r="D20" s="33"/>
      <c r="E20" s="34"/>
      <c r="F20" s="35">
        <f>Table1[[#This Row],[Kuantitas]]*Table1[[#This Row],[Harga Unit]]-Table1[[#This Row],[Pemakaian Diskon]]</f>
        <v>0</v>
      </c>
    </row>
    <row r="21" spans="2:6" s="25" customFormat="1" ht="20.100000000000001" customHeight="1" thickBot="1" x14ac:dyDescent="0.35">
      <c r="B21" s="26"/>
      <c r="C21" s="27"/>
      <c r="D21" s="33"/>
      <c r="E21" s="34"/>
      <c r="F21" s="35">
        <f>Table1[[#This Row],[Kuantitas]]*Table1[[#This Row],[Harga Unit]]-Table1[[#This Row],[Pemakaian Diskon]]</f>
        <v>0</v>
      </c>
    </row>
    <row r="22" spans="2:6" s="25" customFormat="1" ht="20.100000000000001" customHeight="1" thickBot="1" x14ac:dyDescent="0.35">
      <c r="B22" s="26"/>
      <c r="C22" s="27"/>
      <c r="D22" s="33"/>
      <c r="E22" s="34"/>
      <c r="F22" s="35">
        <f>Table1[[#This Row],[Kuantitas]]*Table1[[#This Row],[Harga Unit]]-Table1[[#This Row],[Pemakaian Diskon]]</f>
        <v>0</v>
      </c>
    </row>
    <row r="23" spans="2:6" s="25" customFormat="1" ht="20.100000000000001" customHeight="1" thickBot="1" x14ac:dyDescent="0.35">
      <c r="B23" s="26"/>
      <c r="C23" s="27"/>
      <c r="D23" s="33"/>
      <c r="E23" s="34"/>
      <c r="F23" s="35">
        <f>Table1[[#This Row],[Kuantitas]]*Table1[[#This Row],[Harga Unit]]-Table1[[#This Row],[Pemakaian Diskon]]</f>
        <v>0</v>
      </c>
    </row>
    <row r="24" spans="2:6" s="25" customFormat="1" ht="20.100000000000001" customHeight="1" thickBot="1" x14ac:dyDescent="0.35">
      <c r="B24" s="26"/>
      <c r="C24" s="27"/>
      <c r="D24" s="33"/>
      <c r="E24" s="34"/>
      <c r="F24" s="35">
        <f>Table1[[#This Row],[Kuantitas]]*Table1[[#This Row],[Harga Unit]]-Table1[[#This Row],[Pemakaian Diskon]]</f>
        <v>0</v>
      </c>
    </row>
    <row r="25" spans="2:6" s="25" customFormat="1" ht="20.100000000000001" customHeight="1" thickBot="1" x14ac:dyDescent="0.35">
      <c r="B25" s="26"/>
      <c r="C25" s="41"/>
      <c r="D25" s="33"/>
      <c r="E25" s="34"/>
      <c r="F25" s="35">
        <f>Table1[[#This Row],[Kuantitas]]*Table1[[#This Row],[Harga Unit]]-Table1[[#This Row],[Pemakaian Diskon]]</f>
        <v>0</v>
      </c>
    </row>
    <row r="26" spans="2:6" s="25" customFormat="1" ht="20.100000000000001" customHeight="1" thickBot="1" x14ac:dyDescent="0.35">
      <c r="B26" s="26"/>
      <c r="C26" s="27"/>
      <c r="D26" s="28"/>
      <c r="E26" s="29"/>
      <c r="F26" s="30">
        <f>Table1[[#This Row],[Kuantitas]]*Table1[[#This Row],[Harga Unit]]-Table1[[#This Row],[Pemakaian Diskon]]</f>
        <v>0</v>
      </c>
    </row>
    <row r="27" spans="2:6" ht="18.75" customHeight="1" x14ac:dyDescent="0.2">
      <c r="B27" s="42"/>
      <c r="C27" s="43"/>
      <c r="D27" s="44"/>
      <c r="E27" s="45"/>
      <c r="F27" s="25"/>
    </row>
    <row r="28" spans="2:6" ht="16.5" customHeight="1" thickBot="1" x14ac:dyDescent="0.3">
      <c r="B28" s="46" t="s">
        <v>23</v>
      </c>
      <c r="D28" s="9"/>
      <c r="E28" s="47" t="s">
        <v>7</v>
      </c>
      <c r="F28" s="62">
        <f>SUM(Table1[Jumlah])</f>
        <v>15042</v>
      </c>
    </row>
    <row r="29" spans="2:6" ht="18" customHeight="1" thickBot="1" x14ac:dyDescent="0.25">
      <c r="B29" s="48"/>
      <c r="C29" s="49"/>
      <c r="D29" s="9"/>
      <c r="E29" s="50" t="s">
        <v>8</v>
      </c>
      <c r="F29" s="51">
        <v>0.05</v>
      </c>
    </row>
    <row r="30" spans="2:6" ht="20.25" customHeight="1" thickBot="1" x14ac:dyDescent="0.25">
      <c r="B30" s="52"/>
      <c r="C30" s="53"/>
      <c r="D30" s="9"/>
      <c r="E30" s="50" t="s">
        <v>26</v>
      </c>
      <c r="F30" s="54">
        <f>F28*F29</f>
        <v>752.1</v>
      </c>
    </row>
    <row r="31" spans="2:6" ht="15" thickBot="1" x14ac:dyDescent="0.25">
      <c r="B31" s="55"/>
      <c r="C31" s="56"/>
      <c r="D31" s="21"/>
      <c r="E31" s="50" t="s">
        <v>25</v>
      </c>
      <c r="F31" s="54">
        <v>37</v>
      </c>
    </row>
    <row r="32" spans="2:6" ht="15.75" x14ac:dyDescent="0.25">
      <c r="B32" s="21"/>
      <c r="C32" s="57"/>
      <c r="E32" s="58" t="s">
        <v>0</v>
      </c>
      <c r="F32" s="63">
        <f>F28+F30+F31</f>
        <v>15831.1</v>
      </c>
    </row>
    <row r="33" spans="2:10" ht="18.600000000000001" customHeight="1" x14ac:dyDescent="0.2">
      <c r="B33" s="59" t="s">
        <v>24</v>
      </c>
      <c r="C33" s="59"/>
      <c r="E33" s="57"/>
      <c r="F33" s="57"/>
    </row>
    <row r="34" spans="2:10" x14ac:dyDescent="0.2">
      <c r="E34" s="60"/>
    </row>
    <row r="35" spans="2:10" x14ac:dyDescent="0.2">
      <c r="D35" s="61"/>
      <c r="E35" s="10"/>
    </row>
    <row r="36" spans="2:10" x14ac:dyDescent="0.2">
      <c r="B36" s="10"/>
      <c r="C36" s="10"/>
      <c r="D36" s="21"/>
      <c r="E36" s="10"/>
      <c r="J36" s="10"/>
    </row>
    <row r="37" spans="2:10" x14ac:dyDescent="0.2">
      <c r="B37" s="60"/>
      <c r="C37" s="60"/>
      <c r="D37" s="21"/>
      <c r="E37" s="10"/>
      <c r="J37" s="10"/>
    </row>
    <row r="38" spans="2:10" x14ac:dyDescent="0.2">
      <c r="B38" s="10"/>
      <c r="C38" s="10"/>
      <c r="D38" s="21"/>
      <c r="E38" s="10"/>
    </row>
    <row r="39" spans="2:10" x14ac:dyDescent="0.2">
      <c r="B39" s="10"/>
      <c r="C39" s="10"/>
      <c r="D39" s="21"/>
      <c r="E39" s="10"/>
    </row>
    <row r="40" spans="2:10" x14ac:dyDescent="0.2">
      <c r="B40" s="10"/>
      <c r="C40" s="10"/>
      <c r="D40" s="21"/>
      <c r="E40" s="10"/>
    </row>
    <row r="41" spans="2:10" x14ac:dyDescent="0.2">
      <c r="B41" s="10"/>
      <c r="C41" s="10"/>
      <c r="D41" s="21"/>
      <c r="E41" s="10"/>
    </row>
    <row r="42" spans="2:10" x14ac:dyDescent="0.2">
      <c r="B42" s="10"/>
      <c r="C42" s="10"/>
      <c r="D42" s="21"/>
      <c r="E42" s="10"/>
    </row>
    <row r="43" spans="2:10" x14ac:dyDescent="0.2">
      <c r="B43" s="10"/>
      <c r="C43" s="10"/>
      <c r="D43" s="21"/>
    </row>
    <row r="44" spans="2:10" x14ac:dyDescent="0.2">
      <c r="B44" s="10"/>
      <c r="C44" s="10"/>
    </row>
  </sheetData>
  <mergeCells count="10">
    <mergeCell ref="B33:C33"/>
    <mergeCell ref="B29:C31"/>
    <mergeCell ref="B1:C1"/>
    <mergeCell ref="E2:F2"/>
    <mergeCell ref="B8:F8"/>
    <mergeCell ref="B9:F9"/>
    <mergeCell ref="B10:F10"/>
    <mergeCell ref="E1:F1"/>
    <mergeCell ref="B6:F6"/>
    <mergeCell ref="B7:F7"/>
  </mergeCells>
  <dataValidations count="2">
    <dataValidation allowBlank="1" showErrorMessage="1" prompt="Based on the discount rate provided in cell E31, a discount is applied if the Amount column is greater than $100.  To change this, update the formula.  Otherwise, the discount is automatically generated by the amount of purchase._x000a_" sqref="E12:F12" xr:uid="{00000000-0002-0000-0000-000000000000}"/>
    <dataValidation allowBlank="1" showErrorMessage="1" sqref="F28:F31 F32" xr:uid="{00000000-0002-0000-0000-000001000000}"/>
  </dataValidations>
  <printOptions horizontalCentered="1"/>
  <pageMargins left="0" right="0" top="0.5" bottom="0.5" header="0.3" footer="0.3"/>
  <pageSetup scale="91" orientation="portrait" horizontalDpi="4294967293" r:id="rId1"/>
  <ignoredErrors>
    <ignoredError sqref="E13:E16" calculatedColumn="1"/>
  </ignoredErrors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ServiceKeyPoints xmlns="71af3243-3dd4-4a8d-8c0d-dd76da1f02a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11" ma:contentTypeDescription="Create a new document." ma:contentTypeScope="" ma:versionID="9677210f24a1be23c92c90fd886aa0aa">
  <xsd:schema xmlns:xsd="http://www.w3.org/2001/XMLSchema" xmlns:xs="http://www.w3.org/2001/XMLSchema" xmlns:p="http://schemas.microsoft.com/office/2006/metadata/properties" xmlns:ns2="71af3243-3dd4-4a8d-8c0d-dd76da1f02a5" xmlns:ns3="16c05727-aa75-4e4a-9b5f-8a80a1165891" targetNamespace="http://schemas.microsoft.com/office/2006/metadata/properties" ma:root="true" ma:fieldsID="60e05723c5c1908df1a1a4ebf11d344e" ns2:_="" ns3:_="">
    <xsd:import namespace="71af3243-3dd4-4a8d-8c0d-dd76da1f02a5"/>
    <xsd:import namespace="16c05727-aa75-4e4a-9b5f-8a80a11658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fals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6B3D1F4-1322-4544-AA71-A2565C314A5F}">
  <ds:schemaRefs>
    <ds:schemaRef ds:uri="http://purl.org/dc/elements/1.1/"/>
    <ds:schemaRef ds:uri="http://purl.org/dc/dcmitype/"/>
    <ds:schemaRef ds:uri="http://schemas.microsoft.com/office/2006/documentManagement/types"/>
    <ds:schemaRef ds:uri="http://purl.org/dc/terms/"/>
    <ds:schemaRef ds:uri="http://schemas.microsoft.com/office/infopath/2007/PartnerControls"/>
    <ds:schemaRef ds:uri="16c05727-aa75-4e4a-9b5f-8a80a1165891"/>
    <ds:schemaRef ds:uri="http://schemas.openxmlformats.org/package/2006/metadata/core-properties"/>
    <ds:schemaRef ds:uri="71af3243-3dd4-4a8d-8c0d-dd76da1f02a5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984C66A4-1475-4DE7-B804-6F8D12F5272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AC87BBE-9F1F-49FC-B12F-AEC73EB096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af3243-3dd4-4a8d-8c0d-dd76da1f02a5"/>
    <ds:schemaRef ds:uri="16c05727-aa75-4e4a-9b5f-8a80a11658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TM66939594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Invoice</vt:lpstr>
      <vt:lpstr>Invoice!Print_Area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2019-02-14T21:14:20Z</dcterms:created>
  <dcterms:modified xsi:type="dcterms:W3CDTF">2024-07-12T04:01:49Z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