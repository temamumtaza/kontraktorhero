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mplate Project\Smart Business Owner\Invoices\"/>
    </mc:Choice>
  </mc:AlternateContent>
  <xr:revisionPtr revIDLastSave="0" documentId="13_ncr:1_{EB512BB8-BDA3-4C36-9981-786B8BC398B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Orginal" sheetId="1" r:id="rId1"/>
  </sheets>
  <externalReferences>
    <externalReference r:id="rId2"/>
    <externalReference r:id="rId3"/>
  </externalReferences>
  <definedNames>
    <definedName name="_31">'[1]ARL Accounts:Note 33'!$G$94:$W$1074</definedName>
    <definedName name="ACC.POLICYCHANG">'[1]ARL Accounts'!#REF!</definedName>
    <definedName name="FF">'[1]ARL Accounts'!#REF!</definedName>
    <definedName name="FX_Rate_LC_US_Base">[2]OpEx!$D$16</definedName>
    <definedName name="_xlnm.Print_Area" localSheetId="0">Orginal!$A$1:$J$66</definedName>
    <definedName name="Proj_Year">[2]Financing!$G$2:$AQ$2</definedName>
    <definedName name="Tariff1_Capital5_Base">[2]Pricing!$G$31:$AQ$31</definedName>
    <definedName name="Tax_wdv_comparis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Jawad Ali</author>
  </authors>
  <commentList>
    <comment ref="B4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Jawad Ali:</t>
        </r>
        <r>
          <rPr>
            <sz val="9"/>
            <color indexed="81"/>
            <rFont val="Tahoma"/>
            <family val="2"/>
          </rPr>
          <t xml:space="preserve">
Clause 9.5 (a) (i) of the PPA</t>
        </r>
      </text>
    </comment>
    <comment ref="B4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Jawad Ali:</t>
        </r>
        <r>
          <rPr>
            <sz val="9"/>
            <color indexed="81"/>
            <rFont val="Tahoma"/>
            <family val="2"/>
          </rPr>
          <t xml:space="preserve">
Annexure A is based on the Schedule 6 of the PPA.</t>
        </r>
      </text>
    </comment>
    <comment ref="B5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Jawad Ali:</t>
        </r>
        <r>
          <rPr>
            <sz val="9"/>
            <color indexed="81"/>
            <rFont val="Tahoma"/>
            <family val="2"/>
          </rPr>
          <t xml:space="preserve">
Supporting documents to be submitted with invoice as per Clause 9.4 (a) of the PPA</t>
        </r>
      </text>
    </comment>
    <comment ref="B5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Jawad Ali:
</t>
        </r>
        <r>
          <rPr>
            <sz val="9"/>
            <color indexed="81"/>
            <rFont val="Tahoma"/>
            <family val="2"/>
          </rPr>
          <t>Indexation as per Clause 11.8 of Schedule 6 to the PPA.
Supporting documents to be submitted with invoice as per Clause 9.4 (a) of the PPA</t>
        </r>
      </text>
    </comment>
  </commentList>
</comments>
</file>

<file path=xl/sharedStrings.xml><?xml version="1.0" encoding="utf-8"?>
<sst xmlns="http://schemas.openxmlformats.org/spreadsheetml/2006/main" count="47" uniqueCount="43">
  <si>
    <t>Original</t>
  </si>
  <si>
    <t>Chief Operating Officer</t>
  </si>
  <si>
    <t>Annexure</t>
  </si>
  <si>
    <t xml:space="preserve">Rs. </t>
  </si>
  <si>
    <t xml:space="preserve">   n</t>
  </si>
  <si>
    <r>
      <t>Fixed Energy Payment</t>
    </r>
    <r>
      <rPr>
        <vertAlign val="subscript"/>
        <sz val="15"/>
        <color indexed="8"/>
        <rFont val="Arial"/>
        <family val="2"/>
      </rPr>
      <t xml:space="preserve">M                      </t>
    </r>
    <r>
      <rPr>
        <sz val="15"/>
        <color indexed="8"/>
        <rFont val="Arial"/>
        <family val="2"/>
      </rPr>
      <t>=</t>
    </r>
    <r>
      <rPr>
        <vertAlign val="subscript"/>
        <sz val="15"/>
        <color indexed="8"/>
        <rFont val="Arial"/>
        <family val="2"/>
      </rPr>
      <t xml:space="preserve"> </t>
    </r>
  </si>
  <si>
    <r>
      <t xml:space="preserve">∑ </t>
    </r>
    <r>
      <rPr>
        <sz val="15"/>
        <color indexed="8"/>
        <rFont val="Arial"/>
        <family val="2"/>
      </rPr>
      <t>Fixed Energy Payment</t>
    </r>
    <r>
      <rPr>
        <vertAlign val="subscript"/>
        <sz val="15"/>
        <color indexed="8"/>
        <rFont val="Arial"/>
        <family val="2"/>
      </rPr>
      <t>M</t>
    </r>
  </si>
  <si>
    <t>A</t>
  </si>
  <si>
    <t xml:space="preserve">  h=1</t>
  </si>
  <si>
    <t>(1)</t>
  </si>
  <si>
    <t>(2)</t>
  </si>
  <si>
    <t>(3)</t>
  </si>
  <si>
    <t>Enclosures:</t>
  </si>
  <si>
    <t>CTs &amp; PTs error compensation factors have been accounted for in the metering data.</t>
  </si>
  <si>
    <t>ABC LIMITED</t>
  </si>
  <si>
    <t>Street 149, XYZ Town, USA</t>
  </si>
  <si>
    <t>S. T. Registration No.: 00-01-2716-000-00</t>
  </si>
  <si>
    <t>NTN No.: 01-02-00000</t>
  </si>
  <si>
    <t>XYZ LIMITED - POWER PURCHASER</t>
  </si>
  <si>
    <t>_____________</t>
  </si>
  <si>
    <t>_______________</t>
  </si>
  <si>
    <t xml:space="preserve">AYZ HOUSE </t>
  </si>
  <si>
    <t>USA</t>
  </si>
  <si>
    <t>(S. T. Registration No.: 0300-XXXXXXXXXXX)</t>
  </si>
  <si>
    <t>FAKTUR PEMBAYARAN ENERGI TETAP BULANAN</t>
  </si>
  <si>
    <t>No Faktur</t>
  </si>
  <si>
    <t>Tanggal Faktur</t>
  </si>
  <si>
    <t>SUBYEK: INVOICE PEMBAYARAN ENERGI TETAP BULANAN NOVEMBER 2012</t>
  </si>
  <si>
    <t>Faktur Pembayaran Energi Tetap untuk Energi Rata-Rata tersedia berdasarkan Perjanjian Pembelian Tenaga Listrik dari 01-11-12 hingga 30-11-12.</t>
  </si>
  <si>
    <t>Total Pembayaran Energi Tetap</t>
  </si>
  <si>
    <t>PEMBAYARAN ENERGI TETAP BULAN NOVEMBER 2012</t>
  </si>
  <si>
    <t>Syarat Pembayaran :</t>
  </si>
  <si>
    <t>Pembayaran jumlah ini harus dilakukan secara penuh pada atau sebelum hari ketiga puluh (30) setelah diterimanya Tagihan ini.</t>
  </si>
  <si>
    <t xml:space="preserve"> Pembayaran diminta oleh perintah pembayaran yang mendukung ABC Limited.</t>
  </si>
  <si>
    <t xml:space="preserve"> Perlu diketahui bahwa pembayaran ini tidak melanggar ketentuan Peraturan Perpajakan.</t>
  </si>
  <si>
    <t>Perhitungan Harga Pembelian Energi Tetap terlampir pada Lampiran A.</t>
  </si>
  <si>
    <t>Pembacaan Meter &amp; perhitungan terkait dan Bukti Pembacaan Meter telah dilampirkan sebagai Lampiran B.</t>
  </si>
  <si>
    <t>Tagihan pembayaran Energi Tetap ini didasarkan pada Tarif yang disepakati dalam Lampiran 6 Perjanjian Pembelian Tenaga Listrik yang Diubah &amp; Disajikan Kembali (untuk direvisi sesuai Keputusan Otoritas dalam hal indeksasi/penyesuaian tarif Triwulanan (Januari - Maret 2012) untuk ABC Terbatas.</t>
  </si>
  <si>
    <t>Catatan :</t>
  </si>
  <si>
    <t>DIPERSIAPKAN OLEH</t>
  </si>
  <si>
    <t>DIULAS OLEH</t>
  </si>
  <si>
    <t>DISETUJUI OLEH</t>
  </si>
  <si>
    <t>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</si>
</sst>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409]mmmm\ d\,\ yyyy;@"/>
    <numFmt numFmtId="166" formatCode="_(* #,##0_);_(* \(#,##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3"/>
      <color indexed="8"/>
      <name val="Arial"/>
      <family val="2"/>
    </font>
    <font>
      <b/>
      <u/>
      <sz val="13"/>
      <color indexed="8"/>
      <name val="Arial"/>
      <family val="2"/>
    </font>
    <font>
      <u/>
      <sz val="13"/>
      <color indexed="8"/>
      <name val="Arial"/>
      <family val="2"/>
    </font>
    <font>
      <b/>
      <i/>
      <u/>
      <sz val="14"/>
      <color indexed="8"/>
      <name val="Arial"/>
      <family val="2"/>
    </font>
    <font>
      <b/>
      <sz val="14"/>
      <color indexed="8"/>
      <name val="Arial"/>
      <family val="2"/>
    </font>
    <font>
      <b/>
      <sz val="16"/>
      <name val="Arial"/>
      <family val="2"/>
    </font>
    <font>
      <sz val="12"/>
      <color indexed="10"/>
      <name val="Arial"/>
      <family val="2"/>
    </font>
    <font>
      <sz val="16"/>
      <color indexed="8"/>
      <name val="Arial"/>
      <family val="2"/>
    </font>
    <font>
      <b/>
      <sz val="15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indexed="8"/>
      <name val="Arial"/>
      <family val="2"/>
    </font>
    <font>
      <sz val="15"/>
      <color indexed="8"/>
      <name val="Arial"/>
      <family val="2"/>
    </font>
    <font>
      <b/>
      <u/>
      <sz val="15"/>
      <color indexed="8"/>
      <name val="Arial"/>
      <family val="2"/>
    </font>
    <font>
      <vertAlign val="subscript"/>
      <sz val="15"/>
      <color indexed="8"/>
      <name val="Arial"/>
      <family val="2"/>
    </font>
    <font>
      <sz val="10"/>
      <name val="Arial"/>
      <family val="2"/>
    </font>
    <font>
      <sz val="14"/>
      <color indexed="8"/>
      <name val="Arial"/>
      <family val="2"/>
    </font>
    <font>
      <b/>
      <sz val="13"/>
      <color indexed="8"/>
      <name val="Arial"/>
      <family val="2"/>
    </font>
    <font>
      <b/>
      <i/>
      <u/>
      <sz val="12"/>
      <color indexed="8"/>
      <name val="Arial"/>
      <family val="2"/>
    </font>
    <font>
      <i/>
      <sz val="12"/>
      <color indexed="8"/>
      <name val="Arial"/>
      <family val="2"/>
    </font>
    <font>
      <i/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26"/>
      <color indexed="8"/>
      <name val="Arial"/>
      <family val="2"/>
    </font>
    <font>
      <b/>
      <sz val="18"/>
      <color indexed="8"/>
      <name val="Arial"/>
      <family val="2"/>
    </font>
    <font>
      <b/>
      <sz val="11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5">
    <xf numFmtId="0" fontId="0" fillId="0" borderId="0"/>
    <xf numFmtId="164" fontId="19" fillId="0" borderId="0" applyFont="0" applyFill="0" applyBorder="0" applyAlignment="0" applyProtection="0"/>
    <xf numFmtId="0" fontId="1" fillId="0" borderId="0"/>
    <xf numFmtId="0" fontId="1" fillId="0" borderId="0"/>
    <xf numFmtId="164" fontId="19" fillId="0" borderId="0" applyFont="0" applyFill="0" applyBorder="0" applyAlignment="0" applyProtection="0"/>
  </cellStyleXfs>
  <cellXfs count="82">
    <xf numFmtId="0" fontId="0" fillId="0" borderId="0" xfId="0"/>
    <xf numFmtId="0" fontId="4" fillId="0" borderId="0" xfId="2" applyFont="1" applyAlignment="1">
      <alignment vertical="top"/>
    </xf>
    <xf numFmtId="0" fontId="3" fillId="0" borderId="0" xfId="2" applyFont="1" applyAlignment="1">
      <alignment horizontal="center" vertical="top"/>
    </xf>
    <xf numFmtId="0" fontId="5" fillId="0" borderId="0" xfId="2" applyFont="1" applyAlignment="1">
      <alignment vertical="top"/>
    </xf>
    <xf numFmtId="165" fontId="6" fillId="0" borderId="0" xfId="2" applyNumberFormat="1" applyFont="1" applyAlignment="1">
      <alignment vertical="top"/>
    </xf>
    <xf numFmtId="165" fontId="7" fillId="0" borderId="0" xfId="2" applyNumberFormat="1" applyFont="1" applyAlignment="1">
      <alignment vertical="top"/>
    </xf>
    <xf numFmtId="0" fontId="5" fillId="0" borderId="0" xfId="2" applyFont="1" applyAlignment="1">
      <alignment horizontal="left" vertical="top"/>
    </xf>
    <xf numFmtId="165" fontId="9" fillId="0" borderId="0" xfId="2" applyNumberFormat="1" applyFont="1" applyAlignment="1">
      <alignment vertical="top"/>
    </xf>
    <xf numFmtId="0" fontId="10" fillId="0" borderId="0" xfId="2" applyFont="1" applyAlignment="1">
      <alignment horizontal="left" vertical="center"/>
    </xf>
    <xf numFmtId="0" fontId="11" fillId="0" borderId="0" xfId="2" applyFont="1" applyAlignment="1">
      <alignment vertical="top"/>
    </xf>
    <xf numFmtId="0" fontId="12" fillId="0" borderId="0" xfId="2" applyFont="1" applyAlignment="1">
      <alignment horizontal="left" vertical="center"/>
    </xf>
    <xf numFmtId="0" fontId="13" fillId="0" borderId="0" xfId="2" applyFont="1" applyAlignment="1">
      <alignment vertical="top"/>
    </xf>
    <xf numFmtId="0" fontId="14" fillId="0" borderId="0" xfId="2" applyFont="1" applyAlignment="1">
      <alignment horizontal="left" vertical="center"/>
    </xf>
    <xf numFmtId="0" fontId="4" fillId="0" borderId="0" xfId="3" applyFont="1" applyAlignment="1">
      <alignment horizontal="left" vertical="center"/>
    </xf>
    <xf numFmtId="0" fontId="15" fillId="0" borderId="0" xfId="2" applyFont="1" applyAlignment="1">
      <alignment vertical="top"/>
    </xf>
    <xf numFmtId="0" fontId="15" fillId="0" borderId="0" xfId="2" applyFont="1" applyAlignment="1">
      <alignment horizontal="left" vertical="top"/>
    </xf>
    <xf numFmtId="0" fontId="16" fillId="0" borderId="0" xfId="2" applyFont="1" applyAlignment="1">
      <alignment horizontal="justify" vertical="top" wrapText="1"/>
    </xf>
    <xf numFmtId="0" fontId="15" fillId="2" borderId="3" xfId="2" applyFont="1" applyFill="1" applyBorder="1" applyAlignment="1">
      <alignment horizontal="center" vertical="center" wrapText="1"/>
    </xf>
    <xf numFmtId="0" fontId="15" fillId="0" borderId="0" xfId="2" applyFont="1" applyAlignment="1">
      <alignment horizontal="center" vertical="center" wrapText="1"/>
    </xf>
    <xf numFmtId="0" fontId="17" fillId="0" borderId="0" xfId="2" applyFont="1" applyAlignment="1">
      <alignment vertical="top"/>
    </xf>
    <xf numFmtId="0" fontId="14" fillId="0" borderId="0" xfId="2" applyFont="1" applyAlignment="1">
      <alignment horizontal="center" vertical="center" wrapText="1"/>
    </xf>
    <xf numFmtId="0" fontId="12" fillId="0" borderId="0" xfId="2" applyFont="1" applyAlignment="1">
      <alignment horizontal="left" vertical="top"/>
    </xf>
    <xf numFmtId="1" fontId="14" fillId="0" borderId="0" xfId="2" applyNumberFormat="1" applyFont="1" applyAlignment="1">
      <alignment horizontal="center" vertical="center" wrapText="1"/>
    </xf>
    <xf numFmtId="0" fontId="16" fillId="0" borderId="0" xfId="2" applyFont="1" applyAlignment="1">
      <alignment horizontal="center" vertical="center" wrapText="1"/>
    </xf>
    <xf numFmtId="0" fontId="16" fillId="0" borderId="0" xfId="2" applyFont="1"/>
    <xf numFmtId="166" fontId="15" fillId="0" borderId="0" xfId="1" applyNumberFormat="1" applyFont="1" applyFill="1" applyBorder="1" applyAlignment="1">
      <alignment vertical="center"/>
    </xf>
    <xf numFmtId="166" fontId="10" fillId="0" borderId="0" xfId="1" applyNumberFormat="1" applyFont="1" applyBorder="1" applyAlignment="1">
      <alignment horizontal="right" vertical="center"/>
    </xf>
    <xf numFmtId="0" fontId="20" fillId="0" borderId="0" xfId="2" applyFont="1" applyAlignment="1">
      <alignment vertical="top"/>
    </xf>
    <xf numFmtId="166" fontId="21" fillId="0" borderId="0" xfId="4" applyNumberFormat="1" applyFont="1" applyFill="1" applyBorder="1" applyAlignment="1">
      <alignment horizontal="center" vertical="center"/>
    </xf>
    <xf numFmtId="0" fontId="20" fillId="0" borderId="0" xfId="2" applyFont="1" applyAlignment="1">
      <alignment vertical="center"/>
    </xf>
    <xf numFmtId="164" fontId="9" fillId="0" borderId="0" xfId="4" applyFont="1" applyFill="1" applyBorder="1" applyAlignment="1">
      <alignment horizontal="center" vertical="center"/>
    </xf>
    <xf numFmtId="9" fontId="21" fillId="0" borderId="0" xfId="2" applyNumberFormat="1" applyFont="1" applyAlignment="1">
      <alignment horizontal="center" vertical="center"/>
    </xf>
    <xf numFmtId="166" fontId="9" fillId="0" borderId="0" xfId="1" applyNumberFormat="1" applyFont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/>
    </xf>
    <xf numFmtId="0" fontId="13" fillId="0" borderId="0" xfId="2" applyFont="1" applyAlignment="1">
      <alignment horizontal="justify" vertical="top" wrapText="1"/>
    </xf>
    <xf numFmtId="166" fontId="15" fillId="0" borderId="0" xfId="1" applyNumberFormat="1" applyFont="1" applyBorder="1" applyAlignment="1">
      <alignment horizontal="center"/>
    </xf>
    <xf numFmtId="0" fontId="15" fillId="0" borderId="0" xfId="2" applyFont="1" applyAlignment="1">
      <alignment vertical="center"/>
    </xf>
    <xf numFmtId="166" fontId="21" fillId="0" borderId="0" xfId="1" applyNumberFormat="1" applyFont="1" applyBorder="1" applyAlignment="1">
      <alignment horizontal="center" vertical="center"/>
    </xf>
    <xf numFmtId="164" fontId="9" fillId="0" borderId="0" xfId="1" applyFont="1" applyBorder="1" applyAlignment="1">
      <alignment horizontal="center" vertical="center"/>
    </xf>
    <xf numFmtId="166" fontId="15" fillId="0" borderId="4" xfId="1" applyNumberFormat="1" applyFont="1" applyBorder="1" applyAlignment="1">
      <alignment horizontal="center"/>
    </xf>
    <xf numFmtId="0" fontId="22" fillId="0" borderId="0" xfId="2" applyFont="1" applyAlignment="1">
      <alignment vertical="top"/>
    </xf>
    <xf numFmtId="0" fontId="4" fillId="0" borderId="0" xfId="2" quotePrefix="1" applyFont="1" applyAlignment="1">
      <alignment horizontal="right" vertical="top" wrapText="1"/>
    </xf>
    <xf numFmtId="0" fontId="23" fillId="0" borderId="0" xfId="2" applyFont="1" applyAlignment="1">
      <alignment vertical="center"/>
    </xf>
    <xf numFmtId="0" fontId="9" fillId="0" borderId="0" xfId="2" applyFont="1" applyAlignment="1">
      <alignment horizontal="center" vertical="center"/>
    </xf>
    <xf numFmtId="0" fontId="23" fillId="0" borderId="0" xfId="2" applyFont="1" applyAlignment="1">
      <alignment horizontal="justify" vertical="top" wrapText="1"/>
    </xf>
    <xf numFmtId="0" fontId="5" fillId="0" borderId="0" xfId="2" applyFont="1"/>
    <xf numFmtId="0" fontId="3" fillId="0" borderId="0" xfId="2" applyFont="1" applyAlignment="1">
      <alignment horizontal="right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24" fillId="0" borderId="0" xfId="2" applyFont="1" applyAlignment="1">
      <alignment vertical="top"/>
    </xf>
    <xf numFmtId="0" fontId="24" fillId="0" borderId="0" xfId="2" applyFont="1" applyAlignment="1">
      <alignment horizontal="left" vertical="top" wrapText="1"/>
    </xf>
    <xf numFmtId="0" fontId="23" fillId="0" borderId="0" xfId="2" applyFont="1" applyAlignment="1">
      <alignment vertical="top"/>
    </xf>
    <xf numFmtId="0" fontId="23" fillId="0" borderId="0" xfId="2" applyFont="1" applyAlignment="1">
      <alignment horizontal="left" vertical="top" wrapText="1"/>
    </xf>
    <xf numFmtId="0" fontId="4" fillId="3" borderId="0" xfId="2" quotePrefix="1" applyFont="1" applyFill="1" applyAlignment="1">
      <alignment horizontal="right" vertical="top" wrapText="1"/>
    </xf>
    <xf numFmtId="0" fontId="23" fillId="3" borderId="0" xfId="2" applyFont="1" applyFill="1" applyAlignment="1">
      <alignment vertical="center"/>
    </xf>
    <xf numFmtId="0" fontId="23" fillId="0" borderId="0" xfId="2" applyFont="1" applyAlignment="1">
      <alignment horizontal="justify" vertical="center" wrapText="1"/>
    </xf>
    <xf numFmtId="0" fontId="23" fillId="0" borderId="0" xfId="2" applyFont="1" applyAlignment="1">
      <alignment horizontal="justify" vertical="top"/>
    </xf>
    <xf numFmtId="0" fontId="4" fillId="0" borderId="0" xfId="2" quotePrefix="1" applyFont="1" applyAlignment="1">
      <alignment horizontal="center" vertical="top" wrapText="1"/>
    </xf>
    <xf numFmtId="0" fontId="9" fillId="0" borderId="6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8" fillId="0" borderId="0" xfId="2" applyFont="1" applyAlignment="1">
      <alignment horizontal="center" vertical="center"/>
    </xf>
    <xf numFmtId="165" fontId="6" fillId="0" borderId="0" xfId="2" applyNumberFormat="1" applyFont="1" applyAlignment="1">
      <alignment horizontal="left" vertical="top"/>
    </xf>
    <xf numFmtId="0" fontId="16" fillId="0" borderId="0" xfId="2" applyFont="1" applyAlignment="1">
      <alignment horizontal="justify" vertical="top" wrapText="1"/>
    </xf>
    <xf numFmtId="0" fontId="15" fillId="2" borderId="1" xfId="2" applyFont="1" applyFill="1" applyBorder="1" applyAlignment="1">
      <alignment horizontal="center" vertical="center" wrapText="1"/>
    </xf>
    <xf numFmtId="0" fontId="15" fillId="2" borderId="2" xfId="2" applyFont="1" applyFill="1" applyBorder="1" applyAlignment="1">
      <alignment horizontal="center" vertical="center" wrapText="1"/>
    </xf>
    <xf numFmtId="0" fontId="15" fillId="0" borderId="0" xfId="2" applyFont="1" applyAlignment="1">
      <alignment horizontal="center" vertical="center" wrapText="1"/>
    </xf>
    <xf numFmtId="166" fontId="9" fillId="0" borderId="0" xfId="1" applyNumberFormat="1" applyFont="1" applyBorder="1" applyAlignment="1">
      <alignment horizontal="center" vertical="center"/>
    </xf>
    <xf numFmtId="0" fontId="20" fillId="0" borderId="0" xfId="2" applyFont="1" applyAlignment="1">
      <alignment horizontal="justify" vertical="top" wrapText="1"/>
    </xf>
    <xf numFmtId="0" fontId="4" fillId="0" borderId="0" xfId="2" applyFont="1" applyAlignment="1">
      <alignment horizontal="center" vertical="top"/>
    </xf>
    <xf numFmtId="0" fontId="3" fillId="0" borderId="0" xfId="2" applyFont="1" applyAlignment="1">
      <alignment horizontal="center" vertical="top"/>
    </xf>
    <xf numFmtId="0" fontId="23" fillId="0" borderId="0" xfId="2" applyFont="1" applyAlignment="1">
      <alignment horizontal="justify" vertical="top" wrapText="1"/>
    </xf>
    <xf numFmtId="0" fontId="2" fillId="0" borderId="0" xfId="2" applyFont="1" applyAlignment="1">
      <alignment horizontal="center" vertical="top"/>
    </xf>
    <xf numFmtId="0" fontId="27" fillId="0" borderId="0" xfId="2" applyFont="1" applyAlignment="1">
      <alignment horizontal="center" vertical="center" wrapText="1"/>
    </xf>
    <xf numFmtId="0" fontId="2" fillId="0" borderId="0" xfId="2" applyFont="1"/>
    <xf numFmtId="0" fontId="28" fillId="0" borderId="0" xfId="2" applyFont="1" applyAlignment="1">
      <alignment horizontal="center" vertical="center" wrapText="1"/>
    </xf>
    <xf numFmtId="0" fontId="27" fillId="0" borderId="0" xfId="2" applyFont="1" applyAlignment="1">
      <alignment horizontal="left"/>
    </xf>
    <xf numFmtId="164" fontId="2" fillId="0" borderId="0" xfId="2" applyNumberFormat="1" applyFont="1"/>
    <xf numFmtId="166" fontId="2" fillId="0" borderId="0" xfId="2" applyNumberFormat="1" applyFont="1"/>
    <xf numFmtId="166" fontId="29" fillId="0" borderId="0" xfId="1" applyNumberFormat="1" applyFont="1" applyAlignment="1"/>
    <xf numFmtId="0" fontId="2" fillId="0" borderId="0" xfId="3" applyFont="1"/>
    <xf numFmtId="0" fontId="2" fillId="0" borderId="5" xfId="3" applyFont="1" applyBorder="1"/>
    <xf numFmtId="0" fontId="2" fillId="0" borderId="5" xfId="3" applyFont="1" applyBorder="1" applyAlignment="1">
      <alignment horizontal="center"/>
    </xf>
  </cellXfs>
  <cellStyles count="5">
    <cellStyle name="Comma" xfId="1" builtinId="3"/>
    <cellStyle name="Comma 2" xfId="4" xr:uid="{00000000-0005-0000-0000-000001000000}"/>
    <cellStyle name="Normal" xfId="0" builtinId="0"/>
    <cellStyle name="Normal_Test Energy Invoice EPP-Jan09" xfId="2" xr:uid="{00000000-0005-0000-0000-000003000000}"/>
    <cellStyle name="Normal_Test Energy Invoice EPP-Jan09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\Local%20Settings\Temporary%20Internet%20Files\OLKC\Accounts%2030-06-2008\Annual%20Accounts%20June%2030%20200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gkh001\My%20Documents\GAK\Wartsila\Attock\AGL_CC_20060602(NEPRA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ARIATION"/>
      <sheetName val="Monthly"/>
      <sheetName val="GRM Comparison with Mr. Hamdani"/>
      <sheetName val="CHEMICALS"/>
      <sheetName val="ARL Accounts"/>
      <sheetName val="CODE"/>
      <sheetName val="Financial Statistical S"/>
      <sheetName val="Consolidated Accounts"/>
      <sheetName val="Cont and uncont exp"/>
      <sheetName val="EQUITY STAT"/>
      <sheetName val="11. Fixed Assets"/>
      <sheetName val="Note 11"/>
      <sheetName val="Note 28"/>
      <sheetName val="Note 33"/>
      <sheetName val="Note 33 W"/>
      <sheetName val="34. Financial Instrument"/>
      <sheetName val="Note 11 Cons"/>
      <sheetName val="Note 11 Consld"/>
      <sheetName val="Note 28 Cons"/>
      <sheetName val="Note 33 Cons"/>
      <sheetName val="Note 34 Cons"/>
      <sheetName val="Qtrwise profit"/>
      <sheetName val="Monthly profit and loss"/>
      <sheetName val="Consolidated Working"/>
      <sheetName val="Adjustment"/>
      <sheetName val="HIGHLIGHTS"/>
      <sheetName val="ICIG"/>
      <sheetName val="ICIG Comparison"/>
      <sheetName val="Comparision Stat of Creditors"/>
      <sheetName val="WCF"/>
      <sheetName val="QTR WISE PROFIT COMPARISON"/>
      <sheetName val="GRM ANALYSIS"/>
      <sheetName val="PROFIT ANALYSIS"/>
      <sheetName val="Desalting Income"/>
      <sheetName val="Qty &amp; Price Variance"/>
      <sheetName val="Deferred tax reconciliation"/>
      <sheetName val="Tax 2"/>
      <sheetName val="TAX"/>
      <sheetName val="Depreciation Schedule"/>
      <sheetName val="Sheet1"/>
      <sheetName val="Tax on the basis of return"/>
      <sheetName val="Tax charge reconciliation"/>
      <sheetName val="Tax Summary"/>
      <sheetName val="ALL EXP"/>
      <sheetName val="GOP"/>
      <sheetName val="COMPARATIVE STAT"/>
      <sheetName val="237"/>
      <sheetName val="COST PER BARRELS"/>
      <sheetName val="COST PER BARRELS FOR AUDIT COMM"/>
      <sheetName val="CONT."/>
      <sheetName val="CRITERI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94">
          <cell r="H94">
            <v>59108531614</v>
          </cell>
          <cell r="L94">
            <v>55828138010</v>
          </cell>
        </row>
        <row r="96">
          <cell r="H96">
            <v>355392880</v>
          </cell>
          <cell r="L96">
            <v>234236228</v>
          </cell>
        </row>
        <row r="97">
          <cell r="H97">
            <v>59463924494</v>
          </cell>
          <cell r="L97">
            <v>56062374238</v>
          </cell>
        </row>
        <row r="99">
          <cell r="H99">
            <v>58609954476</v>
          </cell>
          <cell r="L99">
            <v>55490680059</v>
          </cell>
          <cell r="N99">
            <v>3119274417</v>
          </cell>
          <cell r="O99">
            <v>5.6212582251352075</v>
          </cell>
        </row>
        <row r="100">
          <cell r="H100">
            <v>853970018</v>
          </cell>
          <cell r="L100">
            <v>571694179</v>
          </cell>
        </row>
        <row r="102">
          <cell r="H102">
            <v>175107589</v>
          </cell>
          <cell r="L102">
            <v>183298609</v>
          </cell>
        </row>
        <row r="104">
          <cell r="H104">
            <v>16716333</v>
          </cell>
          <cell r="L104">
            <v>13779850</v>
          </cell>
        </row>
        <row r="106">
          <cell r="H106">
            <v>234277979</v>
          </cell>
          <cell r="L106">
            <v>498424775</v>
          </cell>
        </row>
        <row r="108">
          <cell r="H108">
            <v>102150812</v>
          </cell>
          <cell r="L108">
            <v>67912109</v>
          </cell>
          <cell r="N108">
            <v>58801778398</v>
          </cell>
        </row>
        <row r="109">
          <cell r="H109">
            <v>528252713</v>
          </cell>
          <cell r="L109">
            <v>763415343</v>
          </cell>
          <cell r="N109">
            <v>1036393597</v>
          </cell>
          <cell r="O109">
            <v>293974734</v>
          </cell>
          <cell r="P109">
            <v>38.507836749097137</v>
          </cell>
        </row>
        <row r="110">
          <cell r="H110">
            <v>325717305</v>
          </cell>
          <cell r="L110">
            <v>-191721164</v>
          </cell>
          <cell r="N110">
            <v>51819679.850000001</v>
          </cell>
          <cell r="O110">
            <v>264990568</v>
          </cell>
        </row>
        <row r="111">
          <cell r="O111">
            <v>-28984166</v>
          </cell>
        </row>
        <row r="112">
          <cell r="H112">
            <v>635166064</v>
          </cell>
          <cell r="L112">
            <v>627082965</v>
          </cell>
          <cell r="O112">
            <v>-10.937810435577465</v>
          </cell>
        </row>
        <row r="113">
          <cell r="H113">
            <v>960883369</v>
          </cell>
          <cell r="L113">
            <v>435361801</v>
          </cell>
        </row>
        <row r="115">
          <cell r="H115">
            <v>456550009</v>
          </cell>
          <cell r="L115">
            <v>354844084</v>
          </cell>
        </row>
        <row r="116">
          <cell r="H116">
            <v>504333360</v>
          </cell>
          <cell r="L116">
            <v>80517717</v>
          </cell>
          <cell r="N116">
            <v>145800000</v>
          </cell>
        </row>
        <row r="117">
          <cell r="N117">
            <v>358533360</v>
          </cell>
        </row>
        <row r="118">
          <cell r="H118">
            <v>244651452</v>
          </cell>
          <cell r="L118">
            <v>223188311</v>
          </cell>
        </row>
        <row r="119">
          <cell r="H119">
            <v>748984812</v>
          </cell>
          <cell r="L119">
            <v>303706028</v>
          </cell>
          <cell r="N119">
            <v>-445278784</v>
          </cell>
          <cell r="O119">
            <v>-146.6150629055015</v>
          </cell>
        </row>
        <row r="121">
          <cell r="H121">
            <v>381152083</v>
          </cell>
          <cell r="L121">
            <v>182422055</v>
          </cell>
        </row>
        <row r="122">
          <cell r="H122">
            <v>1130136895</v>
          </cell>
          <cell r="L122">
            <v>486128083</v>
          </cell>
        </row>
        <row r="123">
          <cell r="G123" t="str">
            <v xml:space="preserve"> </v>
          </cell>
        </row>
        <row r="124">
          <cell r="H124">
            <v>358533360</v>
          </cell>
          <cell r="L124">
            <v>0</v>
          </cell>
          <cell r="N124">
            <v>32076000</v>
          </cell>
        </row>
        <row r="125">
          <cell r="H125">
            <v>113724000</v>
          </cell>
          <cell r="L125">
            <v>104976000</v>
          </cell>
        </row>
        <row r="126">
          <cell r="H126">
            <v>0</v>
          </cell>
          <cell r="L126">
            <v>0</v>
          </cell>
        </row>
        <row r="127">
          <cell r="H127">
            <v>472257360</v>
          </cell>
          <cell r="L127">
            <v>104976000</v>
          </cell>
        </row>
        <row r="129">
          <cell r="H129">
            <v>657879535</v>
          </cell>
          <cell r="L129">
            <v>381152083</v>
          </cell>
          <cell r="N129">
            <v>115.69757219232528</v>
          </cell>
        </row>
        <row r="131">
          <cell r="H131">
            <v>13.171974464492983</v>
          </cell>
          <cell r="L131">
            <v>5.3411070310576481</v>
          </cell>
        </row>
        <row r="137">
          <cell r="L137" t="str">
            <v>Director</v>
          </cell>
        </row>
        <row r="143">
          <cell r="H143">
            <v>2007</v>
          </cell>
          <cell r="L143">
            <v>2006</v>
          </cell>
        </row>
        <row r="144">
          <cell r="H144" t="str">
            <v>Rupees</v>
          </cell>
          <cell r="L144" t="str">
            <v>Rupees</v>
          </cell>
        </row>
        <row r="146">
          <cell r="H146">
            <v>72705853274</v>
          </cell>
          <cell r="L146">
            <v>69286514375</v>
          </cell>
          <cell r="N146">
            <v>46064801246</v>
          </cell>
        </row>
        <row r="147">
          <cell r="H147">
            <v>98995648</v>
          </cell>
          <cell r="L147">
            <v>131684336</v>
          </cell>
        </row>
        <row r="148">
          <cell r="H148">
            <v>72804848922</v>
          </cell>
          <cell r="L148">
            <v>69418198711</v>
          </cell>
        </row>
        <row r="150">
          <cell r="H150">
            <v>-52802255187</v>
          </cell>
          <cell r="L150">
            <v>-52412273161</v>
          </cell>
          <cell r="N150"/>
        </row>
        <row r="151">
          <cell r="H151">
            <v>-14106632140</v>
          </cell>
          <cell r="L151">
            <v>-12089104107</v>
          </cell>
          <cell r="N151"/>
        </row>
        <row r="152">
          <cell r="H152">
            <v>-231352655</v>
          </cell>
          <cell r="L152">
            <v>-824721231</v>
          </cell>
        </row>
        <row r="153">
          <cell r="H153">
            <v>5664608940</v>
          </cell>
          <cell r="L153">
            <v>4092100212</v>
          </cell>
        </row>
        <row r="156">
          <cell r="H156">
            <v>-81160249</v>
          </cell>
          <cell r="L156">
            <v>-230284848</v>
          </cell>
        </row>
        <row r="157">
          <cell r="H157">
            <v>954362</v>
          </cell>
          <cell r="L157">
            <v>2309505</v>
          </cell>
        </row>
        <row r="158">
          <cell r="H158">
            <v>-638425126</v>
          </cell>
          <cell r="L158">
            <v>-6213929559</v>
          </cell>
        </row>
        <row r="159">
          <cell r="H159">
            <v>659417</v>
          </cell>
          <cell r="L159">
            <v>426715</v>
          </cell>
        </row>
        <row r="160">
          <cell r="H160">
            <v>529356513</v>
          </cell>
          <cell r="L160">
            <v>501987969</v>
          </cell>
        </row>
        <row r="161">
          <cell r="H161">
            <v>0</v>
          </cell>
          <cell r="L161">
            <v>0</v>
          </cell>
        </row>
        <row r="162">
          <cell r="H162">
            <v>277697450</v>
          </cell>
          <cell r="L162">
            <v>253335200</v>
          </cell>
        </row>
        <row r="163">
          <cell r="H163">
            <v>89082367</v>
          </cell>
          <cell r="I163"/>
          <cell r="L163">
            <v>-5686155018</v>
          </cell>
        </row>
        <row r="166">
          <cell r="H166">
            <v>-4547000000</v>
          </cell>
          <cell r="L166">
            <v>4547000000</v>
          </cell>
        </row>
        <row r="167">
          <cell r="H167">
            <v>0</v>
          </cell>
          <cell r="L167">
            <v>-30000000</v>
          </cell>
        </row>
        <row r="168">
          <cell r="H168">
            <v>-358411079</v>
          </cell>
          <cell r="L168">
            <v>-374917154</v>
          </cell>
        </row>
        <row r="169">
          <cell r="H169">
            <v>-30173</v>
          </cell>
          <cell r="L169">
            <v>-8606</v>
          </cell>
        </row>
        <row r="170">
          <cell r="H170">
            <v>-4905441252</v>
          </cell>
          <cell r="L170">
            <v>4142074240</v>
          </cell>
        </row>
        <row r="172">
          <cell r="H172">
            <v>269581</v>
          </cell>
          <cell r="L172">
            <v>2992990</v>
          </cell>
        </row>
        <row r="174">
          <cell r="H174">
            <v>848519636</v>
          </cell>
          <cell r="L174">
            <v>2551012424</v>
          </cell>
        </row>
        <row r="177">
          <cell r="H177">
            <v>8031594080</v>
          </cell>
          <cell r="L177">
            <v>5480581656</v>
          </cell>
        </row>
        <row r="179">
          <cell r="H179">
            <v>8880113716</v>
          </cell>
          <cell r="L179">
            <v>8031594080</v>
          </cell>
        </row>
        <row r="180">
          <cell r="H180"/>
          <cell r="L180"/>
        </row>
        <row r="184">
          <cell r="L184" t="str">
            <v>Director</v>
          </cell>
        </row>
        <row r="356">
          <cell r="H356">
            <v>2007</v>
          </cell>
          <cell r="L356">
            <v>2006</v>
          </cell>
        </row>
        <row r="357">
          <cell r="H357" t="str">
            <v xml:space="preserve"> Rupees</v>
          </cell>
          <cell r="L357" t="str">
            <v xml:space="preserve"> Rupees</v>
          </cell>
        </row>
        <row r="360">
          <cell r="H360">
            <v>1000000000</v>
          </cell>
          <cell r="L360">
            <v>1000000000</v>
          </cell>
        </row>
        <row r="365">
          <cell r="H365">
            <v>80000000</v>
          </cell>
          <cell r="L365">
            <v>80000000</v>
          </cell>
        </row>
        <row r="366">
          <cell r="H366" t="str">
            <v xml:space="preserve"> </v>
          </cell>
          <cell r="L366" t="str">
            <v xml:space="preserve"> </v>
          </cell>
        </row>
        <row r="368">
          <cell r="H368">
            <v>488620000</v>
          </cell>
          <cell r="L368">
            <v>374896000</v>
          </cell>
        </row>
        <row r="370">
          <cell r="H370">
            <v>568620000</v>
          </cell>
          <cell r="L370">
            <v>454896000</v>
          </cell>
        </row>
        <row r="373">
          <cell r="H373"/>
        </row>
        <row r="375">
          <cell r="H375" t="str">
            <v xml:space="preserve"> </v>
          </cell>
          <cell r="L375" t="str">
            <v xml:space="preserve"> </v>
          </cell>
        </row>
        <row r="376">
          <cell r="H376" t="str">
            <v xml:space="preserve"> </v>
          </cell>
          <cell r="L376" t="str">
            <v xml:space="preserve"> </v>
          </cell>
        </row>
        <row r="377">
          <cell r="H377" t="str">
            <v xml:space="preserve"> </v>
          </cell>
          <cell r="L377" t="str">
            <v xml:space="preserve"> </v>
          </cell>
        </row>
        <row r="378">
          <cell r="H378">
            <v>4799955</v>
          </cell>
          <cell r="L378">
            <v>4799955</v>
          </cell>
        </row>
        <row r="379">
          <cell r="H379">
            <v>653906</v>
          </cell>
          <cell r="L379">
            <v>653906</v>
          </cell>
        </row>
        <row r="380">
          <cell r="H380" t="str">
            <v xml:space="preserve"> </v>
          </cell>
          <cell r="L380" t="str">
            <v xml:space="preserve"> </v>
          </cell>
        </row>
        <row r="381">
          <cell r="H381">
            <v>494645</v>
          </cell>
          <cell r="L381">
            <v>494645</v>
          </cell>
        </row>
        <row r="383">
          <cell r="H383">
            <v>5948506</v>
          </cell>
          <cell r="L383">
            <v>5948506</v>
          </cell>
        </row>
        <row r="388">
          <cell r="H388">
            <v>32929000</v>
          </cell>
          <cell r="L388">
            <v>32929000</v>
          </cell>
        </row>
        <row r="389">
          <cell r="H389">
            <v>2513232607</v>
          </cell>
          <cell r="L389">
            <v>2154699247</v>
          </cell>
        </row>
        <row r="390">
          <cell r="H390">
            <v>2546161607</v>
          </cell>
          <cell r="L390">
            <v>2187628247</v>
          </cell>
        </row>
        <row r="391">
          <cell r="H391">
            <v>55000</v>
          </cell>
          <cell r="L391">
            <v>55000</v>
          </cell>
        </row>
        <row r="392">
          <cell r="H392">
            <v>657879535</v>
          </cell>
          <cell r="L392">
            <v>381152083</v>
          </cell>
        </row>
        <row r="394">
          <cell r="H394">
            <v>3204096142</v>
          </cell>
          <cell r="L394">
            <v>2568835330</v>
          </cell>
        </row>
        <row r="396">
          <cell r="H396">
            <v>3210044648</v>
          </cell>
          <cell r="L396">
            <v>2574783836</v>
          </cell>
        </row>
        <row r="403">
          <cell r="H403">
            <v>2007</v>
          </cell>
          <cell r="L403">
            <v>2006</v>
          </cell>
        </row>
        <row r="404">
          <cell r="H404" t="str">
            <v xml:space="preserve"> Rupees</v>
          </cell>
          <cell r="L404" t="str">
            <v xml:space="preserve"> Rupees</v>
          </cell>
        </row>
        <row r="407">
          <cell r="H407">
            <v>0</v>
          </cell>
          <cell r="L407">
            <v>3597000000</v>
          </cell>
        </row>
        <row r="409">
          <cell r="H409">
            <v>0</v>
          </cell>
          <cell r="L409">
            <v>950000000</v>
          </cell>
        </row>
        <row r="410">
          <cell r="H410">
            <v>0</v>
          </cell>
          <cell r="L410">
            <v>4547000000</v>
          </cell>
        </row>
        <row r="413">
          <cell r="H413">
            <v>0</v>
          </cell>
          <cell r="L413">
            <v>899250000</v>
          </cell>
        </row>
        <row r="415">
          <cell r="H415">
            <v>0</v>
          </cell>
          <cell r="L415">
            <v>237500000</v>
          </cell>
        </row>
        <row r="416">
          <cell r="H416">
            <v>0</v>
          </cell>
          <cell r="L416">
            <v>1136750000</v>
          </cell>
        </row>
        <row r="417">
          <cell r="H417">
            <v>0</v>
          </cell>
          <cell r="L417">
            <v>3410250000</v>
          </cell>
        </row>
        <row r="427">
          <cell r="H427">
            <v>2007</v>
          </cell>
          <cell r="L427">
            <v>2006</v>
          </cell>
        </row>
        <row r="428">
          <cell r="H428" t="str">
            <v xml:space="preserve"> Rupees</v>
          </cell>
          <cell r="L428" t="str">
            <v xml:space="preserve"> Rupees</v>
          </cell>
        </row>
        <row r="431">
          <cell r="H431">
            <v>18020915256</v>
          </cell>
          <cell r="L431">
            <v>14121151457</v>
          </cell>
        </row>
        <row r="432">
          <cell r="H432">
            <v>275108397</v>
          </cell>
          <cell r="L432">
            <v>432891332</v>
          </cell>
        </row>
        <row r="434">
          <cell r="H434">
            <v>1384104431</v>
          </cell>
          <cell r="L434">
            <v>1471797733</v>
          </cell>
        </row>
        <row r="435">
          <cell r="H435">
            <v>1430155</v>
          </cell>
          <cell r="L435">
            <v>21113426</v>
          </cell>
        </row>
        <row r="436">
          <cell r="H436">
            <v>5542677</v>
          </cell>
          <cell r="L436">
            <v>0</v>
          </cell>
        </row>
        <row r="437">
          <cell r="H437">
            <v>737636316</v>
          </cell>
          <cell r="L437">
            <v>223933625</v>
          </cell>
        </row>
        <row r="438">
          <cell r="H438">
            <v>4707073386</v>
          </cell>
          <cell r="L438">
            <v>2049511951</v>
          </cell>
        </row>
        <row r="439">
          <cell r="H439">
            <v>5532717</v>
          </cell>
          <cell r="L439">
            <v>10518689</v>
          </cell>
        </row>
        <row r="440">
          <cell r="H440">
            <v>7197593</v>
          </cell>
          <cell r="L440">
            <v>127011850</v>
          </cell>
        </row>
        <row r="441">
          <cell r="H441">
            <v>0</v>
          </cell>
          <cell r="L441">
            <v>124133100</v>
          </cell>
        </row>
        <row r="442">
          <cell r="G442" t="str">
            <v xml:space="preserve"> </v>
          </cell>
          <cell r="H442">
            <v>131988739</v>
          </cell>
          <cell r="L442">
            <v>103033871</v>
          </cell>
        </row>
        <row r="443">
          <cell r="H443">
            <v>65840211</v>
          </cell>
          <cell r="L443">
            <v>36869261</v>
          </cell>
        </row>
        <row r="444">
          <cell r="H444">
            <v>0</v>
          </cell>
          <cell r="L444">
            <v>0</v>
          </cell>
        </row>
        <row r="445">
          <cell r="H445">
            <v>0</v>
          </cell>
          <cell r="L445">
            <v>54127</v>
          </cell>
        </row>
        <row r="446">
          <cell r="H446">
            <v>0</v>
          </cell>
          <cell r="L446">
            <v>0</v>
          </cell>
        </row>
        <row r="448">
          <cell r="H448">
            <v>1270705</v>
          </cell>
          <cell r="L448">
            <v>1018470</v>
          </cell>
        </row>
        <row r="449">
          <cell r="H449">
            <v>48940150</v>
          </cell>
          <cell r="L449">
            <v>48861150</v>
          </cell>
        </row>
        <row r="450">
          <cell r="H450">
            <v>939496</v>
          </cell>
          <cell r="L450">
            <v>969669</v>
          </cell>
        </row>
        <row r="451">
          <cell r="H451">
            <v>25393520229</v>
          </cell>
          <cell r="L451">
            <v>18772869711</v>
          </cell>
        </row>
        <row r="464">
          <cell r="H464">
            <v>36869261</v>
          </cell>
          <cell r="L464">
            <v>118649647</v>
          </cell>
        </row>
        <row r="466">
          <cell r="H466">
            <v>528081</v>
          </cell>
          <cell r="L466">
            <v>2168584</v>
          </cell>
        </row>
        <row r="467">
          <cell r="H467">
            <v>37397342</v>
          </cell>
          <cell r="L467">
            <v>120818231</v>
          </cell>
        </row>
        <row r="468">
          <cell r="H468">
            <v>37261056</v>
          </cell>
          <cell r="L468">
            <v>120541846</v>
          </cell>
        </row>
        <row r="469">
          <cell r="H469">
            <v>136286</v>
          </cell>
          <cell r="L469">
            <v>276385</v>
          </cell>
          <cell r="N469" t="str">
            <v xml:space="preserve"> </v>
          </cell>
        </row>
        <row r="470">
          <cell r="H470">
            <v>65703925</v>
          </cell>
          <cell r="L470">
            <v>36592876</v>
          </cell>
        </row>
        <row r="471">
          <cell r="H471">
            <v>65840211</v>
          </cell>
          <cell r="L471">
            <v>36869261</v>
          </cell>
        </row>
        <row r="474">
          <cell r="H474">
            <v>2007</v>
          </cell>
          <cell r="L474">
            <v>2006</v>
          </cell>
        </row>
        <row r="475">
          <cell r="H475" t="str">
            <v>Rupees</v>
          </cell>
          <cell r="L475" t="str">
            <v>Rupees</v>
          </cell>
        </row>
        <row r="477">
          <cell r="H477" t="str">
            <v xml:space="preserve"> </v>
          </cell>
          <cell r="L477" t="str">
            <v xml:space="preserve"> </v>
          </cell>
        </row>
        <row r="481">
          <cell r="H481">
            <v>214255000</v>
          </cell>
          <cell r="L481">
            <v>0</v>
          </cell>
        </row>
        <row r="483">
          <cell r="H483">
            <v>300000</v>
          </cell>
          <cell r="L483">
            <v>250000</v>
          </cell>
        </row>
        <row r="486">
          <cell r="H486">
            <v>1300000</v>
          </cell>
          <cell r="L486">
            <v>14683893</v>
          </cell>
        </row>
        <row r="493">
          <cell r="W493"/>
        </row>
        <row r="494">
          <cell r="H494">
            <v>55423626</v>
          </cell>
          <cell r="L494">
            <v>41868873</v>
          </cell>
        </row>
        <row r="496">
          <cell r="H496">
            <v>125775143</v>
          </cell>
          <cell r="L496">
            <v>33659700</v>
          </cell>
        </row>
        <row r="499">
          <cell r="H499">
            <v>2007</v>
          </cell>
          <cell r="L499">
            <v>2006</v>
          </cell>
        </row>
        <row r="500">
          <cell r="H500" t="str">
            <v>Rupees</v>
          </cell>
          <cell r="L500" t="str">
            <v>Rupees</v>
          </cell>
        </row>
        <row r="502">
          <cell r="H502">
            <v>2486951</v>
          </cell>
          <cell r="L502">
            <v>11725973</v>
          </cell>
        </row>
        <row r="503">
          <cell r="H503">
            <v>186976759</v>
          </cell>
          <cell r="L503">
            <v>161182102</v>
          </cell>
        </row>
        <row r="504">
          <cell r="H504">
            <v>28218675</v>
          </cell>
          <cell r="L504">
            <v>27964992</v>
          </cell>
        </row>
        <row r="505">
          <cell r="H505">
            <v>0</v>
          </cell>
          <cell r="L505">
            <v>19673277</v>
          </cell>
        </row>
        <row r="507">
          <cell r="H507">
            <v>217682385</v>
          </cell>
          <cell r="L507">
            <v>220546344</v>
          </cell>
        </row>
        <row r="512">
          <cell r="I512">
            <v>2006</v>
          </cell>
        </row>
        <row r="513">
          <cell r="H513" t="str">
            <v>Amount</v>
          </cell>
          <cell r="I513" t="str">
            <v>% age Holding</v>
          </cell>
          <cell r="L513" t="str">
            <v>Amount</v>
          </cell>
        </row>
        <row r="514">
          <cell r="H514" t="str">
            <v>Rupees</v>
          </cell>
          <cell r="L514" t="str">
            <v>Rupees</v>
          </cell>
        </row>
        <row r="519">
          <cell r="H519">
            <v>8046635100</v>
          </cell>
          <cell r="J519">
            <v>25</v>
          </cell>
          <cell r="L519">
            <v>8046635100</v>
          </cell>
          <cell r="O519">
            <v>16659700</v>
          </cell>
        </row>
        <row r="520">
          <cell r="O520">
            <v>341</v>
          </cell>
        </row>
        <row r="521">
          <cell r="O521">
            <v>5680957700</v>
          </cell>
        </row>
        <row r="522">
          <cell r="N522">
            <v>98425126</v>
          </cell>
        </row>
        <row r="523">
          <cell r="H523">
            <v>668203956</v>
          </cell>
          <cell r="J523">
            <v>20.91</v>
          </cell>
          <cell r="L523">
            <v>569778830</v>
          </cell>
          <cell r="N523">
            <v>98425126</v>
          </cell>
          <cell r="O523">
            <v>8681400</v>
          </cell>
        </row>
        <row r="524">
          <cell r="O524">
            <v>501.35</v>
          </cell>
        </row>
        <row r="525">
          <cell r="O525">
            <v>4352419890</v>
          </cell>
        </row>
        <row r="528">
          <cell r="H528">
            <v>540000000</v>
          </cell>
          <cell r="J528">
            <v>0</v>
          </cell>
          <cell r="L528">
            <v>0</v>
          </cell>
        </row>
        <row r="532">
          <cell r="H532">
            <v>4500000</v>
          </cell>
          <cell r="J532">
            <v>10</v>
          </cell>
          <cell r="L532">
            <v>4500000</v>
          </cell>
        </row>
        <row r="534">
          <cell r="N534">
            <v>4455000</v>
          </cell>
        </row>
        <row r="535">
          <cell r="H535">
            <v>9259339056</v>
          </cell>
          <cell r="L535">
            <v>8620913930</v>
          </cell>
        </row>
        <row r="539">
          <cell r="H539">
            <v>2000000</v>
          </cell>
          <cell r="J539">
            <v>100</v>
          </cell>
          <cell r="L539">
            <v>2000000</v>
          </cell>
        </row>
        <row r="543">
          <cell r="H543">
            <v>9261339056</v>
          </cell>
          <cell r="L543">
            <v>8622913930</v>
          </cell>
        </row>
        <row r="548">
          <cell r="H548">
            <v>2007</v>
          </cell>
          <cell r="L548">
            <v>2006</v>
          </cell>
        </row>
        <row r="549">
          <cell r="H549" t="str">
            <v>Rupees</v>
          </cell>
          <cell r="L549" t="str">
            <v>Rupees</v>
          </cell>
        </row>
        <row r="551">
          <cell r="H551">
            <v>21079761</v>
          </cell>
          <cell r="L551">
            <v>20748226</v>
          </cell>
        </row>
        <row r="552">
          <cell r="H552">
            <v>-10990473</v>
          </cell>
          <cell r="L552">
            <v>-9999521</v>
          </cell>
        </row>
        <row r="553">
          <cell r="H553">
            <v>10089288</v>
          </cell>
          <cell r="L553">
            <v>10748705</v>
          </cell>
        </row>
        <row r="555">
          <cell r="H555">
            <v>865021</v>
          </cell>
          <cell r="L555">
            <v>865021</v>
          </cell>
        </row>
        <row r="556">
          <cell r="H556">
            <v>10954309</v>
          </cell>
          <cell r="L556">
            <v>11613726</v>
          </cell>
        </row>
        <row r="559">
          <cell r="H559">
            <v>2007</v>
          </cell>
          <cell r="L559">
            <v>2006</v>
          </cell>
        </row>
        <row r="560">
          <cell r="H560" t="str">
            <v>Rupees</v>
          </cell>
          <cell r="L560" t="str">
            <v>Rupees</v>
          </cell>
        </row>
        <row r="563">
          <cell r="H563">
            <v>2232870</v>
          </cell>
          <cell r="L563">
            <v>283000</v>
          </cell>
        </row>
        <row r="564">
          <cell r="H564">
            <v>3922053</v>
          </cell>
          <cell r="L564">
            <v>3044644</v>
          </cell>
        </row>
        <row r="565">
          <cell r="H565">
            <v>6154923</v>
          </cell>
          <cell r="L565">
            <v>3327644</v>
          </cell>
        </row>
        <row r="566">
          <cell r="H566">
            <v>2603328</v>
          </cell>
          <cell r="L566">
            <v>1094774</v>
          </cell>
        </row>
        <row r="567">
          <cell r="H567">
            <v>3551595</v>
          </cell>
          <cell r="L567">
            <v>2232870</v>
          </cell>
        </row>
        <row r="569">
          <cell r="H569">
            <v>2007</v>
          </cell>
          <cell r="L569">
            <v>2006</v>
          </cell>
        </row>
        <row r="570">
          <cell r="H570" t="str">
            <v>Rupees</v>
          </cell>
          <cell r="L570" t="str">
            <v>Rupees</v>
          </cell>
        </row>
        <row r="572">
          <cell r="H572">
            <v>48979811</v>
          </cell>
          <cell r="L572">
            <v>39315681</v>
          </cell>
        </row>
        <row r="573">
          <cell r="H573">
            <v>124673071</v>
          </cell>
          <cell r="L573">
            <v>130284153</v>
          </cell>
        </row>
        <row r="574">
          <cell r="H574">
            <v>-15896942</v>
          </cell>
          <cell r="L574">
            <v>-31793885</v>
          </cell>
        </row>
        <row r="575">
          <cell r="H575">
            <v>157755940</v>
          </cell>
          <cell r="L575">
            <v>137805949</v>
          </cell>
        </row>
        <row r="578">
          <cell r="H578">
            <v>2007</v>
          </cell>
          <cell r="L578">
            <v>2006</v>
          </cell>
        </row>
        <row r="579">
          <cell r="H579" t="str">
            <v>Rupees</v>
          </cell>
          <cell r="L579" t="str">
            <v>Rupees</v>
          </cell>
        </row>
        <row r="581">
          <cell r="H581">
            <v>446578908</v>
          </cell>
          <cell r="L581">
            <v>410806882</v>
          </cell>
        </row>
        <row r="583">
          <cell r="H583">
            <v>219661310</v>
          </cell>
          <cell r="L583">
            <v>208976739</v>
          </cell>
        </row>
        <row r="584">
          <cell r="H584">
            <v>595775</v>
          </cell>
          <cell r="L584">
            <v>708542</v>
          </cell>
        </row>
        <row r="585">
          <cell r="H585">
            <v>666835993</v>
          </cell>
          <cell r="L585">
            <v>620492163</v>
          </cell>
        </row>
        <row r="586">
          <cell r="H586">
            <v>36000000</v>
          </cell>
          <cell r="L586">
            <v>34500000</v>
          </cell>
        </row>
        <row r="587">
          <cell r="H587">
            <v>630835993</v>
          </cell>
          <cell r="L587">
            <v>585992163</v>
          </cell>
        </row>
        <row r="589">
          <cell r="H589">
            <v>2007</v>
          </cell>
          <cell r="L589">
            <v>2006</v>
          </cell>
        </row>
        <row r="590">
          <cell r="H590" t="str">
            <v>Rupees</v>
          </cell>
          <cell r="L590" t="str">
            <v>Rupees</v>
          </cell>
        </row>
        <row r="592">
          <cell r="H592">
            <v>1488647552</v>
          </cell>
          <cell r="L592">
            <v>1310846837</v>
          </cell>
        </row>
        <row r="593">
          <cell r="H593">
            <v>176064444</v>
          </cell>
          <cell r="L593">
            <v>173356867</v>
          </cell>
          <cell r="N593">
            <v>280246765</v>
          </cell>
        </row>
        <row r="594">
          <cell r="H594">
            <v>1664711996</v>
          </cell>
          <cell r="L594">
            <v>1484203704</v>
          </cell>
          <cell r="N594">
            <v>236408807</v>
          </cell>
        </row>
        <row r="595">
          <cell r="H595">
            <v>311633383</v>
          </cell>
          <cell r="L595">
            <v>278876166</v>
          </cell>
          <cell r="N595">
            <v>43837958</v>
          </cell>
        </row>
        <row r="596">
          <cell r="H596">
            <v>1876300457</v>
          </cell>
          <cell r="L596">
            <v>1760727860</v>
          </cell>
        </row>
        <row r="597">
          <cell r="H597">
            <v>3852645836</v>
          </cell>
          <cell r="L597">
            <v>3523807730</v>
          </cell>
        </row>
        <row r="606">
          <cell r="N606">
            <v>184653732</v>
          </cell>
        </row>
        <row r="607">
          <cell r="N607">
            <v>421090018</v>
          </cell>
        </row>
        <row r="611">
          <cell r="H611">
            <v>2007</v>
          </cell>
          <cell r="L611">
            <v>2006</v>
          </cell>
        </row>
        <row r="612">
          <cell r="H612" t="str">
            <v>Rupees</v>
          </cell>
          <cell r="L612" t="str">
            <v>Rupees</v>
          </cell>
        </row>
        <row r="615">
          <cell r="H615">
            <v>10990473</v>
          </cell>
          <cell r="L615">
            <v>9999521</v>
          </cell>
        </row>
        <row r="616">
          <cell r="H616">
            <v>19301031</v>
          </cell>
          <cell r="L616">
            <v>32552811</v>
          </cell>
        </row>
        <row r="617">
          <cell r="H617">
            <v>1728728</v>
          </cell>
          <cell r="L617">
            <v>1683662</v>
          </cell>
        </row>
        <row r="618">
          <cell r="H618">
            <v>32020232</v>
          </cell>
          <cell r="L618">
            <v>44235994</v>
          </cell>
        </row>
        <row r="620">
          <cell r="H620">
            <v>285673</v>
          </cell>
          <cell r="L620">
            <v>285673</v>
          </cell>
        </row>
        <row r="621">
          <cell r="H621">
            <v>17238584</v>
          </cell>
          <cell r="L621">
            <v>14269925</v>
          </cell>
        </row>
        <row r="623">
          <cell r="M623" t="str">
            <v>*</v>
          </cell>
        </row>
        <row r="624">
          <cell r="H624">
            <v>287247</v>
          </cell>
          <cell r="L624">
            <v>23725</v>
          </cell>
        </row>
        <row r="625">
          <cell r="H625">
            <v>17811504</v>
          </cell>
          <cell r="L625">
            <v>14579323</v>
          </cell>
        </row>
        <row r="628">
          <cell r="H628">
            <v>1966040</v>
          </cell>
          <cell r="L628">
            <v>1668749</v>
          </cell>
        </row>
        <row r="630">
          <cell r="H630">
            <v>4677170</v>
          </cell>
          <cell r="L630">
            <v>2363777</v>
          </cell>
        </row>
        <row r="631">
          <cell r="H631">
            <v>0</v>
          </cell>
          <cell r="L631">
            <v>139817</v>
          </cell>
        </row>
        <row r="632">
          <cell r="H632">
            <v>155340</v>
          </cell>
          <cell r="L632">
            <v>0</v>
          </cell>
        </row>
        <row r="633">
          <cell r="H633">
            <v>2415270</v>
          </cell>
          <cell r="L633">
            <v>0</v>
          </cell>
        </row>
        <row r="634">
          <cell r="H634">
            <v>2464971</v>
          </cell>
          <cell r="L634">
            <v>522052</v>
          </cell>
        </row>
        <row r="636">
          <cell r="H636">
            <v>0</v>
          </cell>
          <cell r="L636">
            <v>0</v>
          </cell>
        </row>
        <row r="637">
          <cell r="H637">
            <v>4096686</v>
          </cell>
          <cell r="L637">
            <v>1697890</v>
          </cell>
        </row>
        <row r="638">
          <cell r="H638">
            <v>78867031</v>
          </cell>
          <cell r="L638">
            <v>39199241</v>
          </cell>
        </row>
        <row r="640">
          <cell r="H640">
            <v>39220600</v>
          </cell>
          <cell r="L640">
            <v>150716052</v>
          </cell>
        </row>
        <row r="641">
          <cell r="H641">
            <v>7560627</v>
          </cell>
          <cell r="L641">
            <v>8350204</v>
          </cell>
          <cell r="N641">
            <v>2299524</v>
          </cell>
        </row>
        <row r="642">
          <cell r="H642">
            <v>141423735</v>
          </cell>
          <cell r="L642">
            <v>204657782</v>
          </cell>
        </row>
        <row r="643">
          <cell r="H643">
            <v>191255471</v>
          </cell>
          <cell r="L643">
            <v>263473099</v>
          </cell>
        </row>
        <row r="648">
          <cell r="H648">
            <v>2007</v>
          </cell>
          <cell r="L648">
            <v>2006</v>
          </cell>
        </row>
        <row r="649">
          <cell r="H649" t="str">
            <v>Rupees</v>
          </cell>
          <cell r="L649" t="str">
            <v>Rupees</v>
          </cell>
        </row>
        <row r="651">
          <cell r="H651">
            <v>291366</v>
          </cell>
          <cell r="L651">
            <v>541946</v>
          </cell>
        </row>
        <row r="654">
          <cell r="H654">
            <v>2790058</v>
          </cell>
          <cell r="L654">
            <v>4654915</v>
          </cell>
        </row>
        <row r="655">
          <cell r="H655">
            <v>8877032292</v>
          </cell>
          <cell r="L655">
            <v>8026397219</v>
          </cell>
        </row>
        <row r="656">
          <cell r="H656">
            <v>8880113716</v>
          </cell>
          <cell r="L656">
            <v>8031594080</v>
          </cell>
        </row>
        <row r="666">
          <cell r="H666">
            <v>2007</v>
          </cell>
          <cell r="L666">
            <v>2006</v>
          </cell>
        </row>
        <row r="667">
          <cell r="H667" t="str">
            <v>Rupees</v>
          </cell>
          <cell r="L667" t="str">
            <v>Rupees</v>
          </cell>
        </row>
        <row r="669">
          <cell r="H669">
            <v>66083778877</v>
          </cell>
          <cell r="L669">
            <v>61362743941</v>
          </cell>
        </row>
        <row r="672">
          <cell r="H672">
            <v>8232839936</v>
          </cell>
          <cell r="L672">
            <v>8512982645</v>
          </cell>
        </row>
        <row r="674">
          <cell r="H674">
            <v>1175285235</v>
          </cell>
          <cell r="L674">
            <v>1761308376</v>
          </cell>
        </row>
        <row r="675">
          <cell r="H675">
            <v>7057554701</v>
          </cell>
          <cell r="L675">
            <v>6751674269</v>
          </cell>
        </row>
        <row r="678">
          <cell r="H678">
            <v>13986554360</v>
          </cell>
          <cell r="L678">
            <v>12177586475</v>
          </cell>
        </row>
        <row r="680">
          <cell r="H680">
            <v>59154779218</v>
          </cell>
          <cell r="L680">
            <v>55936831735</v>
          </cell>
          <cell r="N680">
            <v>8232839936</v>
          </cell>
        </row>
        <row r="681">
          <cell r="H681">
            <v>0</v>
          </cell>
          <cell r="N681">
            <v>35776607266</v>
          </cell>
        </row>
        <row r="682">
          <cell r="N682">
            <v>1521476426</v>
          </cell>
        </row>
        <row r="683">
          <cell r="H683">
            <v>2007</v>
          </cell>
          <cell r="L683">
            <v>2006</v>
          </cell>
        </row>
        <row r="684">
          <cell r="H684" t="str">
            <v>Rupees</v>
          </cell>
          <cell r="L684" t="str">
            <v>Rupees</v>
          </cell>
        </row>
        <row r="687">
          <cell r="H687">
            <v>5356523313</v>
          </cell>
          <cell r="L687">
            <v>3858634023</v>
          </cell>
        </row>
        <row r="689">
          <cell r="H689">
            <v>8166096090</v>
          </cell>
          <cell r="L689">
            <v>7810481336</v>
          </cell>
        </row>
        <row r="691">
          <cell r="H691">
            <v>463934957</v>
          </cell>
          <cell r="L691">
            <v>508471116</v>
          </cell>
          <cell r="N691">
            <v>17280292.530000001</v>
          </cell>
        </row>
        <row r="692">
          <cell r="H692">
            <v>13986554360</v>
          </cell>
          <cell r="L692">
            <v>12177586475</v>
          </cell>
        </row>
        <row r="700">
          <cell r="H700">
            <v>2007</v>
          </cell>
          <cell r="L700">
            <v>2006</v>
          </cell>
        </row>
        <row r="701">
          <cell r="H701" t="str">
            <v>Rupees</v>
          </cell>
          <cell r="L701" t="str">
            <v>Rupees</v>
          </cell>
        </row>
        <row r="703">
          <cell r="H703">
            <v>278876166</v>
          </cell>
          <cell r="L703">
            <v>174528868</v>
          </cell>
        </row>
        <row r="704">
          <cell r="H704">
            <v>56326788162</v>
          </cell>
          <cell r="L704">
            <v>53529997346</v>
          </cell>
        </row>
        <row r="705">
          <cell r="H705">
            <v>1016614947</v>
          </cell>
          <cell r="L705">
            <v>1042847253</v>
          </cell>
        </row>
        <row r="706">
          <cell r="H706">
            <v>250261568</v>
          </cell>
          <cell r="L706">
            <v>236931536</v>
          </cell>
        </row>
        <row r="707">
          <cell r="H707">
            <v>1822173</v>
          </cell>
          <cell r="L707">
            <v>2208099</v>
          </cell>
        </row>
        <row r="708">
          <cell r="H708">
            <v>347235336</v>
          </cell>
          <cell r="L708">
            <v>368336337</v>
          </cell>
        </row>
        <row r="709">
          <cell r="H709">
            <v>279485676</v>
          </cell>
          <cell r="L709">
            <v>243640822</v>
          </cell>
        </row>
        <row r="710">
          <cell r="H710">
            <v>6524583</v>
          </cell>
          <cell r="L710">
            <v>5644009</v>
          </cell>
        </row>
        <row r="711">
          <cell r="H711">
            <v>1602062</v>
          </cell>
          <cell r="L711">
            <v>2309376</v>
          </cell>
        </row>
        <row r="712">
          <cell r="H712">
            <v>2455174</v>
          </cell>
          <cell r="L712">
            <v>2849672</v>
          </cell>
        </row>
        <row r="713">
          <cell r="H713">
            <v>46544043</v>
          </cell>
          <cell r="L713">
            <v>36578388</v>
          </cell>
        </row>
        <row r="715">
          <cell r="H715"/>
          <cell r="L715"/>
        </row>
        <row r="716">
          <cell r="H716">
            <v>118433291</v>
          </cell>
          <cell r="L716">
            <v>141527067</v>
          </cell>
        </row>
        <row r="717">
          <cell r="H717">
            <v>9815175</v>
          </cell>
          <cell r="L717">
            <v>12187347</v>
          </cell>
        </row>
        <row r="718">
          <cell r="G718" t="str">
            <v xml:space="preserve"> </v>
          </cell>
          <cell r="H718">
            <v>8618744</v>
          </cell>
          <cell r="L718">
            <v>24775920</v>
          </cell>
        </row>
        <row r="719">
          <cell r="H719">
            <v>108000</v>
          </cell>
          <cell r="L719">
            <v>8550012</v>
          </cell>
        </row>
        <row r="720">
          <cell r="H720">
            <v>341975356</v>
          </cell>
          <cell r="L720">
            <v>328326550</v>
          </cell>
        </row>
        <row r="721">
          <cell r="H721">
            <v>59037160456</v>
          </cell>
          <cell r="L721">
            <v>56161238602</v>
          </cell>
        </row>
        <row r="723">
          <cell r="H723">
            <v>-311633383</v>
          </cell>
          <cell r="L723">
            <v>-278876166</v>
          </cell>
        </row>
        <row r="724">
          <cell r="H724">
            <v>58725527073</v>
          </cell>
          <cell r="L724">
            <v>55882362436</v>
          </cell>
        </row>
        <row r="725">
          <cell r="G725" t="str">
            <v xml:space="preserve"> </v>
          </cell>
        </row>
        <row r="726">
          <cell r="H726">
            <v>1760727860</v>
          </cell>
          <cell r="L726">
            <v>1369045483</v>
          </cell>
        </row>
        <row r="727">
          <cell r="H727">
            <v>-1876300457</v>
          </cell>
          <cell r="L727">
            <v>-1760727860</v>
          </cell>
        </row>
        <row r="728">
          <cell r="H728">
            <v>-115572597</v>
          </cell>
          <cell r="L728">
            <v>-391682377</v>
          </cell>
        </row>
        <row r="729">
          <cell r="N729" t="str">
            <v>ATTOCK REFINERY LIMITED</v>
          </cell>
          <cell r="T729">
            <v>4693520</v>
          </cell>
        </row>
        <row r="730">
          <cell r="H730">
            <v>58609954476</v>
          </cell>
          <cell r="L730">
            <v>55490680059</v>
          </cell>
          <cell r="N730" t="str">
            <v>DETAIL OF CRUDE PURCHASES</v>
          </cell>
          <cell r="T730">
            <v>3321856</v>
          </cell>
        </row>
        <row r="731">
          <cell r="L731">
            <v>0</v>
          </cell>
          <cell r="T731">
            <v>1371664</v>
          </cell>
        </row>
        <row r="732">
          <cell r="H732">
            <v>2007</v>
          </cell>
          <cell r="L732">
            <v>2006</v>
          </cell>
          <cell r="R732">
            <v>2007</v>
          </cell>
        </row>
        <row r="733">
          <cell r="H733" t="str">
            <v>Rupees</v>
          </cell>
          <cell r="L733" t="str">
            <v>Rupees</v>
          </cell>
          <cell r="N733" t="str">
            <v>P A R T I C U L A R S</v>
          </cell>
          <cell r="R733" t="str">
            <v>Rupees</v>
          </cell>
        </row>
        <row r="734">
          <cell r="H734" t="str">
            <v xml:space="preserve"> </v>
          </cell>
          <cell r="T734">
            <v>57848251683.190002</v>
          </cell>
        </row>
        <row r="735">
          <cell r="H735">
            <v>1484203704</v>
          </cell>
          <cell r="L735">
            <v>557049967</v>
          </cell>
          <cell r="N735" t="str">
            <v>Purchases as per schedule</v>
          </cell>
          <cell r="R735">
            <v>56538919591</v>
          </cell>
          <cell r="T735">
            <v>-1310846837</v>
          </cell>
          <cell r="U735">
            <v>0</v>
          </cell>
          <cell r="V735">
            <v>0</v>
          </cell>
        </row>
        <row r="736">
          <cell r="H736">
            <v>56507296454</v>
          </cell>
          <cell r="L736">
            <v>54457151083</v>
          </cell>
          <cell r="N736" t="str">
            <v>Crude charged prior year</v>
          </cell>
          <cell r="R736">
            <v>0</v>
          </cell>
          <cell r="T736">
            <v>56537404846.190002</v>
          </cell>
        </row>
        <row r="737">
          <cell r="N737" t="str">
            <v>Freight on south crude</v>
          </cell>
          <cell r="R737">
            <v>0</v>
          </cell>
          <cell r="T737">
            <v>245366072.77000001</v>
          </cell>
        </row>
        <row r="738">
          <cell r="H738">
            <v>57991500158</v>
          </cell>
          <cell r="L738">
            <v>55014201050</v>
          </cell>
          <cell r="N738" t="str">
            <v>Shortages recovery on south crude</v>
          </cell>
          <cell r="R738">
            <v>-34932001</v>
          </cell>
        </row>
        <row r="739">
          <cell r="H739">
            <v>-1664711996</v>
          </cell>
          <cell r="L739">
            <v>-1484203704</v>
          </cell>
          <cell r="N739" t="str">
            <v>Steam charges through POL</v>
          </cell>
          <cell r="R739">
            <v>601287</v>
          </cell>
        </row>
        <row r="740">
          <cell r="N740" t="str">
            <v>Crude stock in transit</v>
          </cell>
          <cell r="R740">
            <v>2707577</v>
          </cell>
          <cell r="T740">
            <v>-34330714</v>
          </cell>
        </row>
        <row r="741">
          <cell r="H741">
            <v>56326788162</v>
          </cell>
          <cell r="L741">
            <v>53529997346</v>
          </cell>
          <cell r="T741">
            <v>56361118876</v>
          </cell>
        </row>
        <row r="742">
          <cell r="R742">
            <v>56507296454</v>
          </cell>
        </row>
        <row r="748">
          <cell r="N748">
            <v>5455251</v>
          </cell>
        </row>
        <row r="751">
          <cell r="H751">
            <v>2007</v>
          </cell>
          <cell r="L751">
            <v>2006</v>
          </cell>
        </row>
        <row r="752">
          <cell r="H752" t="str">
            <v>Rupees</v>
          </cell>
          <cell r="L752" t="str">
            <v>Rupees</v>
          </cell>
        </row>
        <row r="754">
          <cell r="H754">
            <v>97666151</v>
          </cell>
          <cell r="L754">
            <v>90619295</v>
          </cell>
        </row>
        <row r="755">
          <cell r="H755">
            <v>0</v>
          </cell>
          <cell r="L755">
            <v>0</v>
          </cell>
        </row>
        <row r="756">
          <cell r="H756">
            <v>12064930</v>
          </cell>
          <cell r="L756">
            <v>13600784</v>
          </cell>
        </row>
        <row r="757">
          <cell r="H757">
            <v>1484554</v>
          </cell>
          <cell r="L757">
            <v>1893125</v>
          </cell>
        </row>
        <row r="758">
          <cell r="H758">
            <v>4430040</v>
          </cell>
          <cell r="L758">
            <v>4023580</v>
          </cell>
        </row>
        <row r="759">
          <cell r="H759">
            <v>3028350</v>
          </cell>
          <cell r="L759">
            <v>2408355</v>
          </cell>
        </row>
        <row r="763">
          <cell r="H763">
            <v>350000</v>
          </cell>
          <cell r="L763">
            <v>300000</v>
          </cell>
        </row>
        <row r="765">
          <cell r="H765">
            <v>553000</v>
          </cell>
          <cell r="L765">
            <v>483500</v>
          </cell>
        </row>
        <row r="766">
          <cell r="H766">
            <v>82995</v>
          </cell>
          <cell r="L766">
            <v>91540</v>
          </cell>
        </row>
        <row r="767">
          <cell r="H767">
            <v>985995</v>
          </cell>
          <cell r="L767">
            <v>875040</v>
          </cell>
          <cell r="N767">
            <v>-110955</v>
          </cell>
        </row>
        <row r="768">
          <cell r="H768">
            <v>5874513</v>
          </cell>
          <cell r="L768">
            <v>7951800</v>
          </cell>
        </row>
        <row r="769">
          <cell r="H769">
            <v>21490375</v>
          </cell>
          <cell r="L769">
            <v>24795439</v>
          </cell>
        </row>
        <row r="770">
          <cell r="H770">
            <v>5271778</v>
          </cell>
          <cell r="L770">
            <v>5444940</v>
          </cell>
        </row>
        <row r="771">
          <cell r="H771">
            <v>4043563</v>
          </cell>
          <cell r="L771">
            <v>4029913</v>
          </cell>
        </row>
        <row r="772">
          <cell r="H772">
            <v>2054950</v>
          </cell>
          <cell r="L772">
            <v>1398801</v>
          </cell>
        </row>
        <row r="773">
          <cell r="H773">
            <v>1273568</v>
          </cell>
          <cell r="L773">
            <v>1677635</v>
          </cell>
        </row>
        <row r="774">
          <cell r="H774">
            <v>866898</v>
          </cell>
          <cell r="L774">
            <v>794336</v>
          </cell>
        </row>
        <row r="775">
          <cell r="H775">
            <v>414619</v>
          </cell>
          <cell r="L775">
            <v>10275147</v>
          </cell>
        </row>
        <row r="776">
          <cell r="H776">
            <v>744814</v>
          </cell>
          <cell r="L776">
            <v>2389783</v>
          </cell>
        </row>
        <row r="777">
          <cell r="H777">
            <v>51638</v>
          </cell>
          <cell r="L777">
            <v>245421</v>
          </cell>
        </row>
        <row r="778">
          <cell r="H778">
            <v>13360853</v>
          </cell>
          <cell r="L778">
            <v>10875215</v>
          </cell>
        </row>
        <row r="779">
          <cell r="H779">
            <v>175107589</v>
          </cell>
          <cell r="L779">
            <v>183298609</v>
          </cell>
        </row>
        <row r="784">
          <cell r="H784">
            <v>2007</v>
          </cell>
          <cell r="L784">
            <v>2006</v>
          </cell>
        </row>
        <row r="785">
          <cell r="H785" t="str">
            <v>Rupees</v>
          </cell>
          <cell r="L785" t="str">
            <v>Rupees</v>
          </cell>
        </row>
        <row r="787">
          <cell r="H787">
            <v>11722058</v>
          </cell>
          <cell r="L787">
            <v>8512176</v>
          </cell>
        </row>
        <row r="788">
          <cell r="H788">
            <v>568338</v>
          </cell>
          <cell r="L788">
            <v>661935</v>
          </cell>
        </row>
        <row r="789">
          <cell r="H789">
            <v>209812</v>
          </cell>
          <cell r="L789">
            <v>174908</v>
          </cell>
        </row>
        <row r="790">
          <cell r="H790">
            <v>1476680</v>
          </cell>
          <cell r="L790">
            <v>1341193</v>
          </cell>
        </row>
        <row r="791">
          <cell r="H791">
            <v>81097</v>
          </cell>
          <cell r="L791">
            <v>70976</v>
          </cell>
        </row>
        <row r="793">
          <cell r="H793">
            <v>1295190</v>
          </cell>
          <cell r="L793">
            <v>1911219</v>
          </cell>
        </row>
        <row r="794">
          <cell r="H794">
            <v>316677</v>
          </cell>
          <cell r="L794">
            <v>263096</v>
          </cell>
        </row>
        <row r="795">
          <cell r="H795">
            <v>0</v>
          </cell>
          <cell r="L795">
            <v>0</v>
          </cell>
        </row>
        <row r="796">
          <cell r="H796">
            <v>144000</v>
          </cell>
          <cell r="L796">
            <v>216285</v>
          </cell>
        </row>
        <row r="797">
          <cell r="H797">
            <v>2587</v>
          </cell>
          <cell r="L797">
            <v>52730</v>
          </cell>
        </row>
        <row r="798">
          <cell r="H798">
            <v>899894</v>
          </cell>
          <cell r="L798">
            <v>575332</v>
          </cell>
        </row>
        <row r="799">
          <cell r="H799"/>
          <cell r="L799"/>
        </row>
        <row r="800">
          <cell r="H800">
            <v>16716333</v>
          </cell>
          <cell r="L800">
            <v>13779850</v>
          </cell>
        </row>
        <row r="802">
          <cell r="H802">
            <v>2007</v>
          </cell>
          <cell r="L802">
            <v>2006</v>
          </cell>
          <cell r="N802" t="str">
            <v xml:space="preserve"> </v>
          </cell>
        </row>
        <row r="803">
          <cell r="H803" t="str">
            <v>Rupees</v>
          </cell>
          <cell r="L803" t="str">
            <v>Rupees</v>
          </cell>
        </row>
        <row r="805">
          <cell r="H805">
            <v>233361071</v>
          </cell>
          <cell r="L805">
            <v>493541346</v>
          </cell>
        </row>
        <row r="807">
          <cell r="H807">
            <v>528081</v>
          </cell>
          <cell r="L807">
            <v>2168584</v>
          </cell>
        </row>
        <row r="809">
          <cell r="H809">
            <v>0</v>
          </cell>
          <cell r="L809">
            <v>346028</v>
          </cell>
        </row>
        <row r="810">
          <cell r="H810">
            <v>388827</v>
          </cell>
          <cell r="L810">
            <v>2368817</v>
          </cell>
        </row>
        <row r="811">
          <cell r="N811" t="str">
            <v xml:space="preserve"> </v>
          </cell>
        </row>
        <row r="812">
          <cell r="H812">
            <v>234277979</v>
          </cell>
          <cell r="L812">
            <v>498424775</v>
          </cell>
          <cell r="N812">
            <v>163966669.83999997</v>
          </cell>
        </row>
        <row r="816">
          <cell r="H816">
            <v>2007</v>
          </cell>
          <cell r="L816">
            <v>2006</v>
          </cell>
        </row>
        <row r="817">
          <cell r="H817" t="str">
            <v>Rupees</v>
          </cell>
          <cell r="L817" t="str">
            <v>Rupees</v>
          </cell>
          <cell r="O817">
            <v>2416898</v>
          </cell>
        </row>
        <row r="818">
          <cell r="O818">
            <v>4096686</v>
          </cell>
        </row>
        <row r="819">
          <cell r="O819">
            <v>-1679788</v>
          </cell>
        </row>
        <row r="820">
          <cell r="N820">
            <v>85860364</v>
          </cell>
          <cell r="O820">
            <v>1697890</v>
          </cell>
        </row>
        <row r="821">
          <cell r="H821">
            <v>15320547</v>
          </cell>
          <cell r="L821">
            <v>15378909</v>
          </cell>
          <cell r="N821">
            <v>60364</v>
          </cell>
          <cell r="O821">
            <v>3377678</v>
          </cell>
        </row>
        <row r="823">
          <cell r="H823">
            <v>8572332</v>
          </cell>
          <cell r="L823">
            <v>7008130</v>
          </cell>
          <cell r="N823">
            <v>493413</v>
          </cell>
          <cell r="O823">
            <v>9425028</v>
          </cell>
        </row>
        <row r="824">
          <cell r="H824">
            <v>-954525</v>
          </cell>
          <cell r="L824">
            <v>-852696</v>
          </cell>
        </row>
        <row r="825">
          <cell r="H825">
            <v>7617807</v>
          </cell>
          <cell r="L825">
            <v>6155434</v>
          </cell>
        </row>
        <row r="827">
          <cell r="H827">
            <v>2202230</v>
          </cell>
          <cell r="L827">
            <v>1717248</v>
          </cell>
          <cell r="N827">
            <v>9065745</v>
          </cell>
          <cell r="O827">
            <v>7008130</v>
          </cell>
        </row>
        <row r="828">
          <cell r="N828">
            <v>8322179</v>
          </cell>
        </row>
        <row r="829">
          <cell r="H829">
            <v>25140584</v>
          </cell>
          <cell r="L829">
            <v>23251591</v>
          </cell>
          <cell r="N829">
            <v>235179</v>
          </cell>
        </row>
        <row r="831">
          <cell r="H831">
            <v>1500000</v>
          </cell>
          <cell r="L831">
            <v>1500000</v>
          </cell>
        </row>
        <row r="832">
          <cell r="H832">
            <v>12560</v>
          </cell>
          <cell r="L832">
            <v>0</v>
          </cell>
        </row>
        <row r="833">
          <cell r="H833">
            <v>51819052</v>
          </cell>
          <cell r="L833">
            <v>23926116</v>
          </cell>
          <cell r="N833">
            <v>1036381037</v>
          </cell>
          <cell r="O833">
            <v>-27892936</v>
          </cell>
        </row>
        <row r="834">
          <cell r="H834">
            <v>23678615.68</v>
          </cell>
          <cell r="L834">
            <v>19234402</v>
          </cell>
          <cell r="O834">
            <v>-4444213.68</v>
          </cell>
        </row>
        <row r="835">
          <cell r="H835">
            <v>102150811.68000001</v>
          </cell>
          <cell r="L835">
            <v>67912109</v>
          </cell>
        </row>
        <row r="837">
          <cell r="H837">
            <v>2007</v>
          </cell>
          <cell r="L837">
            <v>2006</v>
          </cell>
        </row>
        <row r="838">
          <cell r="H838" t="str">
            <v>Rupees</v>
          </cell>
          <cell r="L838" t="str">
            <v>Rupees</v>
          </cell>
        </row>
        <row r="839">
          <cell r="R839">
            <v>47510085</v>
          </cell>
        </row>
        <row r="840">
          <cell r="H840">
            <v>569024303</v>
          </cell>
          <cell r="L840">
            <v>527198018</v>
          </cell>
        </row>
        <row r="841">
          <cell r="H841">
            <v>0</v>
          </cell>
          <cell r="L841">
            <v>2029</v>
          </cell>
        </row>
        <row r="842">
          <cell r="H842">
            <v>269581</v>
          </cell>
          <cell r="L842">
            <v>2992990</v>
          </cell>
        </row>
        <row r="843">
          <cell r="H843">
            <v>569293884</v>
          </cell>
          <cell r="L843">
            <v>530193037</v>
          </cell>
        </row>
        <row r="845">
          <cell r="H845">
            <v>11205337</v>
          </cell>
          <cell r="L845">
            <v>8835527</v>
          </cell>
        </row>
        <row r="846">
          <cell r="G846" t="str">
            <v xml:space="preserve"> </v>
          </cell>
          <cell r="H846">
            <v>9264467</v>
          </cell>
          <cell r="L846">
            <v>10541984</v>
          </cell>
        </row>
        <row r="847">
          <cell r="H847">
            <v>4719025</v>
          </cell>
          <cell r="L847">
            <v>2206024</v>
          </cell>
        </row>
        <row r="848">
          <cell r="H848">
            <v>3057084</v>
          </cell>
          <cell r="L848">
            <v>2003552</v>
          </cell>
        </row>
        <row r="849">
          <cell r="H849">
            <v>10612726</v>
          </cell>
          <cell r="L849">
            <v>6957758</v>
          </cell>
        </row>
        <row r="850">
          <cell r="H850">
            <v>846421</v>
          </cell>
          <cell r="L850">
            <v>1660588</v>
          </cell>
        </row>
        <row r="851">
          <cell r="H851">
            <v>3742400</v>
          </cell>
          <cell r="L851">
            <v>3996300</v>
          </cell>
        </row>
        <row r="852">
          <cell r="H852">
            <v>15900912</v>
          </cell>
          <cell r="L852">
            <v>21419332</v>
          </cell>
        </row>
        <row r="853">
          <cell r="H853">
            <v>0</v>
          </cell>
          <cell r="L853">
            <v>20941563</v>
          </cell>
        </row>
        <row r="854">
          <cell r="H854">
            <v>3888219</v>
          </cell>
          <cell r="L854">
            <v>15070661</v>
          </cell>
        </row>
        <row r="855">
          <cell r="H855">
            <v>693597</v>
          </cell>
          <cell r="L855">
            <v>2603288</v>
          </cell>
        </row>
        <row r="856">
          <cell r="H856">
            <v>1941992</v>
          </cell>
          <cell r="L856">
            <v>653351</v>
          </cell>
        </row>
        <row r="857">
          <cell r="H857">
            <v>65872180</v>
          </cell>
          <cell r="L857">
            <v>96889928</v>
          </cell>
        </row>
        <row r="858">
          <cell r="H858">
            <v>635166064</v>
          </cell>
          <cell r="L858">
            <v>627082965</v>
          </cell>
          <cell r="N858">
            <v>482688846</v>
          </cell>
        </row>
        <row r="860">
          <cell r="H860">
            <v>2007</v>
          </cell>
          <cell r="L860">
            <v>2006</v>
          </cell>
        </row>
        <row r="861">
          <cell r="H861" t="str">
            <v>Rupees</v>
          </cell>
          <cell r="L861" t="str">
            <v>Rupees</v>
          </cell>
        </row>
        <row r="863">
          <cell r="H863">
            <v>43927953</v>
          </cell>
          <cell r="L863">
            <v>49598239</v>
          </cell>
        </row>
        <row r="868">
          <cell r="H868">
            <v>1882227</v>
          </cell>
          <cell r="L868">
            <v>2287290</v>
          </cell>
        </row>
        <row r="869">
          <cell r="H869">
            <v>7058352</v>
          </cell>
          <cell r="L869">
            <v>8577336</v>
          </cell>
        </row>
        <row r="870">
          <cell r="H870">
            <v>16828288</v>
          </cell>
          <cell r="L870">
            <v>20449799</v>
          </cell>
        </row>
        <row r="871">
          <cell r="H871">
            <v>8262119</v>
          </cell>
          <cell r="L871">
            <v>7109330</v>
          </cell>
        </row>
        <row r="872">
          <cell r="H872">
            <v>632500</v>
          </cell>
          <cell r="L872">
            <v>632500</v>
          </cell>
        </row>
        <row r="873">
          <cell r="H873">
            <v>34663486</v>
          </cell>
          <cell r="L873">
            <v>39056255</v>
          </cell>
        </row>
        <row r="875">
          <cell r="H875">
            <v>9264467</v>
          </cell>
          <cell r="L875">
            <v>10541984</v>
          </cell>
        </row>
        <row r="878">
          <cell r="H878">
            <v>2007</v>
          </cell>
          <cell r="L878">
            <v>2006</v>
          </cell>
        </row>
        <row r="879">
          <cell r="H879" t="str">
            <v>Rupees</v>
          </cell>
          <cell r="L879" t="str">
            <v>Rupees</v>
          </cell>
        </row>
        <row r="881">
          <cell r="H881">
            <v>476500000</v>
          </cell>
          <cell r="L881">
            <v>400000000</v>
          </cell>
        </row>
        <row r="882">
          <cell r="H882">
            <v>0</v>
          </cell>
          <cell r="L882">
            <v>0</v>
          </cell>
        </row>
        <row r="883">
          <cell r="H883">
            <v>476500000</v>
          </cell>
          <cell r="L883">
            <v>400000000</v>
          </cell>
        </row>
        <row r="885">
          <cell r="H885">
            <v>-19949991</v>
          </cell>
          <cell r="L885">
            <v>-45155916</v>
          </cell>
        </row>
        <row r="886">
          <cell r="H886">
            <v>456550009</v>
          </cell>
          <cell r="L886">
            <v>354844084</v>
          </cell>
        </row>
        <row r="889">
          <cell r="H889" t="str">
            <v>%</v>
          </cell>
          <cell r="L889" t="str">
            <v>%</v>
          </cell>
        </row>
        <row r="890">
          <cell r="H890">
            <v>35</v>
          </cell>
          <cell r="L890">
            <v>35</v>
          </cell>
        </row>
        <row r="892">
          <cell r="H892">
            <v>0</v>
          </cell>
          <cell r="L892">
            <v>0</v>
          </cell>
        </row>
        <row r="893">
          <cell r="H893">
            <v>12.51</v>
          </cell>
          <cell r="L893">
            <v>46.51</v>
          </cell>
        </row>
        <row r="895">
          <cell r="H895">
            <v>47.51</v>
          </cell>
          <cell r="L895">
            <v>81.509999999999991</v>
          </cell>
        </row>
        <row r="897">
          <cell r="H897">
            <v>2007</v>
          </cell>
          <cell r="L897">
            <v>2006</v>
          </cell>
        </row>
        <row r="898">
          <cell r="H898" t="str">
            <v>Rupees</v>
          </cell>
          <cell r="L898" t="str">
            <v>Rupees</v>
          </cell>
        </row>
        <row r="901">
          <cell r="H901">
            <v>69451200</v>
          </cell>
          <cell r="L901">
            <v>70078500</v>
          </cell>
        </row>
        <row r="902">
          <cell r="H902">
            <v>208246250</v>
          </cell>
          <cell r="L902">
            <v>183256700</v>
          </cell>
          <cell r="O902">
            <v>208246250</v>
          </cell>
        </row>
        <row r="904">
          <cell r="H904">
            <v>277697450</v>
          </cell>
          <cell r="L904">
            <v>253335200</v>
          </cell>
          <cell r="O904">
            <v>208246250</v>
          </cell>
        </row>
        <row r="906">
          <cell r="H906">
            <v>13884873</v>
          </cell>
          <cell r="L906">
            <v>12666760</v>
          </cell>
          <cell r="O906">
            <v>10412313</v>
          </cell>
        </row>
        <row r="907">
          <cell r="H907">
            <v>5276252</v>
          </cell>
          <cell r="L907">
            <v>4813369</v>
          </cell>
          <cell r="O907">
            <v>3956679</v>
          </cell>
        </row>
        <row r="908">
          <cell r="H908">
            <v>13884873</v>
          </cell>
          <cell r="L908">
            <v>12666760</v>
          </cell>
          <cell r="O908">
            <v>10412313</v>
          </cell>
        </row>
        <row r="909">
          <cell r="H909">
            <v>33045998</v>
          </cell>
          <cell r="L909">
            <v>30146889</v>
          </cell>
          <cell r="O909">
            <v>24781305</v>
          </cell>
        </row>
        <row r="910">
          <cell r="H910">
            <v>244651452</v>
          </cell>
          <cell r="L910">
            <v>223188311</v>
          </cell>
          <cell r="O910">
            <v>183464945</v>
          </cell>
        </row>
        <row r="911">
          <cell r="O911">
            <v>183465</v>
          </cell>
        </row>
        <row r="915">
          <cell r="H915">
            <v>2007</v>
          </cell>
          <cell r="L915">
            <v>2006</v>
          </cell>
        </row>
        <row r="916">
          <cell r="H916" t="str">
            <v>Rupees</v>
          </cell>
          <cell r="L916" t="str">
            <v>Rupees</v>
          </cell>
        </row>
        <row r="919">
          <cell r="H919">
            <v>12941980204</v>
          </cell>
          <cell r="L919">
            <v>15315597351</v>
          </cell>
        </row>
        <row r="920">
          <cell r="H920">
            <v>76773294</v>
          </cell>
          <cell r="L920">
            <v>46784718</v>
          </cell>
        </row>
        <row r="921">
          <cell r="H921">
            <v>13018753498</v>
          </cell>
          <cell r="L921">
            <v>15362382069</v>
          </cell>
        </row>
        <row r="923">
          <cell r="H923">
            <v>7591741626</v>
          </cell>
          <cell r="L923">
            <v>9016821119</v>
          </cell>
        </row>
        <row r="924">
          <cell r="H924">
            <v>311331415</v>
          </cell>
          <cell r="L924">
            <v>296693858</v>
          </cell>
        </row>
        <row r="925">
          <cell r="H925">
            <v>7903073041</v>
          </cell>
          <cell r="L925">
            <v>9313514977</v>
          </cell>
        </row>
        <row r="927">
          <cell r="H927">
            <v>20921826539</v>
          </cell>
          <cell r="L927">
            <v>24675897046</v>
          </cell>
        </row>
        <row r="931">
          <cell r="H931">
            <v>0</v>
          </cell>
          <cell r="L931">
            <v>0</v>
          </cell>
        </row>
        <row r="932">
          <cell r="H932">
            <v>284675</v>
          </cell>
          <cell r="L932">
            <v>0</v>
          </cell>
        </row>
        <row r="933">
          <cell r="H933">
            <v>284675</v>
          </cell>
          <cell r="L933">
            <v>0</v>
          </cell>
        </row>
        <row r="935">
          <cell r="H935">
            <v>1298842610</v>
          </cell>
          <cell r="L935">
            <v>1997891103</v>
          </cell>
        </row>
        <row r="936">
          <cell r="H936">
            <v>3988210</v>
          </cell>
          <cell r="L936">
            <v>3771792</v>
          </cell>
        </row>
        <row r="937">
          <cell r="H937">
            <v>1302830820</v>
          </cell>
          <cell r="L937">
            <v>2001662895</v>
          </cell>
        </row>
        <row r="939">
          <cell r="H939">
            <v>1303115495</v>
          </cell>
          <cell r="L939">
            <v>2001662895</v>
          </cell>
        </row>
        <row r="943">
          <cell r="H943">
            <v>614043</v>
          </cell>
          <cell r="L943">
            <v>541408</v>
          </cell>
        </row>
        <row r="944">
          <cell r="H944">
            <v>18834184</v>
          </cell>
          <cell r="L944">
            <v>16601311</v>
          </cell>
        </row>
        <row r="945">
          <cell r="H945">
            <v>19448227</v>
          </cell>
          <cell r="L945">
            <v>17142719</v>
          </cell>
        </row>
        <row r="947">
          <cell r="H947">
            <v>0</v>
          </cell>
          <cell r="L947">
            <v>0</v>
          </cell>
        </row>
        <row r="948">
          <cell r="H948">
            <v>19653041</v>
          </cell>
          <cell r="L948">
            <v>18504737</v>
          </cell>
        </row>
        <row r="949">
          <cell r="H949">
            <v>19653041</v>
          </cell>
          <cell r="L949">
            <v>18504737</v>
          </cell>
        </row>
        <row r="951">
          <cell r="H951">
            <v>39101268</v>
          </cell>
          <cell r="L951">
            <v>35647456</v>
          </cell>
        </row>
        <row r="955">
          <cell r="H955">
            <v>22523586</v>
          </cell>
          <cell r="L955">
            <v>20359514</v>
          </cell>
        </row>
        <row r="960">
          <cell r="H960">
            <v>2007</v>
          </cell>
          <cell r="L960">
            <v>2006</v>
          </cell>
        </row>
        <row r="961">
          <cell r="H961" t="str">
            <v>Rupees</v>
          </cell>
          <cell r="L961" t="str">
            <v>Rupees</v>
          </cell>
        </row>
        <row r="963">
          <cell r="H963">
            <v>748984812</v>
          </cell>
          <cell r="L963">
            <v>303706028</v>
          </cell>
        </row>
        <row r="965">
          <cell r="H965">
            <v>56862000</v>
          </cell>
          <cell r="L965">
            <v>56862000</v>
          </cell>
        </row>
        <row r="967">
          <cell r="H967">
            <v>13.172000000000001</v>
          </cell>
          <cell r="L967">
            <v>5.34</v>
          </cell>
        </row>
        <row r="987">
          <cell r="L987" t="str">
            <v>Rupees</v>
          </cell>
        </row>
        <row r="988">
          <cell r="L988">
            <v>227448000</v>
          </cell>
        </row>
        <row r="989">
          <cell r="L989">
            <v>142155000</v>
          </cell>
        </row>
        <row r="999">
          <cell r="L999" t="str">
            <v>Director</v>
          </cell>
          <cell r="M999" t="str">
            <v xml:space="preserve"> </v>
          </cell>
        </row>
        <row r="1000">
          <cell r="M1000" t="str">
            <v xml:space="preserve"> </v>
          </cell>
        </row>
        <row r="1001">
          <cell r="M1001" t="str">
            <v xml:space="preserve"> </v>
          </cell>
        </row>
        <row r="1002">
          <cell r="M1002" t="str">
            <v xml:space="preserve"> </v>
          </cell>
        </row>
        <row r="1003">
          <cell r="M1003" t="str">
            <v xml:space="preserve"> </v>
          </cell>
        </row>
      </sheetData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Log"/>
      <sheetName val="SUM"/>
      <sheetName val="Asmts"/>
      <sheetName val="Financing"/>
      <sheetName val="Schedule"/>
      <sheetName val="CapEx"/>
      <sheetName val="OpEx"/>
      <sheetName val="Production"/>
      <sheetName val="Pricing"/>
      <sheetName val="Tax"/>
      <sheetName val="CW"/>
      <sheetName val="IS"/>
      <sheetName val="BS"/>
      <sheetName val="CF"/>
      <sheetName val="INV"/>
      <sheetName val="Ref_Tariff"/>
    </sheetNames>
    <sheetDataSet>
      <sheetData sheetId="0"/>
      <sheetData sheetId="1"/>
      <sheetData sheetId="2"/>
      <sheetData sheetId="3"/>
      <sheetData sheetId="4">
        <row r="2">
          <cell r="G2">
            <v>-1</v>
          </cell>
          <cell r="H2">
            <v>0</v>
          </cell>
          <cell r="I2">
            <v>1</v>
          </cell>
          <cell r="J2">
            <v>2</v>
          </cell>
          <cell r="K2">
            <v>3</v>
          </cell>
          <cell r="L2">
            <v>4</v>
          </cell>
          <cell r="M2">
            <v>5</v>
          </cell>
          <cell r="N2">
            <v>6</v>
          </cell>
          <cell r="O2">
            <v>7</v>
          </cell>
          <cell r="P2">
            <v>8</v>
          </cell>
          <cell r="Q2">
            <v>9</v>
          </cell>
          <cell r="R2">
            <v>10</v>
          </cell>
          <cell r="S2">
            <v>11</v>
          </cell>
          <cell r="T2">
            <v>12</v>
          </cell>
          <cell r="U2">
            <v>13</v>
          </cell>
          <cell r="V2">
            <v>14</v>
          </cell>
          <cell r="W2">
            <v>15</v>
          </cell>
          <cell r="X2">
            <v>16</v>
          </cell>
          <cell r="Y2">
            <v>17</v>
          </cell>
          <cell r="Z2">
            <v>18</v>
          </cell>
          <cell r="AA2">
            <v>19</v>
          </cell>
          <cell r="AB2">
            <v>20</v>
          </cell>
          <cell r="AC2">
            <v>21</v>
          </cell>
          <cell r="AD2">
            <v>22</v>
          </cell>
          <cell r="AE2">
            <v>23</v>
          </cell>
          <cell r="AF2">
            <v>24</v>
          </cell>
          <cell r="AG2">
            <v>25</v>
          </cell>
          <cell r="AH2">
            <v>26</v>
          </cell>
          <cell r="AI2">
            <v>27</v>
          </cell>
          <cell r="AJ2">
            <v>28</v>
          </cell>
          <cell r="AK2">
            <v>29</v>
          </cell>
          <cell r="AL2">
            <v>30</v>
          </cell>
          <cell r="AM2">
            <v>31</v>
          </cell>
          <cell r="AN2">
            <v>32</v>
          </cell>
          <cell r="AO2">
            <v>33</v>
          </cell>
          <cell r="AP2">
            <v>34</v>
          </cell>
          <cell r="AQ2">
            <v>35</v>
          </cell>
        </row>
      </sheetData>
      <sheetData sheetId="5"/>
      <sheetData sheetId="6"/>
      <sheetData sheetId="7">
        <row r="16">
          <cell r="D16">
            <v>60</v>
          </cell>
        </row>
      </sheetData>
      <sheetData sheetId="8"/>
      <sheetData sheetId="9">
        <row r="31">
          <cell r="G31">
            <v>4.1399999999999997</v>
          </cell>
          <cell r="H31">
            <v>4.1399999999999997</v>
          </cell>
          <cell r="I31">
            <v>4.1399999999999997</v>
          </cell>
          <cell r="J31">
            <v>4.1399999999999997</v>
          </cell>
          <cell r="K31">
            <v>4.1399999999999997</v>
          </cell>
          <cell r="L31">
            <v>4.1399999999999997</v>
          </cell>
          <cell r="M31">
            <v>4.1399999999999997</v>
          </cell>
          <cell r="N31">
            <v>4.1399999999999997</v>
          </cell>
          <cell r="O31">
            <v>4.1399999999999997</v>
          </cell>
          <cell r="P31">
            <v>4.1399999999999997</v>
          </cell>
          <cell r="Q31">
            <v>4.1399999999999997</v>
          </cell>
          <cell r="R31">
            <v>4.1399999999999997</v>
          </cell>
          <cell r="S31">
            <v>4.1399999999999997</v>
          </cell>
          <cell r="T31">
            <v>4.1399999999999997</v>
          </cell>
          <cell r="U31">
            <v>4.1399999999999997</v>
          </cell>
          <cell r="V31">
            <v>4.1399999999999997</v>
          </cell>
          <cell r="W31">
            <v>4.1399999999999997</v>
          </cell>
          <cell r="X31">
            <v>4.1399999999999997</v>
          </cell>
          <cell r="Y31">
            <v>4.1399999999999997</v>
          </cell>
          <cell r="Z31">
            <v>4.1399999999999997</v>
          </cell>
          <cell r="AA31">
            <v>4.1399999999999997</v>
          </cell>
          <cell r="AB31">
            <v>4.1399999999999997</v>
          </cell>
          <cell r="AC31">
            <v>4.1399999999999997</v>
          </cell>
          <cell r="AD31">
            <v>4.1399999999999997</v>
          </cell>
          <cell r="AE31">
            <v>4.1399999999999997</v>
          </cell>
          <cell r="AF31">
            <v>4.1399999999999997</v>
          </cell>
          <cell r="AG31">
            <v>4.1399999999999997</v>
          </cell>
          <cell r="AH31">
            <v>4.1399999999999997</v>
          </cell>
          <cell r="AI31">
            <v>4.1399999999999997</v>
          </cell>
          <cell r="AJ31">
            <v>4.1399999999999997</v>
          </cell>
          <cell r="AK31">
            <v>4.1399999999999997</v>
          </cell>
          <cell r="AL31">
            <v>4.1399999999999997</v>
          </cell>
          <cell r="AM31">
            <v>4.1399999999999997</v>
          </cell>
          <cell r="AN31">
            <v>4.1399999999999997</v>
          </cell>
          <cell r="AO31">
            <v>4.1399999999999997</v>
          </cell>
          <cell r="AP31">
            <v>4.1399999999999997</v>
          </cell>
          <cell r="AQ31">
            <v>4.1399999999999997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66"/>
  <sheetViews>
    <sheetView showGridLines="0" showRowColHeaders="0" tabSelected="1" topLeftCell="A34" zoomScale="75" zoomScaleNormal="75" zoomScaleSheetLayoutView="75" workbookViewId="0">
      <selection activeCell="N43" sqref="N43"/>
    </sheetView>
  </sheetViews>
  <sheetFormatPr defaultColWidth="10.42578125" defaultRowHeight="14.25" x14ac:dyDescent="0.2"/>
  <cols>
    <col min="1" max="1" width="14" style="73" customWidth="1"/>
    <col min="2" max="4" width="21.42578125" style="73" customWidth="1"/>
    <col min="5" max="5" width="24.7109375" style="73" customWidth="1"/>
    <col min="6" max="6" width="10" style="73" customWidth="1"/>
    <col min="7" max="7" width="14.7109375" style="73" customWidth="1"/>
    <col min="8" max="8" width="2.5703125" style="73" customWidth="1"/>
    <col min="9" max="9" width="4.5703125" style="73" customWidth="1"/>
    <col min="10" max="10" width="24.28515625" style="73" customWidth="1"/>
    <col min="11" max="11" width="21.28515625" style="73" customWidth="1"/>
    <col min="12" max="12" width="13.28515625" style="73" bestFit="1" customWidth="1"/>
    <col min="13" max="13" width="10.42578125" style="73"/>
    <col min="14" max="14" width="17.28515625" style="73" bestFit="1" customWidth="1"/>
    <col min="15" max="256" width="10.42578125" style="73"/>
    <col min="257" max="257" width="14" style="73" customWidth="1"/>
    <col min="258" max="260" width="21.42578125" style="73" customWidth="1"/>
    <col min="261" max="261" width="24.7109375" style="73" customWidth="1"/>
    <col min="262" max="262" width="10" style="73" customWidth="1"/>
    <col min="263" max="263" width="14.7109375" style="73" customWidth="1"/>
    <col min="264" max="264" width="2.5703125" style="73" customWidth="1"/>
    <col min="265" max="265" width="4.5703125" style="73" customWidth="1"/>
    <col min="266" max="266" width="24.28515625" style="73" customWidth="1"/>
    <col min="267" max="267" width="21.28515625" style="73" customWidth="1"/>
    <col min="268" max="268" width="13.28515625" style="73" bestFit="1" customWidth="1"/>
    <col min="269" max="269" width="10.42578125" style="73"/>
    <col min="270" max="270" width="17.28515625" style="73" bestFit="1" customWidth="1"/>
    <col min="271" max="512" width="10.42578125" style="73"/>
    <col min="513" max="513" width="14" style="73" customWidth="1"/>
    <col min="514" max="516" width="21.42578125" style="73" customWidth="1"/>
    <col min="517" max="517" width="24.7109375" style="73" customWidth="1"/>
    <col min="518" max="518" width="10" style="73" customWidth="1"/>
    <col min="519" max="519" width="14.7109375" style="73" customWidth="1"/>
    <col min="520" max="520" width="2.5703125" style="73" customWidth="1"/>
    <col min="521" max="521" width="4.5703125" style="73" customWidth="1"/>
    <col min="522" max="522" width="24.28515625" style="73" customWidth="1"/>
    <col min="523" max="523" width="21.28515625" style="73" customWidth="1"/>
    <col min="524" max="524" width="13.28515625" style="73" bestFit="1" customWidth="1"/>
    <col min="525" max="525" width="10.42578125" style="73"/>
    <col min="526" max="526" width="17.28515625" style="73" bestFit="1" customWidth="1"/>
    <col min="527" max="768" width="10.42578125" style="73"/>
    <col min="769" max="769" width="14" style="73" customWidth="1"/>
    <col min="770" max="772" width="21.42578125" style="73" customWidth="1"/>
    <col min="773" max="773" width="24.7109375" style="73" customWidth="1"/>
    <col min="774" max="774" width="10" style="73" customWidth="1"/>
    <col min="775" max="775" width="14.7109375" style="73" customWidth="1"/>
    <col min="776" max="776" width="2.5703125" style="73" customWidth="1"/>
    <col min="777" max="777" width="4.5703125" style="73" customWidth="1"/>
    <col min="778" max="778" width="24.28515625" style="73" customWidth="1"/>
    <col min="779" max="779" width="21.28515625" style="73" customWidth="1"/>
    <col min="780" max="780" width="13.28515625" style="73" bestFit="1" customWidth="1"/>
    <col min="781" max="781" width="10.42578125" style="73"/>
    <col min="782" max="782" width="17.28515625" style="73" bestFit="1" customWidth="1"/>
    <col min="783" max="1024" width="10.42578125" style="73"/>
    <col min="1025" max="1025" width="14" style="73" customWidth="1"/>
    <col min="1026" max="1028" width="21.42578125" style="73" customWidth="1"/>
    <col min="1029" max="1029" width="24.7109375" style="73" customWidth="1"/>
    <col min="1030" max="1030" width="10" style="73" customWidth="1"/>
    <col min="1031" max="1031" width="14.7109375" style="73" customWidth="1"/>
    <col min="1032" max="1032" width="2.5703125" style="73" customWidth="1"/>
    <col min="1033" max="1033" width="4.5703125" style="73" customWidth="1"/>
    <col min="1034" max="1034" width="24.28515625" style="73" customWidth="1"/>
    <col min="1035" max="1035" width="21.28515625" style="73" customWidth="1"/>
    <col min="1036" max="1036" width="13.28515625" style="73" bestFit="1" customWidth="1"/>
    <col min="1037" max="1037" width="10.42578125" style="73"/>
    <col min="1038" max="1038" width="17.28515625" style="73" bestFit="1" customWidth="1"/>
    <col min="1039" max="1280" width="10.42578125" style="73"/>
    <col min="1281" max="1281" width="14" style="73" customWidth="1"/>
    <col min="1282" max="1284" width="21.42578125" style="73" customWidth="1"/>
    <col min="1285" max="1285" width="24.7109375" style="73" customWidth="1"/>
    <col min="1286" max="1286" width="10" style="73" customWidth="1"/>
    <col min="1287" max="1287" width="14.7109375" style="73" customWidth="1"/>
    <col min="1288" max="1288" width="2.5703125" style="73" customWidth="1"/>
    <col min="1289" max="1289" width="4.5703125" style="73" customWidth="1"/>
    <col min="1290" max="1290" width="24.28515625" style="73" customWidth="1"/>
    <col min="1291" max="1291" width="21.28515625" style="73" customWidth="1"/>
    <col min="1292" max="1292" width="13.28515625" style="73" bestFit="1" customWidth="1"/>
    <col min="1293" max="1293" width="10.42578125" style="73"/>
    <col min="1294" max="1294" width="17.28515625" style="73" bestFit="1" customWidth="1"/>
    <col min="1295" max="1536" width="10.42578125" style="73"/>
    <col min="1537" max="1537" width="14" style="73" customWidth="1"/>
    <col min="1538" max="1540" width="21.42578125" style="73" customWidth="1"/>
    <col min="1541" max="1541" width="24.7109375" style="73" customWidth="1"/>
    <col min="1542" max="1542" width="10" style="73" customWidth="1"/>
    <col min="1543" max="1543" width="14.7109375" style="73" customWidth="1"/>
    <col min="1544" max="1544" width="2.5703125" style="73" customWidth="1"/>
    <col min="1545" max="1545" width="4.5703125" style="73" customWidth="1"/>
    <col min="1546" max="1546" width="24.28515625" style="73" customWidth="1"/>
    <col min="1547" max="1547" width="21.28515625" style="73" customWidth="1"/>
    <col min="1548" max="1548" width="13.28515625" style="73" bestFit="1" customWidth="1"/>
    <col min="1549" max="1549" width="10.42578125" style="73"/>
    <col min="1550" max="1550" width="17.28515625" style="73" bestFit="1" customWidth="1"/>
    <col min="1551" max="1792" width="10.42578125" style="73"/>
    <col min="1793" max="1793" width="14" style="73" customWidth="1"/>
    <col min="1794" max="1796" width="21.42578125" style="73" customWidth="1"/>
    <col min="1797" max="1797" width="24.7109375" style="73" customWidth="1"/>
    <col min="1798" max="1798" width="10" style="73" customWidth="1"/>
    <col min="1799" max="1799" width="14.7109375" style="73" customWidth="1"/>
    <col min="1800" max="1800" width="2.5703125" style="73" customWidth="1"/>
    <col min="1801" max="1801" width="4.5703125" style="73" customWidth="1"/>
    <col min="1802" max="1802" width="24.28515625" style="73" customWidth="1"/>
    <col min="1803" max="1803" width="21.28515625" style="73" customWidth="1"/>
    <col min="1804" max="1804" width="13.28515625" style="73" bestFit="1" customWidth="1"/>
    <col min="1805" max="1805" width="10.42578125" style="73"/>
    <col min="1806" max="1806" width="17.28515625" style="73" bestFit="1" customWidth="1"/>
    <col min="1807" max="2048" width="10.42578125" style="73"/>
    <col min="2049" max="2049" width="14" style="73" customWidth="1"/>
    <col min="2050" max="2052" width="21.42578125" style="73" customWidth="1"/>
    <col min="2053" max="2053" width="24.7109375" style="73" customWidth="1"/>
    <col min="2054" max="2054" width="10" style="73" customWidth="1"/>
    <col min="2055" max="2055" width="14.7109375" style="73" customWidth="1"/>
    <col min="2056" max="2056" width="2.5703125" style="73" customWidth="1"/>
    <col min="2057" max="2057" width="4.5703125" style="73" customWidth="1"/>
    <col min="2058" max="2058" width="24.28515625" style="73" customWidth="1"/>
    <col min="2059" max="2059" width="21.28515625" style="73" customWidth="1"/>
    <col min="2060" max="2060" width="13.28515625" style="73" bestFit="1" customWidth="1"/>
    <col min="2061" max="2061" width="10.42578125" style="73"/>
    <col min="2062" max="2062" width="17.28515625" style="73" bestFit="1" customWidth="1"/>
    <col min="2063" max="2304" width="10.42578125" style="73"/>
    <col min="2305" max="2305" width="14" style="73" customWidth="1"/>
    <col min="2306" max="2308" width="21.42578125" style="73" customWidth="1"/>
    <col min="2309" max="2309" width="24.7109375" style="73" customWidth="1"/>
    <col min="2310" max="2310" width="10" style="73" customWidth="1"/>
    <col min="2311" max="2311" width="14.7109375" style="73" customWidth="1"/>
    <col min="2312" max="2312" width="2.5703125" style="73" customWidth="1"/>
    <col min="2313" max="2313" width="4.5703125" style="73" customWidth="1"/>
    <col min="2314" max="2314" width="24.28515625" style="73" customWidth="1"/>
    <col min="2315" max="2315" width="21.28515625" style="73" customWidth="1"/>
    <col min="2316" max="2316" width="13.28515625" style="73" bestFit="1" customWidth="1"/>
    <col min="2317" max="2317" width="10.42578125" style="73"/>
    <col min="2318" max="2318" width="17.28515625" style="73" bestFit="1" customWidth="1"/>
    <col min="2319" max="2560" width="10.42578125" style="73"/>
    <col min="2561" max="2561" width="14" style="73" customWidth="1"/>
    <col min="2562" max="2564" width="21.42578125" style="73" customWidth="1"/>
    <col min="2565" max="2565" width="24.7109375" style="73" customWidth="1"/>
    <col min="2566" max="2566" width="10" style="73" customWidth="1"/>
    <col min="2567" max="2567" width="14.7109375" style="73" customWidth="1"/>
    <col min="2568" max="2568" width="2.5703125" style="73" customWidth="1"/>
    <col min="2569" max="2569" width="4.5703125" style="73" customWidth="1"/>
    <col min="2570" max="2570" width="24.28515625" style="73" customWidth="1"/>
    <col min="2571" max="2571" width="21.28515625" style="73" customWidth="1"/>
    <col min="2572" max="2572" width="13.28515625" style="73" bestFit="1" customWidth="1"/>
    <col min="2573" max="2573" width="10.42578125" style="73"/>
    <col min="2574" max="2574" width="17.28515625" style="73" bestFit="1" customWidth="1"/>
    <col min="2575" max="2816" width="10.42578125" style="73"/>
    <col min="2817" max="2817" width="14" style="73" customWidth="1"/>
    <col min="2818" max="2820" width="21.42578125" style="73" customWidth="1"/>
    <col min="2821" max="2821" width="24.7109375" style="73" customWidth="1"/>
    <col min="2822" max="2822" width="10" style="73" customWidth="1"/>
    <col min="2823" max="2823" width="14.7109375" style="73" customWidth="1"/>
    <col min="2824" max="2824" width="2.5703125" style="73" customWidth="1"/>
    <col min="2825" max="2825" width="4.5703125" style="73" customWidth="1"/>
    <col min="2826" max="2826" width="24.28515625" style="73" customWidth="1"/>
    <col min="2827" max="2827" width="21.28515625" style="73" customWidth="1"/>
    <col min="2828" max="2828" width="13.28515625" style="73" bestFit="1" customWidth="1"/>
    <col min="2829" max="2829" width="10.42578125" style="73"/>
    <col min="2830" max="2830" width="17.28515625" style="73" bestFit="1" customWidth="1"/>
    <col min="2831" max="3072" width="10.42578125" style="73"/>
    <col min="3073" max="3073" width="14" style="73" customWidth="1"/>
    <col min="3074" max="3076" width="21.42578125" style="73" customWidth="1"/>
    <col min="3077" max="3077" width="24.7109375" style="73" customWidth="1"/>
    <col min="3078" max="3078" width="10" style="73" customWidth="1"/>
    <col min="3079" max="3079" width="14.7109375" style="73" customWidth="1"/>
    <col min="3080" max="3080" width="2.5703125" style="73" customWidth="1"/>
    <col min="3081" max="3081" width="4.5703125" style="73" customWidth="1"/>
    <col min="3082" max="3082" width="24.28515625" style="73" customWidth="1"/>
    <col min="3083" max="3083" width="21.28515625" style="73" customWidth="1"/>
    <col min="3084" max="3084" width="13.28515625" style="73" bestFit="1" customWidth="1"/>
    <col min="3085" max="3085" width="10.42578125" style="73"/>
    <col min="3086" max="3086" width="17.28515625" style="73" bestFit="1" customWidth="1"/>
    <col min="3087" max="3328" width="10.42578125" style="73"/>
    <col min="3329" max="3329" width="14" style="73" customWidth="1"/>
    <col min="3330" max="3332" width="21.42578125" style="73" customWidth="1"/>
    <col min="3333" max="3333" width="24.7109375" style="73" customWidth="1"/>
    <col min="3334" max="3334" width="10" style="73" customWidth="1"/>
    <col min="3335" max="3335" width="14.7109375" style="73" customWidth="1"/>
    <col min="3336" max="3336" width="2.5703125" style="73" customWidth="1"/>
    <col min="3337" max="3337" width="4.5703125" style="73" customWidth="1"/>
    <col min="3338" max="3338" width="24.28515625" style="73" customWidth="1"/>
    <col min="3339" max="3339" width="21.28515625" style="73" customWidth="1"/>
    <col min="3340" max="3340" width="13.28515625" style="73" bestFit="1" customWidth="1"/>
    <col min="3341" max="3341" width="10.42578125" style="73"/>
    <col min="3342" max="3342" width="17.28515625" style="73" bestFit="1" customWidth="1"/>
    <col min="3343" max="3584" width="10.42578125" style="73"/>
    <col min="3585" max="3585" width="14" style="73" customWidth="1"/>
    <col min="3586" max="3588" width="21.42578125" style="73" customWidth="1"/>
    <col min="3589" max="3589" width="24.7109375" style="73" customWidth="1"/>
    <col min="3590" max="3590" width="10" style="73" customWidth="1"/>
    <col min="3591" max="3591" width="14.7109375" style="73" customWidth="1"/>
    <col min="3592" max="3592" width="2.5703125" style="73" customWidth="1"/>
    <col min="3593" max="3593" width="4.5703125" style="73" customWidth="1"/>
    <col min="3594" max="3594" width="24.28515625" style="73" customWidth="1"/>
    <col min="3595" max="3595" width="21.28515625" style="73" customWidth="1"/>
    <col min="3596" max="3596" width="13.28515625" style="73" bestFit="1" customWidth="1"/>
    <col min="3597" max="3597" width="10.42578125" style="73"/>
    <col min="3598" max="3598" width="17.28515625" style="73" bestFit="1" customWidth="1"/>
    <col min="3599" max="3840" width="10.42578125" style="73"/>
    <col min="3841" max="3841" width="14" style="73" customWidth="1"/>
    <col min="3842" max="3844" width="21.42578125" style="73" customWidth="1"/>
    <col min="3845" max="3845" width="24.7109375" style="73" customWidth="1"/>
    <col min="3846" max="3846" width="10" style="73" customWidth="1"/>
    <col min="3847" max="3847" width="14.7109375" style="73" customWidth="1"/>
    <col min="3848" max="3848" width="2.5703125" style="73" customWidth="1"/>
    <col min="3849" max="3849" width="4.5703125" style="73" customWidth="1"/>
    <col min="3850" max="3850" width="24.28515625" style="73" customWidth="1"/>
    <col min="3851" max="3851" width="21.28515625" style="73" customWidth="1"/>
    <col min="3852" max="3852" width="13.28515625" style="73" bestFit="1" customWidth="1"/>
    <col min="3853" max="3853" width="10.42578125" style="73"/>
    <col min="3854" max="3854" width="17.28515625" style="73" bestFit="1" customWidth="1"/>
    <col min="3855" max="4096" width="10.42578125" style="73"/>
    <col min="4097" max="4097" width="14" style="73" customWidth="1"/>
    <col min="4098" max="4100" width="21.42578125" style="73" customWidth="1"/>
    <col min="4101" max="4101" width="24.7109375" style="73" customWidth="1"/>
    <col min="4102" max="4102" width="10" style="73" customWidth="1"/>
    <col min="4103" max="4103" width="14.7109375" style="73" customWidth="1"/>
    <col min="4104" max="4104" width="2.5703125" style="73" customWidth="1"/>
    <col min="4105" max="4105" width="4.5703125" style="73" customWidth="1"/>
    <col min="4106" max="4106" width="24.28515625" style="73" customWidth="1"/>
    <col min="4107" max="4107" width="21.28515625" style="73" customWidth="1"/>
    <col min="4108" max="4108" width="13.28515625" style="73" bestFit="1" customWidth="1"/>
    <col min="4109" max="4109" width="10.42578125" style="73"/>
    <col min="4110" max="4110" width="17.28515625" style="73" bestFit="1" customWidth="1"/>
    <col min="4111" max="4352" width="10.42578125" style="73"/>
    <col min="4353" max="4353" width="14" style="73" customWidth="1"/>
    <col min="4354" max="4356" width="21.42578125" style="73" customWidth="1"/>
    <col min="4357" max="4357" width="24.7109375" style="73" customWidth="1"/>
    <col min="4358" max="4358" width="10" style="73" customWidth="1"/>
    <col min="4359" max="4359" width="14.7109375" style="73" customWidth="1"/>
    <col min="4360" max="4360" width="2.5703125" style="73" customWidth="1"/>
    <col min="4361" max="4361" width="4.5703125" style="73" customWidth="1"/>
    <col min="4362" max="4362" width="24.28515625" style="73" customWidth="1"/>
    <col min="4363" max="4363" width="21.28515625" style="73" customWidth="1"/>
    <col min="4364" max="4364" width="13.28515625" style="73" bestFit="1" customWidth="1"/>
    <col min="4365" max="4365" width="10.42578125" style="73"/>
    <col min="4366" max="4366" width="17.28515625" style="73" bestFit="1" customWidth="1"/>
    <col min="4367" max="4608" width="10.42578125" style="73"/>
    <col min="4609" max="4609" width="14" style="73" customWidth="1"/>
    <col min="4610" max="4612" width="21.42578125" style="73" customWidth="1"/>
    <col min="4613" max="4613" width="24.7109375" style="73" customWidth="1"/>
    <col min="4614" max="4614" width="10" style="73" customWidth="1"/>
    <col min="4615" max="4615" width="14.7109375" style="73" customWidth="1"/>
    <col min="4616" max="4616" width="2.5703125" style="73" customWidth="1"/>
    <col min="4617" max="4617" width="4.5703125" style="73" customWidth="1"/>
    <col min="4618" max="4618" width="24.28515625" style="73" customWidth="1"/>
    <col min="4619" max="4619" width="21.28515625" style="73" customWidth="1"/>
    <col min="4620" max="4620" width="13.28515625" style="73" bestFit="1" customWidth="1"/>
    <col min="4621" max="4621" width="10.42578125" style="73"/>
    <col min="4622" max="4622" width="17.28515625" style="73" bestFit="1" customWidth="1"/>
    <col min="4623" max="4864" width="10.42578125" style="73"/>
    <col min="4865" max="4865" width="14" style="73" customWidth="1"/>
    <col min="4866" max="4868" width="21.42578125" style="73" customWidth="1"/>
    <col min="4869" max="4869" width="24.7109375" style="73" customWidth="1"/>
    <col min="4870" max="4870" width="10" style="73" customWidth="1"/>
    <col min="4871" max="4871" width="14.7109375" style="73" customWidth="1"/>
    <col min="4872" max="4872" width="2.5703125" style="73" customWidth="1"/>
    <col min="4873" max="4873" width="4.5703125" style="73" customWidth="1"/>
    <col min="4874" max="4874" width="24.28515625" style="73" customWidth="1"/>
    <col min="4875" max="4875" width="21.28515625" style="73" customWidth="1"/>
    <col min="4876" max="4876" width="13.28515625" style="73" bestFit="1" customWidth="1"/>
    <col min="4877" max="4877" width="10.42578125" style="73"/>
    <col min="4878" max="4878" width="17.28515625" style="73" bestFit="1" customWidth="1"/>
    <col min="4879" max="5120" width="10.42578125" style="73"/>
    <col min="5121" max="5121" width="14" style="73" customWidth="1"/>
    <col min="5122" max="5124" width="21.42578125" style="73" customWidth="1"/>
    <col min="5125" max="5125" width="24.7109375" style="73" customWidth="1"/>
    <col min="5126" max="5126" width="10" style="73" customWidth="1"/>
    <col min="5127" max="5127" width="14.7109375" style="73" customWidth="1"/>
    <col min="5128" max="5128" width="2.5703125" style="73" customWidth="1"/>
    <col min="5129" max="5129" width="4.5703125" style="73" customWidth="1"/>
    <col min="5130" max="5130" width="24.28515625" style="73" customWidth="1"/>
    <col min="5131" max="5131" width="21.28515625" style="73" customWidth="1"/>
    <col min="5132" max="5132" width="13.28515625" style="73" bestFit="1" customWidth="1"/>
    <col min="5133" max="5133" width="10.42578125" style="73"/>
    <col min="5134" max="5134" width="17.28515625" style="73" bestFit="1" customWidth="1"/>
    <col min="5135" max="5376" width="10.42578125" style="73"/>
    <col min="5377" max="5377" width="14" style="73" customWidth="1"/>
    <col min="5378" max="5380" width="21.42578125" style="73" customWidth="1"/>
    <col min="5381" max="5381" width="24.7109375" style="73" customWidth="1"/>
    <col min="5382" max="5382" width="10" style="73" customWidth="1"/>
    <col min="5383" max="5383" width="14.7109375" style="73" customWidth="1"/>
    <col min="5384" max="5384" width="2.5703125" style="73" customWidth="1"/>
    <col min="5385" max="5385" width="4.5703125" style="73" customWidth="1"/>
    <col min="5386" max="5386" width="24.28515625" style="73" customWidth="1"/>
    <col min="5387" max="5387" width="21.28515625" style="73" customWidth="1"/>
    <col min="5388" max="5388" width="13.28515625" style="73" bestFit="1" customWidth="1"/>
    <col min="5389" max="5389" width="10.42578125" style="73"/>
    <col min="5390" max="5390" width="17.28515625" style="73" bestFit="1" customWidth="1"/>
    <col min="5391" max="5632" width="10.42578125" style="73"/>
    <col min="5633" max="5633" width="14" style="73" customWidth="1"/>
    <col min="5634" max="5636" width="21.42578125" style="73" customWidth="1"/>
    <col min="5637" max="5637" width="24.7109375" style="73" customWidth="1"/>
    <col min="5638" max="5638" width="10" style="73" customWidth="1"/>
    <col min="5639" max="5639" width="14.7109375" style="73" customWidth="1"/>
    <col min="5640" max="5640" width="2.5703125" style="73" customWidth="1"/>
    <col min="5641" max="5641" width="4.5703125" style="73" customWidth="1"/>
    <col min="5642" max="5642" width="24.28515625" style="73" customWidth="1"/>
    <col min="5643" max="5643" width="21.28515625" style="73" customWidth="1"/>
    <col min="5644" max="5644" width="13.28515625" style="73" bestFit="1" customWidth="1"/>
    <col min="5645" max="5645" width="10.42578125" style="73"/>
    <col min="5646" max="5646" width="17.28515625" style="73" bestFit="1" customWidth="1"/>
    <col min="5647" max="5888" width="10.42578125" style="73"/>
    <col min="5889" max="5889" width="14" style="73" customWidth="1"/>
    <col min="5890" max="5892" width="21.42578125" style="73" customWidth="1"/>
    <col min="5893" max="5893" width="24.7109375" style="73" customWidth="1"/>
    <col min="5894" max="5894" width="10" style="73" customWidth="1"/>
    <col min="5895" max="5895" width="14.7109375" style="73" customWidth="1"/>
    <col min="5896" max="5896" width="2.5703125" style="73" customWidth="1"/>
    <col min="5897" max="5897" width="4.5703125" style="73" customWidth="1"/>
    <col min="5898" max="5898" width="24.28515625" style="73" customWidth="1"/>
    <col min="5899" max="5899" width="21.28515625" style="73" customWidth="1"/>
    <col min="5900" max="5900" width="13.28515625" style="73" bestFit="1" customWidth="1"/>
    <col min="5901" max="5901" width="10.42578125" style="73"/>
    <col min="5902" max="5902" width="17.28515625" style="73" bestFit="1" customWidth="1"/>
    <col min="5903" max="6144" width="10.42578125" style="73"/>
    <col min="6145" max="6145" width="14" style="73" customWidth="1"/>
    <col min="6146" max="6148" width="21.42578125" style="73" customWidth="1"/>
    <col min="6149" max="6149" width="24.7109375" style="73" customWidth="1"/>
    <col min="6150" max="6150" width="10" style="73" customWidth="1"/>
    <col min="6151" max="6151" width="14.7109375" style="73" customWidth="1"/>
    <col min="6152" max="6152" width="2.5703125" style="73" customWidth="1"/>
    <col min="6153" max="6153" width="4.5703125" style="73" customWidth="1"/>
    <col min="6154" max="6154" width="24.28515625" style="73" customWidth="1"/>
    <col min="6155" max="6155" width="21.28515625" style="73" customWidth="1"/>
    <col min="6156" max="6156" width="13.28515625" style="73" bestFit="1" customWidth="1"/>
    <col min="6157" max="6157" width="10.42578125" style="73"/>
    <col min="6158" max="6158" width="17.28515625" style="73" bestFit="1" customWidth="1"/>
    <col min="6159" max="6400" width="10.42578125" style="73"/>
    <col min="6401" max="6401" width="14" style="73" customWidth="1"/>
    <col min="6402" max="6404" width="21.42578125" style="73" customWidth="1"/>
    <col min="6405" max="6405" width="24.7109375" style="73" customWidth="1"/>
    <col min="6406" max="6406" width="10" style="73" customWidth="1"/>
    <col min="6407" max="6407" width="14.7109375" style="73" customWidth="1"/>
    <col min="6408" max="6408" width="2.5703125" style="73" customWidth="1"/>
    <col min="6409" max="6409" width="4.5703125" style="73" customWidth="1"/>
    <col min="6410" max="6410" width="24.28515625" style="73" customWidth="1"/>
    <col min="6411" max="6411" width="21.28515625" style="73" customWidth="1"/>
    <col min="6412" max="6412" width="13.28515625" style="73" bestFit="1" customWidth="1"/>
    <col min="6413" max="6413" width="10.42578125" style="73"/>
    <col min="6414" max="6414" width="17.28515625" style="73" bestFit="1" customWidth="1"/>
    <col min="6415" max="6656" width="10.42578125" style="73"/>
    <col min="6657" max="6657" width="14" style="73" customWidth="1"/>
    <col min="6658" max="6660" width="21.42578125" style="73" customWidth="1"/>
    <col min="6661" max="6661" width="24.7109375" style="73" customWidth="1"/>
    <col min="6662" max="6662" width="10" style="73" customWidth="1"/>
    <col min="6663" max="6663" width="14.7109375" style="73" customWidth="1"/>
    <col min="6664" max="6664" width="2.5703125" style="73" customWidth="1"/>
    <col min="6665" max="6665" width="4.5703125" style="73" customWidth="1"/>
    <col min="6666" max="6666" width="24.28515625" style="73" customWidth="1"/>
    <col min="6667" max="6667" width="21.28515625" style="73" customWidth="1"/>
    <col min="6668" max="6668" width="13.28515625" style="73" bestFit="1" customWidth="1"/>
    <col min="6669" max="6669" width="10.42578125" style="73"/>
    <col min="6670" max="6670" width="17.28515625" style="73" bestFit="1" customWidth="1"/>
    <col min="6671" max="6912" width="10.42578125" style="73"/>
    <col min="6913" max="6913" width="14" style="73" customWidth="1"/>
    <col min="6914" max="6916" width="21.42578125" style="73" customWidth="1"/>
    <col min="6917" max="6917" width="24.7109375" style="73" customWidth="1"/>
    <col min="6918" max="6918" width="10" style="73" customWidth="1"/>
    <col min="6919" max="6919" width="14.7109375" style="73" customWidth="1"/>
    <col min="6920" max="6920" width="2.5703125" style="73" customWidth="1"/>
    <col min="6921" max="6921" width="4.5703125" style="73" customWidth="1"/>
    <col min="6922" max="6922" width="24.28515625" style="73" customWidth="1"/>
    <col min="6923" max="6923" width="21.28515625" style="73" customWidth="1"/>
    <col min="6924" max="6924" width="13.28515625" style="73" bestFit="1" customWidth="1"/>
    <col min="6925" max="6925" width="10.42578125" style="73"/>
    <col min="6926" max="6926" width="17.28515625" style="73" bestFit="1" customWidth="1"/>
    <col min="6927" max="7168" width="10.42578125" style="73"/>
    <col min="7169" max="7169" width="14" style="73" customWidth="1"/>
    <col min="7170" max="7172" width="21.42578125" style="73" customWidth="1"/>
    <col min="7173" max="7173" width="24.7109375" style="73" customWidth="1"/>
    <col min="7174" max="7174" width="10" style="73" customWidth="1"/>
    <col min="7175" max="7175" width="14.7109375" style="73" customWidth="1"/>
    <col min="7176" max="7176" width="2.5703125" style="73" customWidth="1"/>
    <col min="7177" max="7177" width="4.5703125" style="73" customWidth="1"/>
    <col min="7178" max="7178" width="24.28515625" style="73" customWidth="1"/>
    <col min="7179" max="7179" width="21.28515625" style="73" customWidth="1"/>
    <col min="7180" max="7180" width="13.28515625" style="73" bestFit="1" customWidth="1"/>
    <col min="7181" max="7181" width="10.42578125" style="73"/>
    <col min="7182" max="7182" width="17.28515625" style="73" bestFit="1" customWidth="1"/>
    <col min="7183" max="7424" width="10.42578125" style="73"/>
    <col min="7425" max="7425" width="14" style="73" customWidth="1"/>
    <col min="7426" max="7428" width="21.42578125" style="73" customWidth="1"/>
    <col min="7429" max="7429" width="24.7109375" style="73" customWidth="1"/>
    <col min="7430" max="7430" width="10" style="73" customWidth="1"/>
    <col min="7431" max="7431" width="14.7109375" style="73" customWidth="1"/>
    <col min="7432" max="7432" width="2.5703125" style="73" customWidth="1"/>
    <col min="7433" max="7433" width="4.5703125" style="73" customWidth="1"/>
    <col min="7434" max="7434" width="24.28515625" style="73" customWidth="1"/>
    <col min="7435" max="7435" width="21.28515625" style="73" customWidth="1"/>
    <col min="7436" max="7436" width="13.28515625" style="73" bestFit="1" customWidth="1"/>
    <col min="7437" max="7437" width="10.42578125" style="73"/>
    <col min="7438" max="7438" width="17.28515625" style="73" bestFit="1" customWidth="1"/>
    <col min="7439" max="7680" width="10.42578125" style="73"/>
    <col min="7681" max="7681" width="14" style="73" customWidth="1"/>
    <col min="7682" max="7684" width="21.42578125" style="73" customWidth="1"/>
    <col min="7685" max="7685" width="24.7109375" style="73" customWidth="1"/>
    <col min="7686" max="7686" width="10" style="73" customWidth="1"/>
    <col min="7687" max="7687" width="14.7109375" style="73" customWidth="1"/>
    <col min="7688" max="7688" width="2.5703125" style="73" customWidth="1"/>
    <col min="7689" max="7689" width="4.5703125" style="73" customWidth="1"/>
    <col min="7690" max="7690" width="24.28515625" style="73" customWidth="1"/>
    <col min="7691" max="7691" width="21.28515625" style="73" customWidth="1"/>
    <col min="7692" max="7692" width="13.28515625" style="73" bestFit="1" customWidth="1"/>
    <col min="7693" max="7693" width="10.42578125" style="73"/>
    <col min="7694" max="7694" width="17.28515625" style="73" bestFit="1" customWidth="1"/>
    <col min="7695" max="7936" width="10.42578125" style="73"/>
    <col min="7937" max="7937" width="14" style="73" customWidth="1"/>
    <col min="7938" max="7940" width="21.42578125" style="73" customWidth="1"/>
    <col min="7941" max="7941" width="24.7109375" style="73" customWidth="1"/>
    <col min="7942" max="7942" width="10" style="73" customWidth="1"/>
    <col min="7943" max="7943" width="14.7109375" style="73" customWidth="1"/>
    <col min="7944" max="7944" width="2.5703125" style="73" customWidth="1"/>
    <col min="7945" max="7945" width="4.5703125" style="73" customWidth="1"/>
    <col min="7946" max="7946" width="24.28515625" style="73" customWidth="1"/>
    <col min="7947" max="7947" width="21.28515625" style="73" customWidth="1"/>
    <col min="7948" max="7948" width="13.28515625" style="73" bestFit="1" customWidth="1"/>
    <col min="7949" max="7949" width="10.42578125" style="73"/>
    <col min="7950" max="7950" width="17.28515625" style="73" bestFit="1" customWidth="1"/>
    <col min="7951" max="8192" width="10.42578125" style="73"/>
    <col min="8193" max="8193" width="14" style="73" customWidth="1"/>
    <col min="8194" max="8196" width="21.42578125" style="73" customWidth="1"/>
    <col min="8197" max="8197" width="24.7109375" style="73" customWidth="1"/>
    <col min="8198" max="8198" width="10" style="73" customWidth="1"/>
    <col min="8199" max="8199" width="14.7109375" style="73" customWidth="1"/>
    <col min="8200" max="8200" width="2.5703125" style="73" customWidth="1"/>
    <col min="8201" max="8201" width="4.5703125" style="73" customWidth="1"/>
    <col min="8202" max="8202" width="24.28515625" style="73" customWidth="1"/>
    <col min="8203" max="8203" width="21.28515625" style="73" customWidth="1"/>
    <col min="8204" max="8204" width="13.28515625" style="73" bestFit="1" customWidth="1"/>
    <col min="8205" max="8205" width="10.42578125" style="73"/>
    <col min="8206" max="8206" width="17.28515625" style="73" bestFit="1" customWidth="1"/>
    <col min="8207" max="8448" width="10.42578125" style="73"/>
    <col min="8449" max="8449" width="14" style="73" customWidth="1"/>
    <col min="8450" max="8452" width="21.42578125" style="73" customWidth="1"/>
    <col min="8453" max="8453" width="24.7109375" style="73" customWidth="1"/>
    <col min="8454" max="8454" width="10" style="73" customWidth="1"/>
    <col min="8455" max="8455" width="14.7109375" style="73" customWidth="1"/>
    <col min="8456" max="8456" width="2.5703125" style="73" customWidth="1"/>
    <col min="8457" max="8457" width="4.5703125" style="73" customWidth="1"/>
    <col min="8458" max="8458" width="24.28515625" style="73" customWidth="1"/>
    <col min="8459" max="8459" width="21.28515625" style="73" customWidth="1"/>
    <col min="8460" max="8460" width="13.28515625" style="73" bestFit="1" customWidth="1"/>
    <col min="8461" max="8461" width="10.42578125" style="73"/>
    <col min="8462" max="8462" width="17.28515625" style="73" bestFit="1" customWidth="1"/>
    <col min="8463" max="8704" width="10.42578125" style="73"/>
    <col min="8705" max="8705" width="14" style="73" customWidth="1"/>
    <col min="8706" max="8708" width="21.42578125" style="73" customWidth="1"/>
    <col min="8709" max="8709" width="24.7109375" style="73" customWidth="1"/>
    <col min="8710" max="8710" width="10" style="73" customWidth="1"/>
    <col min="8711" max="8711" width="14.7109375" style="73" customWidth="1"/>
    <col min="8712" max="8712" width="2.5703125" style="73" customWidth="1"/>
    <col min="8713" max="8713" width="4.5703125" style="73" customWidth="1"/>
    <col min="8714" max="8714" width="24.28515625" style="73" customWidth="1"/>
    <col min="8715" max="8715" width="21.28515625" style="73" customWidth="1"/>
    <col min="8716" max="8716" width="13.28515625" style="73" bestFit="1" customWidth="1"/>
    <col min="8717" max="8717" width="10.42578125" style="73"/>
    <col min="8718" max="8718" width="17.28515625" style="73" bestFit="1" customWidth="1"/>
    <col min="8719" max="8960" width="10.42578125" style="73"/>
    <col min="8961" max="8961" width="14" style="73" customWidth="1"/>
    <col min="8962" max="8964" width="21.42578125" style="73" customWidth="1"/>
    <col min="8965" max="8965" width="24.7109375" style="73" customWidth="1"/>
    <col min="8966" max="8966" width="10" style="73" customWidth="1"/>
    <col min="8967" max="8967" width="14.7109375" style="73" customWidth="1"/>
    <col min="8968" max="8968" width="2.5703125" style="73" customWidth="1"/>
    <col min="8969" max="8969" width="4.5703125" style="73" customWidth="1"/>
    <col min="8970" max="8970" width="24.28515625" style="73" customWidth="1"/>
    <col min="8971" max="8971" width="21.28515625" style="73" customWidth="1"/>
    <col min="8972" max="8972" width="13.28515625" style="73" bestFit="1" customWidth="1"/>
    <col min="8973" max="8973" width="10.42578125" style="73"/>
    <col min="8974" max="8974" width="17.28515625" style="73" bestFit="1" customWidth="1"/>
    <col min="8975" max="9216" width="10.42578125" style="73"/>
    <col min="9217" max="9217" width="14" style="73" customWidth="1"/>
    <col min="9218" max="9220" width="21.42578125" style="73" customWidth="1"/>
    <col min="9221" max="9221" width="24.7109375" style="73" customWidth="1"/>
    <col min="9222" max="9222" width="10" style="73" customWidth="1"/>
    <col min="9223" max="9223" width="14.7109375" style="73" customWidth="1"/>
    <col min="9224" max="9224" width="2.5703125" style="73" customWidth="1"/>
    <col min="9225" max="9225" width="4.5703125" style="73" customWidth="1"/>
    <col min="9226" max="9226" width="24.28515625" style="73" customWidth="1"/>
    <col min="9227" max="9227" width="21.28515625" style="73" customWidth="1"/>
    <col min="9228" max="9228" width="13.28515625" style="73" bestFit="1" customWidth="1"/>
    <col min="9229" max="9229" width="10.42578125" style="73"/>
    <col min="9230" max="9230" width="17.28515625" style="73" bestFit="1" customWidth="1"/>
    <col min="9231" max="9472" width="10.42578125" style="73"/>
    <col min="9473" max="9473" width="14" style="73" customWidth="1"/>
    <col min="9474" max="9476" width="21.42578125" style="73" customWidth="1"/>
    <col min="9477" max="9477" width="24.7109375" style="73" customWidth="1"/>
    <col min="9478" max="9478" width="10" style="73" customWidth="1"/>
    <col min="9479" max="9479" width="14.7109375" style="73" customWidth="1"/>
    <col min="9480" max="9480" width="2.5703125" style="73" customWidth="1"/>
    <col min="9481" max="9481" width="4.5703125" style="73" customWidth="1"/>
    <col min="9482" max="9482" width="24.28515625" style="73" customWidth="1"/>
    <col min="9483" max="9483" width="21.28515625" style="73" customWidth="1"/>
    <col min="9484" max="9484" width="13.28515625" style="73" bestFit="1" customWidth="1"/>
    <col min="9485" max="9485" width="10.42578125" style="73"/>
    <col min="9486" max="9486" width="17.28515625" style="73" bestFit="1" customWidth="1"/>
    <col min="9487" max="9728" width="10.42578125" style="73"/>
    <col min="9729" max="9729" width="14" style="73" customWidth="1"/>
    <col min="9730" max="9732" width="21.42578125" style="73" customWidth="1"/>
    <col min="9733" max="9733" width="24.7109375" style="73" customWidth="1"/>
    <col min="9734" max="9734" width="10" style="73" customWidth="1"/>
    <col min="9735" max="9735" width="14.7109375" style="73" customWidth="1"/>
    <col min="9736" max="9736" width="2.5703125" style="73" customWidth="1"/>
    <col min="9737" max="9737" width="4.5703125" style="73" customWidth="1"/>
    <col min="9738" max="9738" width="24.28515625" style="73" customWidth="1"/>
    <col min="9739" max="9739" width="21.28515625" style="73" customWidth="1"/>
    <col min="9740" max="9740" width="13.28515625" style="73" bestFit="1" customWidth="1"/>
    <col min="9741" max="9741" width="10.42578125" style="73"/>
    <col min="9742" max="9742" width="17.28515625" style="73" bestFit="1" customWidth="1"/>
    <col min="9743" max="9984" width="10.42578125" style="73"/>
    <col min="9985" max="9985" width="14" style="73" customWidth="1"/>
    <col min="9986" max="9988" width="21.42578125" style="73" customWidth="1"/>
    <col min="9989" max="9989" width="24.7109375" style="73" customWidth="1"/>
    <col min="9990" max="9990" width="10" style="73" customWidth="1"/>
    <col min="9991" max="9991" width="14.7109375" style="73" customWidth="1"/>
    <col min="9992" max="9992" width="2.5703125" style="73" customWidth="1"/>
    <col min="9993" max="9993" width="4.5703125" style="73" customWidth="1"/>
    <col min="9994" max="9994" width="24.28515625" style="73" customWidth="1"/>
    <col min="9995" max="9995" width="21.28515625" style="73" customWidth="1"/>
    <col min="9996" max="9996" width="13.28515625" style="73" bestFit="1" customWidth="1"/>
    <col min="9997" max="9997" width="10.42578125" style="73"/>
    <col min="9998" max="9998" width="17.28515625" style="73" bestFit="1" customWidth="1"/>
    <col min="9999" max="10240" width="10.42578125" style="73"/>
    <col min="10241" max="10241" width="14" style="73" customWidth="1"/>
    <col min="10242" max="10244" width="21.42578125" style="73" customWidth="1"/>
    <col min="10245" max="10245" width="24.7109375" style="73" customWidth="1"/>
    <col min="10246" max="10246" width="10" style="73" customWidth="1"/>
    <col min="10247" max="10247" width="14.7109375" style="73" customWidth="1"/>
    <col min="10248" max="10248" width="2.5703125" style="73" customWidth="1"/>
    <col min="10249" max="10249" width="4.5703125" style="73" customWidth="1"/>
    <col min="10250" max="10250" width="24.28515625" style="73" customWidth="1"/>
    <col min="10251" max="10251" width="21.28515625" style="73" customWidth="1"/>
    <col min="10252" max="10252" width="13.28515625" style="73" bestFit="1" customWidth="1"/>
    <col min="10253" max="10253" width="10.42578125" style="73"/>
    <col min="10254" max="10254" width="17.28515625" style="73" bestFit="1" customWidth="1"/>
    <col min="10255" max="10496" width="10.42578125" style="73"/>
    <col min="10497" max="10497" width="14" style="73" customWidth="1"/>
    <col min="10498" max="10500" width="21.42578125" style="73" customWidth="1"/>
    <col min="10501" max="10501" width="24.7109375" style="73" customWidth="1"/>
    <col min="10502" max="10502" width="10" style="73" customWidth="1"/>
    <col min="10503" max="10503" width="14.7109375" style="73" customWidth="1"/>
    <col min="10504" max="10504" width="2.5703125" style="73" customWidth="1"/>
    <col min="10505" max="10505" width="4.5703125" style="73" customWidth="1"/>
    <col min="10506" max="10506" width="24.28515625" style="73" customWidth="1"/>
    <col min="10507" max="10507" width="21.28515625" style="73" customWidth="1"/>
    <col min="10508" max="10508" width="13.28515625" style="73" bestFit="1" customWidth="1"/>
    <col min="10509" max="10509" width="10.42578125" style="73"/>
    <col min="10510" max="10510" width="17.28515625" style="73" bestFit="1" customWidth="1"/>
    <col min="10511" max="10752" width="10.42578125" style="73"/>
    <col min="10753" max="10753" width="14" style="73" customWidth="1"/>
    <col min="10754" max="10756" width="21.42578125" style="73" customWidth="1"/>
    <col min="10757" max="10757" width="24.7109375" style="73" customWidth="1"/>
    <col min="10758" max="10758" width="10" style="73" customWidth="1"/>
    <col min="10759" max="10759" width="14.7109375" style="73" customWidth="1"/>
    <col min="10760" max="10760" width="2.5703125" style="73" customWidth="1"/>
    <col min="10761" max="10761" width="4.5703125" style="73" customWidth="1"/>
    <col min="10762" max="10762" width="24.28515625" style="73" customWidth="1"/>
    <col min="10763" max="10763" width="21.28515625" style="73" customWidth="1"/>
    <col min="10764" max="10764" width="13.28515625" style="73" bestFit="1" customWidth="1"/>
    <col min="10765" max="10765" width="10.42578125" style="73"/>
    <col min="10766" max="10766" width="17.28515625" style="73" bestFit="1" customWidth="1"/>
    <col min="10767" max="11008" width="10.42578125" style="73"/>
    <col min="11009" max="11009" width="14" style="73" customWidth="1"/>
    <col min="11010" max="11012" width="21.42578125" style="73" customWidth="1"/>
    <col min="11013" max="11013" width="24.7109375" style="73" customWidth="1"/>
    <col min="11014" max="11014" width="10" style="73" customWidth="1"/>
    <col min="11015" max="11015" width="14.7109375" style="73" customWidth="1"/>
    <col min="11016" max="11016" width="2.5703125" style="73" customWidth="1"/>
    <col min="11017" max="11017" width="4.5703125" style="73" customWidth="1"/>
    <col min="11018" max="11018" width="24.28515625" style="73" customWidth="1"/>
    <col min="11019" max="11019" width="21.28515625" style="73" customWidth="1"/>
    <col min="11020" max="11020" width="13.28515625" style="73" bestFit="1" customWidth="1"/>
    <col min="11021" max="11021" width="10.42578125" style="73"/>
    <col min="11022" max="11022" width="17.28515625" style="73" bestFit="1" customWidth="1"/>
    <col min="11023" max="11264" width="10.42578125" style="73"/>
    <col min="11265" max="11265" width="14" style="73" customWidth="1"/>
    <col min="11266" max="11268" width="21.42578125" style="73" customWidth="1"/>
    <col min="11269" max="11269" width="24.7109375" style="73" customWidth="1"/>
    <col min="11270" max="11270" width="10" style="73" customWidth="1"/>
    <col min="11271" max="11271" width="14.7109375" style="73" customWidth="1"/>
    <col min="11272" max="11272" width="2.5703125" style="73" customWidth="1"/>
    <col min="11273" max="11273" width="4.5703125" style="73" customWidth="1"/>
    <col min="11274" max="11274" width="24.28515625" style="73" customWidth="1"/>
    <col min="11275" max="11275" width="21.28515625" style="73" customWidth="1"/>
    <col min="11276" max="11276" width="13.28515625" style="73" bestFit="1" customWidth="1"/>
    <col min="11277" max="11277" width="10.42578125" style="73"/>
    <col min="11278" max="11278" width="17.28515625" style="73" bestFit="1" customWidth="1"/>
    <col min="11279" max="11520" width="10.42578125" style="73"/>
    <col min="11521" max="11521" width="14" style="73" customWidth="1"/>
    <col min="11522" max="11524" width="21.42578125" style="73" customWidth="1"/>
    <col min="11525" max="11525" width="24.7109375" style="73" customWidth="1"/>
    <col min="11526" max="11526" width="10" style="73" customWidth="1"/>
    <col min="11527" max="11527" width="14.7109375" style="73" customWidth="1"/>
    <col min="11528" max="11528" width="2.5703125" style="73" customWidth="1"/>
    <col min="11529" max="11529" width="4.5703125" style="73" customWidth="1"/>
    <col min="11530" max="11530" width="24.28515625" style="73" customWidth="1"/>
    <col min="11531" max="11531" width="21.28515625" style="73" customWidth="1"/>
    <col min="11532" max="11532" width="13.28515625" style="73" bestFit="1" customWidth="1"/>
    <col min="11533" max="11533" width="10.42578125" style="73"/>
    <col min="11534" max="11534" width="17.28515625" style="73" bestFit="1" customWidth="1"/>
    <col min="11535" max="11776" width="10.42578125" style="73"/>
    <col min="11777" max="11777" width="14" style="73" customWidth="1"/>
    <col min="11778" max="11780" width="21.42578125" style="73" customWidth="1"/>
    <col min="11781" max="11781" width="24.7109375" style="73" customWidth="1"/>
    <col min="11782" max="11782" width="10" style="73" customWidth="1"/>
    <col min="11783" max="11783" width="14.7109375" style="73" customWidth="1"/>
    <col min="11784" max="11784" width="2.5703125" style="73" customWidth="1"/>
    <col min="11785" max="11785" width="4.5703125" style="73" customWidth="1"/>
    <col min="11786" max="11786" width="24.28515625" style="73" customWidth="1"/>
    <col min="11787" max="11787" width="21.28515625" style="73" customWidth="1"/>
    <col min="11788" max="11788" width="13.28515625" style="73" bestFit="1" customWidth="1"/>
    <col min="11789" max="11789" width="10.42578125" style="73"/>
    <col min="11790" max="11790" width="17.28515625" style="73" bestFit="1" customWidth="1"/>
    <col min="11791" max="12032" width="10.42578125" style="73"/>
    <col min="12033" max="12033" width="14" style="73" customWidth="1"/>
    <col min="12034" max="12036" width="21.42578125" style="73" customWidth="1"/>
    <col min="12037" max="12037" width="24.7109375" style="73" customWidth="1"/>
    <col min="12038" max="12038" width="10" style="73" customWidth="1"/>
    <col min="12039" max="12039" width="14.7109375" style="73" customWidth="1"/>
    <col min="12040" max="12040" width="2.5703125" style="73" customWidth="1"/>
    <col min="12041" max="12041" width="4.5703125" style="73" customWidth="1"/>
    <col min="12042" max="12042" width="24.28515625" style="73" customWidth="1"/>
    <col min="12043" max="12043" width="21.28515625" style="73" customWidth="1"/>
    <col min="12044" max="12044" width="13.28515625" style="73" bestFit="1" customWidth="1"/>
    <col min="12045" max="12045" width="10.42578125" style="73"/>
    <col min="12046" max="12046" width="17.28515625" style="73" bestFit="1" customWidth="1"/>
    <col min="12047" max="12288" width="10.42578125" style="73"/>
    <col min="12289" max="12289" width="14" style="73" customWidth="1"/>
    <col min="12290" max="12292" width="21.42578125" style="73" customWidth="1"/>
    <col min="12293" max="12293" width="24.7109375" style="73" customWidth="1"/>
    <col min="12294" max="12294" width="10" style="73" customWidth="1"/>
    <col min="12295" max="12295" width="14.7109375" style="73" customWidth="1"/>
    <col min="12296" max="12296" width="2.5703125" style="73" customWidth="1"/>
    <col min="12297" max="12297" width="4.5703125" style="73" customWidth="1"/>
    <col min="12298" max="12298" width="24.28515625" style="73" customWidth="1"/>
    <col min="12299" max="12299" width="21.28515625" style="73" customWidth="1"/>
    <col min="12300" max="12300" width="13.28515625" style="73" bestFit="1" customWidth="1"/>
    <col min="12301" max="12301" width="10.42578125" style="73"/>
    <col min="12302" max="12302" width="17.28515625" style="73" bestFit="1" customWidth="1"/>
    <col min="12303" max="12544" width="10.42578125" style="73"/>
    <col min="12545" max="12545" width="14" style="73" customWidth="1"/>
    <col min="12546" max="12548" width="21.42578125" style="73" customWidth="1"/>
    <col min="12549" max="12549" width="24.7109375" style="73" customWidth="1"/>
    <col min="12550" max="12550" width="10" style="73" customWidth="1"/>
    <col min="12551" max="12551" width="14.7109375" style="73" customWidth="1"/>
    <col min="12552" max="12552" width="2.5703125" style="73" customWidth="1"/>
    <col min="12553" max="12553" width="4.5703125" style="73" customWidth="1"/>
    <col min="12554" max="12554" width="24.28515625" style="73" customWidth="1"/>
    <col min="12555" max="12555" width="21.28515625" style="73" customWidth="1"/>
    <col min="12556" max="12556" width="13.28515625" style="73" bestFit="1" customWidth="1"/>
    <col min="12557" max="12557" width="10.42578125" style="73"/>
    <col min="12558" max="12558" width="17.28515625" style="73" bestFit="1" customWidth="1"/>
    <col min="12559" max="12800" width="10.42578125" style="73"/>
    <col min="12801" max="12801" width="14" style="73" customWidth="1"/>
    <col min="12802" max="12804" width="21.42578125" style="73" customWidth="1"/>
    <col min="12805" max="12805" width="24.7109375" style="73" customWidth="1"/>
    <col min="12806" max="12806" width="10" style="73" customWidth="1"/>
    <col min="12807" max="12807" width="14.7109375" style="73" customWidth="1"/>
    <col min="12808" max="12808" width="2.5703125" style="73" customWidth="1"/>
    <col min="12809" max="12809" width="4.5703125" style="73" customWidth="1"/>
    <col min="12810" max="12810" width="24.28515625" style="73" customWidth="1"/>
    <col min="12811" max="12811" width="21.28515625" style="73" customWidth="1"/>
    <col min="12812" max="12812" width="13.28515625" style="73" bestFit="1" customWidth="1"/>
    <col min="12813" max="12813" width="10.42578125" style="73"/>
    <col min="12814" max="12814" width="17.28515625" style="73" bestFit="1" customWidth="1"/>
    <col min="12815" max="13056" width="10.42578125" style="73"/>
    <col min="13057" max="13057" width="14" style="73" customWidth="1"/>
    <col min="13058" max="13060" width="21.42578125" style="73" customWidth="1"/>
    <col min="13061" max="13061" width="24.7109375" style="73" customWidth="1"/>
    <col min="13062" max="13062" width="10" style="73" customWidth="1"/>
    <col min="13063" max="13063" width="14.7109375" style="73" customWidth="1"/>
    <col min="13064" max="13064" width="2.5703125" style="73" customWidth="1"/>
    <col min="13065" max="13065" width="4.5703125" style="73" customWidth="1"/>
    <col min="13066" max="13066" width="24.28515625" style="73" customWidth="1"/>
    <col min="13067" max="13067" width="21.28515625" style="73" customWidth="1"/>
    <col min="13068" max="13068" width="13.28515625" style="73" bestFit="1" customWidth="1"/>
    <col min="13069" max="13069" width="10.42578125" style="73"/>
    <col min="13070" max="13070" width="17.28515625" style="73" bestFit="1" customWidth="1"/>
    <col min="13071" max="13312" width="10.42578125" style="73"/>
    <col min="13313" max="13313" width="14" style="73" customWidth="1"/>
    <col min="13314" max="13316" width="21.42578125" style="73" customWidth="1"/>
    <col min="13317" max="13317" width="24.7109375" style="73" customWidth="1"/>
    <col min="13318" max="13318" width="10" style="73" customWidth="1"/>
    <col min="13319" max="13319" width="14.7109375" style="73" customWidth="1"/>
    <col min="13320" max="13320" width="2.5703125" style="73" customWidth="1"/>
    <col min="13321" max="13321" width="4.5703125" style="73" customWidth="1"/>
    <col min="13322" max="13322" width="24.28515625" style="73" customWidth="1"/>
    <col min="13323" max="13323" width="21.28515625" style="73" customWidth="1"/>
    <col min="13324" max="13324" width="13.28515625" style="73" bestFit="1" customWidth="1"/>
    <col min="13325" max="13325" width="10.42578125" style="73"/>
    <col min="13326" max="13326" width="17.28515625" style="73" bestFit="1" customWidth="1"/>
    <col min="13327" max="13568" width="10.42578125" style="73"/>
    <col min="13569" max="13569" width="14" style="73" customWidth="1"/>
    <col min="13570" max="13572" width="21.42578125" style="73" customWidth="1"/>
    <col min="13573" max="13573" width="24.7109375" style="73" customWidth="1"/>
    <col min="13574" max="13574" width="10" style="73" customWidth="1"/>
    <col min="13575" max="13575" width="14.7109375" style="73" customWidth="1"/>
    <col min="13576" max="13576" width="2.5703125" style="73" customWidth="1"/>
    <col min="13577" max="13577" width="4.5703125" style="73" customWidth="1"/>
    <col min="13578" max="13578" width="24.28515625" style="73" customWidth="1"/>
    <col min="13579" max="13579" width="21.28515625" style="73" customWidth="1"/>
    <col min="13580" max="13580" width="13.28515625" style="73" bestFit="1" customWidth="1"/>
    <col min="13581" max="13581" width="10.42578125" style="73"/>
    <col min="13582" max="13582" width="17.28515625" style="73" bestFit="1" customWidth="1"/>
    <col min="13583" max="13824" width="10.42578125" style="73"/>
    <col min="13825" max="13825" width="14" style="73" customWidth="1"/>
    <col min="13826" max="13828" width="21.42578125" style="73" customWidth="1"/>
    <col min="13829" max="13829" width="24.7109375" style="73" customWidth="1"/>
    <col min="13830" max="13830" width="10" style="73" customWidth="1"/>
    <col min="13831" max="13831" width="14.7109375" style="73" customWidth="1"/>
    <col min="13832" max="13832" width="2.5703125" style="73" customWidth="1"/>
    <col min="13833" max="13833" width="4.5703125" style="73" customWidth="1"/>
    <col min="13834" max="13834" width="24.28515625" style="73" customWidth="1"/>
    <col min="13835" max="13835" width="21.28515625" style="73" customWidth="1"/>
    <col min="13836" max="13836" width="13.28515625" style="73" bestFit="1" customWidth="1"/>
    <col min="13837" max="13837" width="10.42578125" style="73"/>
    <col min="13838" max="13838" width="17.28515625" style="73" bestFit="1" customWidth="1"/>
    <col min="13839" max="14080" width="10.42578125" style="73"/>
    <col min="14081" max="14081" width="14" style="73" customWidth="1"/>
    <col min="14082" max="14084" width="21.42578125" style="73" customWidth="1"/>
    <col min="14085" max="14085" width="24.7109375" style="73" customWidth="1"/>
    <col min="14086" max="14086" width="10" style="73" customWidth="1"/>
    <col min="14087" max="14087" width="14.7109375" style="73" customWidth="1"/>
    <col min="14088" max="14088" width="2.5703125" style="73" customWidth="1"/>
    <col min="14089" max="14089" width="4.5703125" style="73" customWidth="1"/>
    <col min="14090" max="14090" width="24.28515625" style="73" customWidth="1"/>
    <col min="14091" max="14091" width="21.28515625" style="73" customWidth="1"/>
    <col min="14092" max="14092" width="13.28515625" style="73" bestFit="1" customWidth="1"/>
    <col min="14093" max="14093" width="10.42578125" style="73"/>
    <col min="14094" max="14094" width="17.28515625" style="73" bestFit="1" customWidth="1"/>
    <col min="14095" max="14336" width="10.42578125" style="73"/>
    <col min="14337" max="14337" width="14" style="73" customWidth="1"/>
    <col min="14338" max="14340" width="21.42578125" style="73" customWidth="1"/>
    <col min="14341" max="14341" width="24.7109375" style="73" customWidth="1"/>
    <col min="14342" max="14342" width="10" style="73" customWidth="1"/>
    <col min="14343" max="14343" width="14.7109375" style="73" customWidth="1"/>
    <col min="14344" max="14344" width="2.5703125" style="73" customWidth="1"/>
    <col min="14345" max="14345" width="4.5703125" style="73" customWidth="1"/>
    <col min="14346" max="14346" width="24.28515625" style="73" customWidth="1"/>
    <col min="14347" max="14347" width="21.28515625" style="73" customWidth="1"/>
    <col min="14348" max="14348" width="13.28515625" style="73" bestFit="1" customWidth="1"/>
    <col min="14349" max="14349" width="10.42578125" style="73"/>
    <col min="14350" max="14350" width="17.28515625" style="73" bestFit="1" customWidth="1"/>
    <col min="14351" max="14592" width="10.42578125" style="73"/>
    <col min="14593" max="14593" width="14" style="73" customWidth="1"/>
    <col min="14594" max="14596" width="21.42578125" style="73" customWidth="1"/>
    <col min="14597" max="14597" width="24.7109375" style="73" customWidth="1"/>
    <col min="14598" max="14598" width="10" style="73" customWidth="1"/>
    <col min="14599" max="14599" width="14.7109375" style="73" customWidth="1"/>
    <col min="14600" max="14600" width="2.5703125" style="73" customWidth="1"/>
    <col min="14601" max="14601" width="4.5703125" style="73" customWidth="1"/>
    <col min="14602" max="14602" width="24.28515625" style="73" customWidth="1"/>
    <col min="14603" max="14603" width="21.28515625" style="73" customWidth="1"/>
    <col min="14604" max="14604" width="13.28515625" style="73" bestFit="1" customWidth="1"/>
    <col min="14605" max="14605" width="10.42578125" style="73"/>
    <col min="14606" max="14606" width="17.28515625" style="73" bestFit="1" customWidth="1"/>
    <col min="14607" max="14848" width="10.42578125" style="73"/>
    <col min="14849" max="14849" width="14" style="73" customWidth="1"/>
    <col min="14850" max="14852" width="21.42578125" style="73" customWidth="1"/>
    <col min="14853" max="14853" width="24.7109375" style="73" customWidth="1"/>
    <col min="14854" max="14854" width="10" style="73" customWidth="1"/>
    <col min="14855" max="14855" width="14.7109375" style="73" customWidth="1"/>
    <col min="14856" max="14856" width="2.5703125" style="73" customWidth="1"/>
    <col min="14857" max="14857" width="4.5703125" style="73" customWidth="1"/>
    <col min="14858" max="14858" width="24.28515625" style="73" customWidth="1"/>
    <col min="14859" max="14859" width="21.28515625" style="73" customWidth="1"/>
    <col min="14860" max="14860" width="13.28515625" style="73" bestFit="1" customWidth="1"/>
    <col min="14861" max="14861" width="10.42578125" style="73"/>
    <col min="14862" max="14862" width="17.28515625" style="73" bestFit="1" customWidth="1"/>
    <col min="14863" max="15104" width="10.42578125" style="73"/>
    <col min="15105" max="15105" width="14" style="73" customWidth="1"/>
    <col min="15106" max="15108" width="21.42578125" style="73" customWidth="1"/>
    <col min="15109" max="15109" width="24.7109375" style="73" customWidth="1"/>
    <col min="15110" max="15110" width="10" style="73" customWidth="1"/>
    <col min="15111" max="15111" width="14.7109375" style="73" customWidth="1"/>
    <col min="15112" max="15112" width="2.5703125" style="73" customWidth="1"/>
    <col min="15113" max="15113" width="4.5703125" style="73" customWidth="1"/>
    <col min="15114" max="15114" width="24.28515625" style="73" customWidth="1"/>
    <col min="15115" max="15115" width="21.28515625" style="73" customWidth="1"/>
    <col min="15116" max="15116" width="13.28515625" style="73" bestFit="1" customWidth="1"/>
    <col min="15117" max="15117" width="10.42578125" style="73"/>
    <col min="15118" max="15118" width="17.28515625" style="73" bestFit="1" customWidth="1"/>
    <col min="15119" max="15360" width="10.42578125" style="73"/>
    <col min="15361" max="15361" width="14" style="73" customWidth="1"/>
    <col min="15362" max="15364" width="21.42578125" style="73" customWidth="1"/>
    <col min="15365" max="15365" width="24.7109375" style="73" customWidth="1"/>
    <col min="15366" max="15366" width="10" style="73" customWidth="1"/>
    <col min="15367" max="15367" width="14.7109375" style="73" customWidth="1"/>
    <col min="15368" max="15368" width="2.5703125" style="73" customWidth="1"/>
    <col min="15369" max="15369" width="4.5703125" style="73" customWidth="1"/>
    <col min="15370" max="15370" width="24.28515625" style="73" customWidth="1"/>
    <col min="15371" max="15371" width="21.28515625" style="73" customWidth="1"/>
    <col min="15372" max="15372" width="13.28515625" style="73" bestFit="1" customWidth="1"/>
    <col min="15373" max="15373" width="10.42578125" style="73"/>
    <col min="15374" max="15374" width="17.28515625" style="73" bestFit="1" customWidth="1"/>
    <col min="15375" max="15616" width="10.42578125" style="73"/>
    <col min="15617" max="15617" width="14" style="73" customWidth="1"/>
    <col min="15618" max="15620" width="21.42578125" style="73" customWidth="1"/>
    <col min="15621" max="15621" width="24.7109375" style="73" customWidth="1"/>
    <col min="15622" max="15622" width="10" style="73" customWidth="1"/>
    <col min="15623" max="15623" width="14.7109375" style="73" customWidth="1"/>
    <col min="15624" max="15624" width="2.5703125" style="73" customWidth="1"/>
    <col min="15625" max="15625" width="4.5703125" style="73" customWidth="1"/>
    <col min="15626" max="15626" width="24.28515625" style="73" customWidth="1"/>
    <col min="15627" max="15627" width="21.28515625" style="73" customWidth="1"/>
    <col min="15628" max="15628" width="13.28515625" style="73" bestFit="1" customWidth="1"/>
    <col min="15629" max="15629" width="10.42578125" style="73"/>
    <col min="15630" max="15630" width="17.28515625" style="73" bestFit="1" customWidth="1"/>
    <col min="15631" max="15872" width="10.42578125" style="73"/>
    <col min="15873" max="15873" width="14" style="73" customWidth="1"/>
    <col min="15874" max="15876" width="21.42578125" style="73" customWidth="1"/>
    <col min="15877" max="15877" width="24.7109375" style="73" customWidth="1"/>
    <col min="15878" max="15878" width="10" style="73" customWidth="1"/>
    <col min="15879" max="15879" width="14.7109375" style="73" customWidth="1"/>
    <col min="15880" max="15880" width="2.5703125" style="73" customWidth="1"/>
    <col min="15881" max="15881" width="4.5703125" style="73" customWidth="1"/>
    <col min="15882" max="15882" width="24.28515625" style="73" customWidth="1"/>
    <col min="15883" max="15883" width="21.28515625" style="73" customWidth="1"/>
    <col min="15884" max="15884" width="13.28515625" style="73" bestFit="1" customWidth="1"/>
    <col min="15885" max="15885" width="10.42578125" style="73"/>
    <col min="15886" max="15886" width="17.28515625" style="73" bestFit="1" customWidth="1"/>
    <col min="15887" max="16128" width="10.42578125" style="73"/>
    <col min="16129" max="16129" width="14" style="73" customWidth="1"/>
    <col min="16130" max="16132" width="21.42578125" style="73" customWidth="1"/>
    <col min="16133" max="16133" width="24.7109375" style="73" customWidth="1"/>
    <col min="16134" max="16134" width="10" style="73" customWidth="1"/>
    <col min="16135" max="16135" width="14.7109375" style="73" customWidth="1"/>
    <col min="16136" max="16136" width="2.5703125" style="73" customWidth="1"/>
    <col min="16137" max="16137" width="4.5703125" style="73" customWidth="1"/>
    <col min="16138" max="16138" width="24.28515625" style="73" customWidth="1"/>
    <col min="16139" max="16139" width="21.28515625" style="73" customWidth="1"/>
    <col min="16140" max="16140" width="13.28515625" style="73" bestFit="1" customWidth="1"/>
    <col min="16141" max="16141" width="10.42578125" style="73"/>
    <col min="16142" max="16142" width="17.28515625" style="73" bestFit="1" customWidth="1"/>
    <col min="16143" max="16384" width="10.42578125" style="73"/>
  </cols>
  <sheetData>
    <row r="2" spans="1:10" ht="15" customHeight="1" x14ac:dyDescent="0.2">
      <c r="A2" s="72" t="s">
        <v>14</v>
      </c>
      <c r="B2" s="72"/>
      <c r="C2" s="72"/>
      <c r="D2" s="72"/>
      <c r="E2" s="72"/>
      <c r="F2" s="72"/>
      <c r="G2" s="72"/>
      <c r="H2" s="72"/>
      <c r="I2" s="72"/>
      <c r="J2" s="72"/>
    </row>
    <row r="3" spans="1:10" ht="15" customHeight="1" x14ac:dyDescent="0.2">
      <c r="A3" s="72"/>
      <c r="B3" s="72"/>
      <c r="C3" s="72"/>
      <c r="D3" s="72"/>
      <c r="E3" s="72"/>
      <c r="F3" s="72"/>
      <c r="G3" s="72"/>
      <c r="H3" s="72"/>
      <c r="I3" s="72"/>
      <c r="J3" s="72"/>
    </row>
    <row r="4" spans="1:10" x14ac:dyDescent="0.2">
      <c r="A4" s="71" t="s">
        <v>15</v>
      </c>
      <c r="B4" s="71"/>
      <c r="C4" s="71"/>
      <c r="D4" s="71"/>
      <c r="E4" s="71"/>
      <c r="F4" s="71"/>
      <c r="G4" s="71"/>
      <c r="H4" s="71"/>
      <c r="I4" s="71"/>
      <c r="J4" s="71"/>
    </row>
    <row r="5" spans="1:10" ht="15.75" x14ac:dyDescent="0.2">
      <c r="A5" s="69" t="s">
        <v>16</v>
      </c>
      <c r="B5" s="69"/>
      <c r="C5" s="69"/>
      <c r="D5" s="69"/>
      <c r="E5" s="69"/>
      <c r="F5" s="69"/>
      <c r="G5" s="69"/>
      <c r="H5" s="69"/>
      <c r="I5" s="69"/>
      <c r="J5" s="69"/>
    </row>
    <row r="6" spans="1:10" ht="15" customHeight="1" x14ac:dyDescent="0.2">
      <c r="A6" s="69" t="s">
        <v>17</v>
      </c>
      <c r="B6" s="69"/>
      <c r="C6" s="69"/>
      <c r="D6" s="69"/>
      <c r="E6" s="69"/>
      <c r="F6" s="69"/>
      <c r="G6" s="69"/>
      <c r="H6" s="69"/>
      <c r="I6" s="69"/>
      <c r="J6" s="69"/>
    </row>
    <row r="7" spans="1:10" ht="9" customHeight="1" x14ac:dyDescent="0.2">
      <c r="A7" s="68"/>
      <c r="B7" s="68"/>
      <c r="C7" s="68"/>
      <c r="D7" s="68"/>
      <c r="E7" s="68"/>
      <c r="F7" s="68"/>
      <c r="G7" s="68"/>
      <c r="H7" s="68"/>
      <c r="I7" s="68"/>
      <c r="J7" s="68"/>
    </row>
    <row r="8" spans="1:10" ht="23.25" customHeight="1" x14ac:dyDescent="0.2">
      <c r="A8" s="74" t="s">
        <v>24</v>
      </c>
      <c r="B8" s="74"/>
      <c r="C8" s="74"/>
      <c r="D8" s="74"/>
      <c r="E8" s="74"/>
      <c r="F8" s="74"/>
      <c r="G8" s="74"/>
      <c r="H8" s="74"/>
      <c r="I8" s="74"/>
      <c r="J8" s="74"/>
    </row>
    <row r="9" spans="1:10" ht="9" customHeight="1" x14ac:dyDescent="0.2">
      <c r="A9" s="1"/>
      <c r="C9" s="2"/>
      <c r="E9" s="2"/>
      <c r="F9" s="2"/>
      <c r="G9" s="2"/>
      <c r="H9" s="2"/>
      <c r="I9" s="2"/>
      <c r="J9" s="2"/>
    </row>
    <row r="10" spans="1:10" ht="18.75" x14ac:dyDescent="0.2">
      <c r="A10" s="3" t="s">
        <v>25</v>
      </c>
      <c r="B10" s="4" t="s">
        <v>20</v>
      </c>
      <c r="C10" s="5"/>
      <c r="D10" s="60" t="s">
        <v>0</v>
      </c>
      <c r="E10" s="60"/>
      <c r="G10" s="6" t="s">
        <v>26</v>
      </c>
      <c r="H10" s="7"/>
      <c r="I10" s="61" t="s">
        <v>19</v>
      </c>
      <c r="J10" s="61"/>
    </row>
    <row r="11" spans="1:10" ht="18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8" customHeight="1" x14ac:dyDescent="0.2">
      <c r="A12" s="8" t="s">
        <v>1</v>
      </c>
      <c r="B12" s="9"/>
      <c r="C12" s="9"/>
      <c r="D12" s="1"/>
      <c r="E12" s="1"/>
      <c r="F12" s="1"/>
      <c r="G12" s="1"/>
      <c r="H12" s="1"/>
      <c r="I12" s="1"/>
      <c r="J12" s="1"/>
    </row>
    <row r="13" spans="1:10" ht="20.25" x14ac:dyDescent="0.2">
      <c r="A13" s="10" t="s">
        <v>18</v>
      </c>
      <c r="B13" s="11"/>
      <c r="C13" s="11"/>
      <c r="D13" s="11"/>
      <c r="E13" s="11"/>
      <c r="F13" s="11"/>
      <c r="G13" s="11"/>
      <c r="H13" s="11"/>
      <c r="I13" s="11"/>
      <c r="J13" s="11"/>
    </row>
    <row r="14" spans="1:10" ht="20.25" x14ac:dyDescent="0.2">
      <c r="A14" s="10" t="s">
        <v>21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20.25" x14ac:dyDescent="0.2">
      <c r="A15" s="12" t="s">
        <v>22</v>
      </c>
      <c r="B15" s="11"/>
      <c r="C15" s="11"/>
      <c r="D15" s="11"/>
      <c r="E15" s="11"/>
      <c r="F15" s="11"/>
      <c r="G15" s="11"/>
      <c r="H15" s="11"/>
      <c r="I15" s="11"/>
      <c r="J15" s="11"/>
    </row>
    <row r="16" spans="1:10" ht="18" customHeight="1" x14ac:dyDescent="0.2">
      <c r="A16" s="13" t="s">
        <v>23</v>
      </c>
      <c r="B16" s="3"/>
      <c r="C16" s="3"/>
      <c r="D16" s="3"/>
      <c r="E16" s="3"/>
      <c r="F16" s="3"/>
      <c r="G16" s="3"/>
      <c r="H16" s="3"/>
      <c r="I16" s="3"/>
      <c r="J16" s="3"/>
    </row>
    <row r="17" spans="1:12" ht="5.0999999999999996" customHeight="1" x14ac:dyDescent="0.2">
      <c r="A17" s="13"/>
      <c r="B17" s="3"/>
      <c r="C17" s="3"/>
      <c r="D17" s="3"/>
      <c r="E17" s="3"/>
      <c r="F17" s="3"/>
      <c r="G17" s="3"/>
      <c r="H17" s="3"/>
      <c r="I17" s="3"/>
      <c r="J17" s="3"/>
    </row>
    <row r="18" spans="1:12" ht="20.25" x14ac:dyDescent="0.2">
      <c r="A18" s="14" t="s">
        <v>27</v>
      </c>
      <c r="C18" s="15"/>
      <c r="D18" s="15"/>
      <c r="E18" s="15"/>
      <c r="F18" s="15"/>
      <c r="G18" s="15"/>
      <c r="H18" s="15"/>
      <c r="I18" s="15"/>
      <c r="J18" s="15"/>
    </row>
    <row r="19" spans="1:12" ht="9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2" ht="18" customHeight="1" x14ac:dyDescent="0.2">
      <c r="A20" s="62" t="s">
        <v>28</v>
      </c>
      <c r="B20" s="62"/>
      <c r="C20" s="62"/>
      <c r="D20" s="62"/>
      <c r="E20" s="62"/>
      <c r="F20" s="62"/>
      <c r="G20" s="62"/>
      <c r="H20" s="62"/>
      <c r="I20" s="62"/>
      <c r="J20" s="62"/>
    </row>
    <row r="21" spans="1:12" ht="18" customHeight="1" x14ac:dyDescent="0.2">
      <c r="A21" s="62"/>
      <c r="B21" s="62"/>
      <c r="C21" s="62"/>
      <c r="D21" s="62"/>
      <c r="E21" s="62"/>
      <c r="F21" s="62"/>
      <c r="G21" s="62"/>
      <c r="H21" s="62"/>
      <c r="I21" s="62"/>
      <c r="J21" s="62"/>
    </row>
    <row r="22" spans="1:12" ht="21" customHeight="1" x14ac:dyDescent="0.2">
      <c r="A22" s="62"/>
      <c r="B22" s="62"/>
      <c r="C22" s="62"/>
      <c r="D22" s="62"/>
      <c r="E22" s="62"/>
      <c r="F22" s="62"/>
      <c r="G22" s="62"/>
      <c r="H22" s="62"/>
      <c r="I22" s="62"/>
      <c r="J22" s="62"/>
    </row>
    <row r="23" spans="1:12" ht="5.0999999999999996" customHeight="1" x14ac:dyDescent="0.2">
      <c r="A23" s="16"/>
      <c r="B23" s="16"/>
      <c r="C23" s="16"/>
      <c r="D23" s="16"/>
      <c r="E23" s="16"/>
      <c r="F23" s="16"/>
      <c r="G23" s="16"/>
      <c r="H23" s="16"/>
      <c r="I23" s="16"/>
      <c r="J23" s="16"/>
    </row>
    <row r="24" spans="1:12" ht="27" customHeight="1" x14ac:dyDescent="0.2">
      <c r="A24" s="1"/>
      <c r="B24" s="1"/>
      <c r="C24" s="1"/>
      <c r="D24" s="1"/>
      <c r="E24" s="1"/>
      <c r="F24" s="63" t="s">
        <v>2</v>
      </c>
      <c r="G24" s="64"/>
      <c r="H24" s="1"/>
      <c r="J24" s="17" t="s">
        <v>3</v>
      </c>
    </row>
    <row r="25" spans="1:12" ht="20.100000000000001" customHeight="1" x14ac:dyDescent="0.2">
      <c r="A25" s="1"/>
      <c r="B25" s="1"/>
      <c r="C25" s="1"/>
      <c r="D25" s="1"/>
      <c r="E25" s="1"/>
      <c r="F25" s="18"/>
      <c r="G25" s="18"/>
      <c r="H25" s="1"/>
      <c r="J25" s="18"/>
    </row>
    <row r="26" spans="1:12" ht="20.25" customHeight="1" x14ac:dyDescent="0.2">
      <c r="A26" s="1"/>
      <c r="B26" s="19" t="s">
        <v>30</v>
      </c>
      <c r="C26" s="1"/>
      <c r="E26" s="1"/>
      <c r="F26" s="1"/>
      <c r="G26" s="1"/>
      <c r="H26" s="1"/>
      <c r="I26" s="20"/>
      <c r="J26" s="20"/>
    </row>
    <row r="27" spans="1:12" ht="10.15" customHeight="1" x14ac:dyDescent="0.2">
      <c r="A27" s="1"/>
      <c r="B27" s="19"/>
      <c r="C27" s="1"/>
      <c r="E27" s="1"/>
      <c r="F27" s="1"/>
      <c r="G27" s="1"/>
      <c r="H27" s="1"/>
      <c r="I27" s="20"/>
      <c r="J27" s="20"/>
    </row>
    <row r="28" spans="1:12" ht="20.25" customHeight="1" x14ac:dyDescent="0.2">
      <c r="A28" s="1"/>
      <c r="B28" s="1"/>
      <c r="C28" s="1"/>
      <c r="D28" s="21" t="s">
        <v>4</v>
      </c>
      <c r="E28" s="1"/>
      <c r="F28" s="1"/>
      <c r="G28" s="1"/>
      <c r="H28" s="1"/>
      <c r="I28" s="20"/>
      <c r="J28" s="22"/>
    </row>
    <row r="29" spans="1:12" ht="33" x14ac:dyDescent="0.45">
      <c r="A29" s="23" t="s">
        <v>42</v>
      </c>
      <c r="B29" s="24" t="s">
        <v>5</v>
      </c>
      <c r="C29" s="1"/>
      <c r="D29" s="75" t="s">
        <v>6</v>
      </c>
      <c r="E29" s="1"/>
      <c r="F29" s="65" t="s">
        <v>7</v>
      </c>
      <c r="G29" s="65"/>
      <c r="H29" s="1"/>
      <c r="J29" s="25">
        <v>4079835000</v>
      </c>
      <c r="K29" s="26"/>
      <c r="L29" s="76"/>
    </row>
    <row r="30" spans="1:12" ht="19.5" customHeight="1" x14ac:dyDescent="0.2">
      <c r="A30" s="27"/>
      <c r="B30" s="1"/>
      <c r="C30" s="28"/>
      <c r="D30" s="29" t="s">
        <v>8</v>
      </c>
      <c r="E30" s="30"/>
      <c r="F30" s="66"/>
      <c r="G30" s="66"/>
      <c r="H30" s="31"/>
      <c r="J30" s="77"/>
      <c r="K30" s="77"/>
    </row>
    <row r="31" spans="1:12" ht="19.5" customHeight="1" x14ac:dyDescent="0.2">
      <c r="A31" s="27"/>
      <c r="B31" s="1"/>
      <c r="C31" s="28"/>
      <c r="D31" s="29"/>
      <c r="E31" s="30"/>
      <c r="F31" s="32"/>
      <c r="G31" s="32"/>
      <c r="H31" s="31"/>
      <c r="J31" s="77"/>
    </row>
    <row r="32" spans="1:12" ht="19.5" customHeight="1" x14ac:dyDescent="0.2">
      <c r="A32" s="27"/>
      <c r="B32" s="67"/>
      <c r="C32" s="67"/>
      <c r="D32" s="67"/>
      <c r="E32" s="67"/>
      <c r="F32" s="67"/>
      <c r="G32" s="67"/>
      <c r="H32" s="31"/>
      <c r="J32" s="77"/>
    </row>
    <row r="33" spans="1:11" ht="19.5" customHeight="1" x14ac:dyDescent="0.2">
      <c r="A33" s="27"/>
      <c r="B33" s="67"/>
      <c r="C33" s="67"/>
      <c r="D33" s="67"/>
      <c r="E33" s="67"/>
      <c r="F33" s="67"/>
      <c r="G33" s="67"/>
      <c r="H33" s="31"/>
      <c r="J33" s="77"/>
    </row>
    <row r="34" spans="1:11" ht="19.5" customHeight="1" x14ac:dyDescent="0.3">
      <c r="A34" s="27"/>
      <c r="B34" s="67"/>
      <c r="C34" s="67"/>
      <c r="D34" s="67"/>
      <c r="E34" s="67"/>
      <c r="F34" s="67"/>
      <c r="G34" s="67"/>
      <c r="H34" s="31"/>
      <c r="J34" s="33"/>
      <c r="K34" s="78"/>
    </row>
    <row r="35" spans="1:11" ht="5.0999999999999996" customHeight="1" x14ac:dyDescent="0.3">
      <c r="A35" s="27"/>
      <c r="B35" s="34"/>
      <c r="C35" s="34"/>
      <c r="D35" s="34"/>
      <c r="E35" s="34"/>
      <c r="F35" s="34"/>
      <c r="G35" s="34"/>
      <c r="H35" s="31"/>
      <c r="J35" s="35"/>
    </row>
    <row r="36" spans="1:11" ht="19.5" customHeight="1" thickBot="1" x14ac:dyDescent="0.35">
      <c r="A36" s="27"/>
      <c r="B36" s="36" t="s">
        <v>29</v>
      </c>
      <c r="C36" s="37"/>
      <c r="D36" s="29"/>
      <c r="E36" s="38"/>
      <c r="F36" s="32"/>
      <c r="G36" s="32"/>
      <c r="H36" s="31"/>
      <c r="J36" s="39">
        <f>J29+J34</f>
        <v>4079835000</v>
      </c>
    </row>
    <row r="37" spans="1:11" ht="19.5" customHeight="1" thickTop="1" x14ac:dyDescent="0.2">
      <c r="A37" s="27"/>
      <c r="B37" s="1"/>
      <c r="C37" s="37"/>
      <c r="D37" s="29"/>
      <c r="E37" s="38"/>
      <c r="F37" s="32"/>
      <c r="G37" s="32"/>
      <c r="H37" s="31"/>
      <c r="J37" s="77"/>
    </row>
    <row r="38" spans="1:11" ht="20.100000000000001" customHeight="1" x14ac:dyDescent="0.2">
      <c r="A38" s="1"/>
      <c r="B38" s="1"/>
      <c r="C38" s="1"/>
      <c r="D38" s="1"/>
      <c r="E38" s="1"/>
      <c r="F38" s="68"/>
      <c r="G38" s="68"/>
      <c r="H38" s="1"/>
      <c r="I38" s="1"/>
      <c r="J38" s="1"/>
      <c r="K38" s="77"/>
    </row>
    <row r="39" spans="1:11" ht="20.100000000000001" customHeight="1" x14ac:dyDescent="0.2">
      <c r="A39" s="40" t="s">
        <v>31</v>
      </c>
      <c r="B39" s="1"/>
      <c r="C39" s="1"/>
      <c r="D39" s="1"/>
      <c r="E39" s="1"/>
      <c r="F39" s="68"/>
      <c r="G39" s="68"/>
      <c r="H39" s="1"/>
      <c r="I39" s="1"/>
      <c r="J39" s="26"/>
    </row>
    <row r="40" spans="1:11" ht="20.100000000000001" customHeight="1" x14ac:dyDescent="0.2">
      <c r="A40" s="57" t="s">
        <v>9</v>
      </c>
      <c r="B40" s="42" t="s">
        <v>32</v>
      </c>
      <c r="C40" s="42"/>
      <c r="D40" s="42"/>
      <c r="E40" s="42"/>
      <c r="F40" s="42"/>
      <c r="G40" s="42"/>
      <c r="H40" s="42"/>
      <c r="I40" s="42"/>
      <c r="J40" s="32"/>
    </row>
    <row r="41" spans="1:11" ht="3" customHeight="1" x14ac:dyDescent="0.2">
      <c r="A41" s="43"/>
      <c r="B41" s="44"/>
      <c r="C41" s="44"/>
      <c r="D41" s="44"/>
      <c r="E41" s="44"/>
      <c r="F41" s="44"/>
      <c r="G41" s="44"/>
      <c r="H41" s="1"/>
      <c r="I41" s="32"/>
      <c r="J41" s="32"/>
    </row>
    <row r="42" spans="1:11" ht="20.100000000000001" customHeight="1" x14ac:dyDescent="0.25">
      <c r="A42" s="57" t="s">
        <v>10</v>
      </c>
      <c r="B42" s="42" t="s">
        <v>33</v>
      </c>
      <c r="C42" s="42"/>
      <c r="D42" s="42"/>
      <c r="E42" s="42"/>
      <c r="F42" s="42"/>
      <c r="G42" s="42"/>
      <c r="H42" s="42"/>
      <c r="I42" s="42"/>
      <c r="J42" s="45"/>
    </row>
    <row r="43" spans="1:11" ht="3" customHeight="1" x14ac:dyDescent="0.25">
      <c r="A43" s="47"/>
      <c r="B43" s="46"/>
      <c r="C43" s="46"/>
      <c r="D43" s="46"/>
      <c r="E43" s="1"/>
      <c r="F43" s="1"/>
      <c r="G43" s="1"/>
      <c r="H43" s="1"/>
      <c r="I43" s="1"/>
      <c r="J43" s="1"/>
    </row>
    <row r="44" spans="1:11" ht="20.100000000000001" customHeight="1" x14ac:dyDescent="0.2">
      <c r="A44" s="57" t="s">
        <v>11</v>
      </c>
      <c r="B44" s="42" t="s">
        <v>34</v>
      </c>
      <c r="C44" s="42"/>
      <c r="D44" s="42"/>
      <c r="E44" s="42"/>
      <c r="F44" s="42"/>
      <c r="G44" s="42"/>
      <c r="H44" s="42"/>
      <c r="I44" s="42"/>
      <c r="J44" s="1"/>
    </row>
    <row r="45" spans="1:11" ht="15" customHeight="1" x14ac:dyDescent="0.25">
      <c r="B45" s="47"/>
      <c r="C45" s="47"/>
      <c r="D45" s="1"/>
      <c r="E45" s="1"/>
      <c r="F45" s="1"/>
    </row>
    <row r="46" spans="1:11" ht="15.75" customHeight="1" x14ac:dyDescent="0.25">
      <c r="A46" s="40" t="s">
        <v>12</v>
      </c>
      <c r="B46" s="46"/>
      <c r="C46" s="46"/>
      <c r="D46" s="46"/>
      <c r="E46" s="1"/>
      <c r="F46" s="69"/>
      <c r="G46" s="69"/>
      <c r="H46" s="69"/>
      <c r="I46" s="69"/>
      <c r="J46" s="69"/>
    </row>
    <row r="47" spans="1:11" ht="3" customHeight="1" x14ac:dyDescent="0.25">
      <c r="A47" s="48"/>
    </row>
    <row r="48" spans="1:11" ht="20.100000000000001" customHeight="1" x14ac:dyDescent="0.2">
      <c r="A48" s="57" t="s">
        <v>9</v>
      </c>
      <c r="B48" s="49" t="s">
        <v>35</v>
      </c>
      <c r="C48" s="49"/>
      <c r="D48" s="49"/>
      <c r="E48" s="49"/>
      <c r="F48" s="49"/>
      <c r="G48" s="49"/>
      <c r="H48" s="49"/>
      <c r="I48" s="49"/>
    </row>
    <row r="49" spans="1:10" ht="4.1500000000000004" customHeight="1" x14ac:dyDescent="0.2">
      <c r="A49" s="57"/>
      <c r="B49" s="50"/>
      <c r="C49" s="50"/>
      <c r="D49" s="50"/>
      <c r="E49" s="50"/>
      <c r="F49" s="50"/>
      <c r="G49" s="50"/>
      <c r="H49" s="50"/>
      <c r="I49" s="50"/>
    </row>
    <row r="50" spans="1:10" ht="20.100000000000001" customHeight="1" x14ac:dyDescent="0.2">
      <c r="A50" s="57" t="s">
        <v>10</v>
      </c>
      <c r="B50" s="51" t="s">
        <v>36</v>
      </c>
      <c r="C50" s="51"/>
      <c r="D50" s="51"/>
      <c r="E50" s="51"/>
      <c r="F50" s="51"/>
      <c r="G50" s="51"/>
      <c r="H50" s="51"/>
      <c r="I50" s="51"/>
    </row>
    <row r="51" spans="1:10" ht="4.1500000000000004" customHeight="1" x14ac:dyDescent="0.2">
      <c r="A51" s="57"/>
      <c r="B51" s="52"/>
      <c r="C51" s="52"/>
      <c r="D51" s="52"/>
      <c r="E51" s="52"/>
      <c r="F51" s="52"/>
      <c r="G51" s="52"/>
      <c r="H51" s="52"/>
      <c r="I51" s="52"/>
    </row>
    <row r="52" spans="1:10" ht="47.25" customHeight="1" x14ac:dyDescent="0.2">
      <c r="A52" s="57" t="s">
        <v>11</v>
      </c>
      <c r="B52" s="70" t="s">
        <v>37</v>
      </c>
      <c r="C52" s="70"/>
      <c r="D52" s="70"/>
      <c r="E52" s="70"/>
      <c r="F52" s="70"/>
      <c r="G52" s="70"/>
      <c r="H52" s="70"/>
      <c r="I52" s="70"/>
      <c r="J52" s="70"/>
    </row>
    <row r="53" spans="1:10" ht="15" customHeight="1" x14ac:dyDescent="0.2">
      <c r="A53" s="41"/>
      <c r="B53" s="44"/>
      <c r="C53" s="44"/>
      <c r="D53" s="44"/>
      <c r="E53" s="44"/>
      <c r="F53" s="44"/>
      <c r="G53" s="44"/>
      <c r="H53" s="44"/>
      <c r="I53" s="44"/>
      <c r="J53" s="44"/>
    </row>
    <row r="54" spans="1:10" ht="15.75" customHeight="1" x14ac:dyDescent="0.2">
      <c r="A54" s="40" t="s">
        <v>38</v>
      </c>
      <c r="B54" s="44"/>
      <c r="C54" s="44"/>
      <c r="D54" s="44"/>
      <c r="E54" s="44"/>
      <c r="F54" s="44"/>
      <c r="G54" s="44"/>
      <c r="H54" s="44"/>
      <c r="I54" s="44"/>
    </row>
    <row r="55" spans="1:10" ht="4.1500000000000004" customHeight="1" x14ac:dyDescent="0.2">
      <c r="A55" s="41"/>
      <c r="B55" s="52"/>
      <c r="C55" s="52"/>
      <c r="D55" s="52"/>
      <c r="E55" s="52"/>
      <c r="F55" s="52"/>
      <c r="G55" s="52"/>
      <c r="H55" s="52"/>
      <c r="I55" s="52"/>
    </row>
    <row r="56" spans="1:10" ht="15" customHeight="1" x14ac:dyDescent="0.2">
      <c r="A56" s="53" t="s">
        <v>9</v>
      </c>
      <c r="B56" s="54" t="s">
        <v>13</v>
      </c>
      <c r="C56" s="54"/>
      <c r="D56" s="54"/>
      <c r="E56" s="54"/>
      <c r="F56" s="42"/>
      <c r="G56" s="42"/>
      <c r="H56" s="42"/>
      <c r="I56" s="42"/>
      <c r="J56" s="42"/>
    </row>
    <row r="57" spans="1:10" ht="15" customHeight="1" x14ac:dyDescent="0.2">
      <c r="A57" s="41"/>
      <c r="B57" s="55"/>
      <c r="C57" s="55"/>
      <c r="D57" s="55"/>
      <c r="E57" s="55"/>
      <c r="F57" s="55"/>
      <c r="G57" s="55"/>
      <c r="H57" s="55"/>
      <c r="I57" s="55"/>
      <c r="J57" s="55"/>
    </row>
    <row r="58" spans="1:10" ht="15" customHeight="1" x14ac:dyDescent="0.2">
      <c r="A58" s="41"/>
      <c r="B58" s="55"/>
      <c r="C58" s="55"/>
      <c r="D58" s="55"/>
      <c r="E58" s="55"/>
      <c r="F58" s="55"/>
      <c r="G58" s="55"/>
      <c r="H58" s="55"/>
      <c r="I58" s="55"/>
      <c r="J58" s="55"/>
    </row>
    <row r="59" spans="1:10" ht="15" customHeight="1" x14ac:dyDescent="0.2">
      <c r="A59" s="41"/>
      <c r="B59" s="55"/>
      <c r="C59" s="55"/>
      <c r="D59" s="55"/>
      <c r="E59" s="55"/>
      <c r="F59" s="55"/>
      <c r="G59" s="55"/>
      <c r="H59" s="55"/>
      <c r="I59" s="55"/>
      <c r="J59" s="55"/>
    </row>
    <row r="60" spans="1:10" ht="15" customHeight="1" x14ac:dyDescent="0.2">
      <c r="A60" s="41"/>
      <c r="B60" s="55"/>
      <c r="C60" s="55"/>
      <c r="D60" s="55"/>
      <c r="E60" s="55"/>
      <c r="F60" s="55"/>
      <c r="G60" s="55"/>
      <c r="H60" s="55"/>
      <c r="I60" s="55"/>
      <c r="J60" s="55"/>
    </row>
    <row r="61" spans="1:10" ht="15" x14ac:dyDescent="0.2">
      <c r="A61" s="41"/>
      <c r="B61" s="56"/>
      <c r="C61" s="56"/>
      <c r="D61" s="56"/>
      <c r="E61" s="56"/>
      <c r="F61" s="56"/>
      <c r="G61" s="56"/>
      <c r="H61" s="56"/>
      <c r="I61" s="56"/>
      <c r="J61" s="56"/>
    </row>
    <row r="62" spans="1:10" ht="15" x14ac:dyDescent="0.2">
      <c r="A62" s="41"/>
      <c r="B62" s="56"/>
      <c r="C62" s="56"/>
      <c r="D62" s="56"/>
      <c r="E62" s="56"/>
      <c r="F62" s="56"/>
      <c r="G62" s="56"/>
      <c r="H62" s="56"/>
      <c r="I62" s="56"/>
      <c r="J62" s="56"/>
    </row>
    <row r="65" spans="1:10" ht="15" thickBot="1" x14ac:dyDescent="0.25">
      <c r="A65" s="79"/>
      <c r="B65" s="79"/>
      <c r="C65" s="79"/>
      <c r="D65" s="79"/>
      <c r="E65" s="79"/>
      <c r="F65" s="79"/>
      <c r="G65" s="79"/>
      <c r="H65" s="79"/>
      <c r="I65" s="80"/>
      <c r="J65" s="81"/>
    </row>
    <row r="66" spans="1:10" ht="18" x14ac:dyDescent="0.25">
      <c r="A66" s="58" t="s">
        <v>39</v>
      </c>
      <c r="B66" s="58"/>
      <c r="C66" s="79"/>
      <c r="D66" s="58" t="s">
        <v>40</v>
      </c>
      <c r="E66" s="58"/>
      <c r="F66" s="79"/>
      <c r="G66" s="79"/>
      <c r="H66" s="79"/>
      <c r="I66" s="59" t="s">
        <v>41</v>
      </c>
      <c r="J66" s="59"/>
    </row>
  </sheetData>
  <mergeCells count="20">
    <mergeCell ref="A8:J8"/>
    <mergeCell ref="A2:J3"/>
    <mergeCell ref="A4:J4"/>
    <mergeCell ref="A5:J5"/>
    <mergeCell ref="A6:J6"/>
    <mergeCell ref="A7:J7"/>
    <mergeCell ref="A66:B66"/>
    <mergeCell ref="D66:E66"/>
    <mergeCell ref="I66:J66"/>
    <mergeCell ref="D10:E10"/>
    <mergeCell ref="I10:J10"/>
    <mergeCell ref="A20:J22"/>
    <mergeCell ref="F24:G24"/>
    <mergeCell ref="F29:G29"/>
    <mergeCell ref="F30:G30"/>
    <mergeCell ref="B32:G34"/>
    <mergeCell ref="F38:G38"/>
    <mergeCell ref="F39:G39"/>
    <mergeCell ref="F46:J46"/>
    <mergeCell ref="B52:J52"/>
  </mergeCells>
  <pageMargins left="0.4" right="0" top="0.26" bottom="0.7" header="0.05" footer="0.3"/>
  <pageSetup paperSize="9" scale="62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Orginal</vt:lpstr>
      <vt:lpstr>Orginal!Print_Area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Jamshaid Ali</dc:creator>
  <cp:lastModifiedBy>ihsan nur rahman</cp:lastModifiedBy>
  <dcterms:created xsi:type="dcterms:W3CDTF">2022-08-12T18:34:28Z</dcterms:created>
  <dcterms:modified xsi:type="dcterms:W3CDTF">2024-07-12T04:10:58Z</dcterms:modified>
</cp:coreProperties>
</file>