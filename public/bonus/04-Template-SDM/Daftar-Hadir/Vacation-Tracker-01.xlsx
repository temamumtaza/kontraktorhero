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Template Project\HR Template\Template\"/>
    </mc:Choice>
  </mc:AlternateContent>
  <xr:revisionPtr revIDLastSave="0" documentId="13_ncr:1_{31184216-8126-4017-A0F9-40203343C5A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shboard" sheetId="3" r:id="rId1"/>
    <sheet name="Employee Leave Tracker" sheetId="1" r:id="rId2"/>
    <sheet name="Settings" sheetId="2" r:id="rId3"/>
  </sheets>
  <definedNames>
    <definedName name="calendar">daysAndWks + dateOfFirst - WEEKDAY(dateOfFirst,2)</definedName>
    <definedName name="calendar_grid">Dashboard!$H$10:$AW$32</definedName>
    <definedName name="dateOfFirst">DATE(Dashboard!$AN$5,MONTH(Dashboard!$C1),1)</definedName>
    <definedName name="daysAndWks">COLUMN(OFFSET(INDIRECT("$A$1"),0,0,1,42))-1</definedName>
    <definedName name="lstEDates">tblLeave[End Date]</definedName>
    <definedName name="lstEmployees">tblEmployees[List of Employees]</definedName>
    <definedName name="lstEmpNames">tblLeave[Employee Name]</definedName>
    <definedName name="lstHolidays">tblCompanyHolidays[Company Holidays]</definedName>
    <definedName name="lstHolidayTypes">tblLeaveTypes[Type of Leave]</definedName>
    <definedName name="lstHTypes">tblLeave[Type of Leave]</definedName>
    <definedName name="lstSdates">tblLeave[Start Date]</definedName>
    <definedName name="valSelEmployee">Dashboard!$AN$3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AR52" i="3" l="1"/>
  <c r="AJ52" i="3"/>
  <c r="AB52" i="3"/>
  <c r="T52" i="3"/>
  <c r="C32" i="3" l="1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 l="1"/>
  <c r="C13" i="3"/>
  <c r="C12" i="3"/>
  <c r="C11" i="3"/>
  <c r="C10" i="3"/>
  <c r="C9" i="3"/>
  <c r="BC29" i="3" l="1"/>
  <c r="BC31" i="3"/>
  <c r="BC9" i="3"/>
  <c r="H9" i="3" s="1"/>
  <c r="H10" i="3" s="1"/>
  <c r="BC11" i="3"/>
  <c r="H11" i="3" s="1"/>
  <c r="H12" i="3" s="1"/>
  <c r="BC13" i="3"/>
  <c r="BC15" i="3"/>
  <c r="BC17" i="3"/>
  <c r="BC19" i="3"/>
  <c r="BC21" i="3"/>
  <c r="BC23" i="3"/>
  <c r="BC25" i="3"/>
  <c r="BC27" i="3"/>
  <c r="BB29" i="3"/>
  <c r="BB31" i="3"/>
  <c r="BB9" i="3"/>
  <c r="BB11" i="3"/>
  <c r="BB13" i="3"/>
  <c r="BB15" i="3"/>
  <c r="BB17" i="3"/>
  <c r="BB19" i="3"/>
  <c r="BB21" i="3"/>
  <c r="BB23" i="3"/>
  <c r="BB25" i="3"/>
  <c r="BB27" i="3"/>
  <c r="BA29" i="3"/>
  <c r="BA31" i="3"/>
  <c r="BA9" i="3"/>
  <c r="BA11" i="3"/>
  <c r="BA13" i="3"/>
  <c r="BA15" i="3"/>
  <c r="BA17" i="3"/>
  <c r="BA19" i="3"/>
  <c r="BA21" i="3"/>
  <c r="BA23" i="3"/>
  <c r="BA25" i="3"/>
  <c r="BA27" i="3"/>
  <c r="I9" i="3" l="1"/>
  <c r="I10" i="3" s="1"/>
  <c r="H29" i="3"/>
  <c r="H31" i="3"/>
  <c r="I11" i="3"/>
  <c r="I12" i="3" s="1"/>
  <c r="H13" i="3"/>
  <c r="H14" i="3" s="1"/>
  <c r="I29" i="3" l="1"/>
  <c r="H30" i="3"/>
  <c r="I31" i="3"/>
  <c r="H32" i="3"/>
  <c r="I13" i="3"/>
  <c r="J9" i="3"/>
  <c r="K9" i="3" s="1"/>
  <c r="K10" i="3" s="1"/>
  <c r="J11" i="3"/>
  <c r="H27" i="3"/>
  <c r="H25" i="3"/>
  <c r="H23" i="3"/>
  <c r="H21" i="3"/>
  <c r="H22" i="3" s="1"/>
  <c r="H19" i="3"/>
  <c r="H20" i="3" s="1"/>
  <c r="H17" i="3"/>
  <c r="H18" i="3" s="1"/>
  <c r="H15" i="3"/>
  <c r="H16" i="3" s="1"/>
  <c r="J29" i="3" l="1"/>
  <c r="I30" i="3"/>
  <c r="I27" i="3"/>
  <c r="H28" i="3"/>
  <c r="J31" i="3"/>
  <c r="I32" i="3"/>
  <c r="I25" i="3"/>
  <c r="H26" i="3"/>
  <c r="I23" i="3"/>
  <c r="H24" i="3"/>
  <c r="I21" i="3"/>
  <c r="I19" i="3"/>
  <c r="I17" i="3"/>
  <c r="I15" i="3"/>
  <c r="J10" i="3"/>
  <c r="J13" i="3"/>
  <c r="I14" i="3"/>
  <c r="K11" i="3"/>
  <c r="J12" i="3"/>
  <c r="K29" i="3" l="1"/>
  <c r="J30" i="3"/>
  <c r="J27" i="3"/>
  <c r="I28" i="3"/>
  <c r="K31" i="3"/>
  <c r="J32" i="3"/>
  <c r="J25" i="3"/>
  <c r="I26" i="3"/>
  <c r="J23" i="3"/>
  <c r="I24" i="3"/>
  <c r="J21" i="3"/>
  <c r="I22" i="3"/>
  <c r="J19" i="3"/>
  <c r="I20" i="3"/>
  <c r="J17" i="3"/>
  <c r="I18" i="3"/>
  <c r="J15" i="3"/>
  <c r="I16" i="3"/>
  <c r="K13" i="3"/>
  <c r="J14" i="3"/>
  <c r="L11" i="3"/>
  <c r="K12" i="3"/>
  <c r="AB48" i="3"/>
  <c r="AB53" i="3" s="1"/>
  <c r="AR48" i="3"/>
  <c r="AR53" i="3" s="1"/>
  <c r="T48" i="3"/>
  <c r="T53" i="3" s="1"/>
  <c r="T42" i="3"/>
  <c r="L29" i="3" l="1"/>
  <c r="K30" i="3"/>
  <c r="K27" i="3"/>
  <c r="J28" i="3"/>
  <c r="L31" i="3"/>
  <c r="K32" i="3"/>
  <c r="K25" i="3"/>
  <c r="J26" i="3"/>
  <c r="K23" i="3"/>
  <c r="J24" i="3"/>
  <c r="K21" i="3"/>
  <c r="J22" i="3"/>
  <c r="K19" i="3"/>
  <c r="J20" i="3"/>
  <c r="K17" i="3"/>
  <c r="J18" i="3"/>
  <c r="K15" i="3"/>
  <c r="J16" i="3"/>
  <c r="L13" i="3"/>
  <c r="K14" i="3"/>
  <c r="M11" i="3"/>
  <c r="L12" i="3"/>
  <c r="AJ48" i="3"/>
  <c r="AJ53" i="3" s="1"/>
  <c r="AB38" i="3"/>
  <c r="M29" i="3" l="1"/>
  <c r="L30" i="3"/>
  <c r="L27" i="3"/>
  <c r="K28" i="3"/>
  <c r="M31" i="3"/>
  <c r="L32" i="3"/>
  <c r="L25" i="3"/>
  <c r="K26" i="3"/>
  <c r="L23" i="3"/>
  <c r="K24" i="3"/>
  <c r="L21" i="3"/>
  <c r="K22" i="3"/>
  <c r="L19" i="3"/>
  <c r="K20" i="3"/>
  <c r="L17" i="3"/>
  <c r="K18" i="3"/>
  <c r="L15" i="3"/>
  <c r="K16" i="3"/>
  <c r="M13" i="3"/>
  <c r="L14" i="3"/>
  <c r="N11" i="3"/>
  <c r="M12" i="3"/>
  <c r="L42" i="3"/>
  <c r="N29" i="3" l="1"/>
  <c r="M30" i="3"/>
  <c r="M27" i="3"/>
  <c r="L28" i="3"/>
  <c r="N31" i="3"/>
  <c r="M32" i="3"/>
  <c r="M25" i="3"/>
  <c r="L26" i="3"/>
  <c r="M23" i="3"/>
  <c r="L24" i="3"/>
  <c r="M21" i="3"/>
  <c r="L22" i="3"/>
  <c r="M19" i="3"/>
  <c r="L20" i="3"/>
  <c r="M17" i="3"/>
  <c r="L18" i="3"/>
  <c r="M15" i="3"/>
  <c r="L16" i="3"/>
  <c r="N13" i="3"/>
  <c r="M14" i="3"/>
  <c r="O11" i="3"/>
  <c r="N12" i="3"/>
  <c r="L38" i="3"/>
  <c r="O29" i="3" l="1"/>
  <c r="N30" i="3"/>
  <c r="N27" i="3"/>
  <c r="M28" i="3"/>
  <c r="O31" i="3"/>
  <c r="N32" i="3"/>
  <c r="N25" i="3"/>
  <c r="M26" i="3"/>
  <c r="N23" i="3"/>
  <c r="M24" i="3"/>
  <c r="N21" i="3"/>
  <c r="M22" i="3"/>
  <c r="N19" i="3"/>
  <c r="M20" i="3"/>
  <c r="N17" i="3"/>
  <c r="M18" i="3"/>
  <c r="N15" i="3"/>
  <c r="M16" i="3"/>
  <c r="O13" i="3"/>
  <c r="N14" i="3"/>
  <c r="P11" i="3"/>
  <c r="O12" i="3"/>
  <c r="L43" i="3"/>
  <c r="P29" i="3" l="1"/>
  <c r="O30" i="3"/>
  <c r="O27" i="3"/>
  <c r="N28" i="3"/>
  <c r="P31" i="3"/>
  <c r="O32" i="3"/>
  <c r="O25" i="3"/>
  <c r="N26" i="3"/>
  <c r="O23" i="3"/>
  <c r="N24" i="3"/>
  <c r="O21" i="3"/>
  <c r="N22" i="3"/>
  <c r="O19" i="3"/>
  <c r="N20" i="3"/>
  <c r="O17" i="3"/>
  <c r="N18" i="3"/>
  <c r="O15" i="3"/>
  <c r="N16" i="3"/>
  <c r="P13" i="3"/>
  <c r="O14" i="3"/>
  <c r="Q11" i="3"/>
  <c r="P12" i="3"/>
  <c r="T38" i="3"/>
  <c r="Q29" i="3" l="1"/>
  <c r="P30" i="3"/>
  <c r="P27" i="3"/>
  <c r="O28" i="3"/>
  <c r="Q31" i="3"/>
  <c r="P32" i="3"/>
  <c r="P25" i="3"/>
  <c r="O26" i="3"/>
  <c r="P23" i="3"/>
  <c r="O24" i="3"/>
  <c r="P21" i="3"/>
  <c r="O22" i="3"/>
  <c r="P19" i="3"/>
  <c r="O20" i="3"/>
  <c r="P17" i="3"/>
  <c r="O18" i="3"/>
  <c r="P15" i="3"/>
  <c r="O16" i="3"/>
  <c r="Q13" i="3"/>
  <c r="P14" i="3"/>
  <c r="R11" i="3"/>
  <c r="Q12" i="3"/>
  <c r="AJ42" i="3"/>
  <c r="T43" i="3"/>
  <c r="AR38" i="3"/>
  <c r="AR42" i="3"/>
  <c r="AB42" i="3"/>
  <c r="D42" i="3"/>
  <c r="AJ38" i="3"/>
  <c r="D38" i="3"/>
  <c r="R29" i="3" l="1"/>
  <c r="Q30" i="3"/>
  <c r="Q27" i="3"/>
  <c r="P28" i="3"/>
  <c r="R31" i="3"/>
  <c r="Q32" i="3"/>
  <c r="Q25" i="3"/>
  <c r="P26" i="3"/>
  <c r="Q23" i="3"/>
  <c r="P24" i="3"/>
  <c r="Q21" i="3"/>
  <c r="P22" i="3"/>
  <c r="Q19" i="3"/>
  <c r="P20" i="3"/>
  <c r="Q17" i="3"/>
  <c r="P18" i="3"/>
  <c r="Q15" i="3"/>
  <c r="P16" i="3"/>
  <c r="R13" i="3"/>
  <c r="Q14" i="3"/>
  <c r="S11" i="3"/>
  <c r="R12" i="3"/>
  <c r="AJ43" i="3"/>
  <c r="D43" i="3"/>
  <c r="AR43" i="3"/>
  <c r="AB43" i="3"/>
  <c r="L9" i="3"/>
  <c r="S29" i="3" l="1"/>
  <c r="R30" i="3"/>
  <c r="R27" i="3"/>
  <c r="Q28" i="3"/>
  <c r="S31" i="3"/>
  <c r="R32" i="3"/>
  <c r="R25" i="3"/>
  <c r="Q26" i="3"/>
  <c r="R23" i="3"/>
  <c r="Q24" i="3"/>
  <c r="R21" i="3"/>
  <c r="Q22" i="3"/>
  <c r="R19" i="3"/>
  <c r="Q20" i="3"/>
  <c r="R17" i="3"/>
  <c r="Q18" i="3"/>
  <c r="R15" i="3"/>
  <c r="Q16" i="3"/>
  <c r="S13" i="3"/>
  <c r="R14" i="3"/>
  <c r="T11" i="3"/>
  <c r="S12" i="3"/>
  <c r="M9" i="3"/>
  <c r="L10" i="3"/>
  <c r="T29" i="3" l="1"/>
  <c r="S30" i="3"/>
  <c r="S27" i="3"/>
  <c r="R28" i="3"/>
  <c r="T31" i="3"/>
  <c r="S32" i="3"/>
  <c r="S25" i="3"/>
  <c r="R26" i="3"/>
  <c r="S23" i="3"/>
  <c r="R24" i="3"/>
  <c r="S21" i="3"/>
  <c r="R22" i="3"/>
  <c r="S19" i="3"/>
  <c r="R20" i="3"/>
  <c r="S17" i="3"/>
  <c r="R18" i="3"/>
  <c r="S15" i="3"/>
  <c r="R16" i="3"/>
  <c r="T13" i="3"/>
  <c r="S14" i="3"/>
  <c r="U11" i="3"/>
  <c r="T12" i="3"/>
  <c r="N9" i="3"/>
  <c r="M10" i="3"/>
  <c r="U29" i="3" l="1"/>
  <c r="T30" i="3"/>
  <c r="T27" i="3"/>
  <c r="S28" i="3"/>
  <c r="U31" i="3"/>
  <c r="T32" i="3"/>
  <c r="T25" i="3"/>
  <c r="S26" i="3"/>
  <c r="T23" i="3"/>
  <c r="S24" i="3"/>
  <c r="T21" i="3"/>
  <c r="S22" i="3"/>
  <c r="T19" i="3"/>
  <c r="S20" i="3"/>
  <c r="T17" i="3"/>
  <c r="S18" i="3"/>
  <c r="T15" i="3"/>
  <c r="S16" i="3"/>
  <c r="U13" i="3"/>
  <c r="T14" i="3"/>
  <c r="V11" i="3"/>
  <c r="U12" i="3"/>
  <c r="O9" i="3"/>
  <c r="N10" i="3"/>
  <c r="V29" i="3" l="1"/>
  <c r="U30" i="3"/>
  <c r="U27" i="3"/>
  <c r="T28" i="3"/>
  <c r="V31" i="3"/>
  <c r="U32" i="3"/>
  <c r="U25" i="3"/>
  <c r="T26" i="3"/>
  <c r="U23" i="3"/>
  <c r="T24" i="3"/>
  <c r="U21" i="3"/>
  <c r="T22" i="3"/>
  <c r="U19" i="3"/>
  <c r="T20" i="3"/>
  <c r="U17" i="3"/>
  <c r="T18" i="3"/>
  <c r="U15" i="3"/>
  <c r="T16" i="3"/>
  <c r="V13" i="3"/>
  <c r="U14" i="3"/>
  <c r="W11" i="3"/>
  <c r="V12" i="3"/>
  <c r="P9" i="3"/>
  <c r="O10" i="3"/>
  <c r="W29" i="3" l="1"/>
  <c r="V30" i="3"/>
  <c r="V27" i="3"/>
  <c r="U28" i="3"/>
  <c r="W31" i="3"/>
  <c r="V32" i="3"/>
  <c r="V25" i="3"/>
  <c r="U26" i="3"/>
  <c r="V23" i="3"/>
  <c r="U24" i="3"/>
  <c r="V21" i="3"/>
  <c r="U22" i="3"/>
  <c r="V19" i="3"/>
  <c r="U20" i="3"/>
  <c r="V17" i="3"/>
  <c r="U18" i="3"/>
  <c r="V15" i="3"/>
  <c r="U16" i="3"/>
  <c r="W13" i="3"/>
  <c r="V14" i="3"/>
  <c r="X11" i="3"/>
  <c r="W12" i="3"/>
  <c r="Q9" i="3"/>
  <c r="P10" i="3"/>
  <c r="X29" i="3" l="1"/>
  <c r="W30" i="3"/>
  <c r="W27" i="3"/>
  <c r="V28" i="3"/>
  <c r="X31" i="3"/>
  <c r="W32" i="3"/>
  <c r="W25" i="3"/>
  <c r="V26" i="3"/>
  <c r="W23" i="3"/>
  <c r="V24" i="3"/>
  <c r="W21" i="3"/>
  <c r="V22" i="3"/>
  <c r="W19" i="3"/>
  <c r="V20" i="3"/>
  <c r="W17" i="3"/>
  <c r="V18" i="3"/>
  <c r="W15" i="3"/>
  <c r="V16" i="3"/>
  <c r="X13" i="3"/>
  <c r="W14" i="3"/>
  <c r="Y11" i="3"/>
  <c r="X12" i="3"/>
  <c r="R9" i="3"/>
  <c r="Q10" i="3"/>
  <c r="Y29" i="3" l="1"/>
  <c r="X30" i="3"/>
  <c r="X27" i="3"/>
  <c r="W28" i="3"/>
  <c r="Y31" i="3"/>
  <c r="X32" i="3"/>
  <c r="X25" i="3"/>
  <c r="W26" i="3"/>
  <c r="X23" i="3"/>
  <c r="W24" i="3"/>
  <c r="X21" i="3"/>
  <c r="W22" i="3"/>
  <c r="X19" i="3"/>
  <c r="W20" i="3"/>
  <c r="X17" i="3"/>
  <c r="W18" i="3"/>
  <c r="X15" i="3"/>
  <c r="W16" i="3"/>
  <c r="Y13" i="3"/>
  <c r="X14" i="3"/>
  <c r="Z11" i="3"/>
  <c r="Y12" i="3"/>
  <c r="S9" i="3"/>
  <c r="R10" i="3"/>
  <c r="Z29" i="3" l="1"/>
  <c r="Y30" i="3"/>
  <c r="Y27" i="3"/>
  <c r="X28" i="3"/>
  <c r="Z31" i="3"/>
  <c r="Y32" i="3"/>
  <c r="Y25" i="3"/>
  <c r="X26" i="3"/>
  <c r="Y23" i="3"/>
  <c r="X24" i="3"/>
  <c r="Y21" i="3"/>
  <c r="X22" i="3"/>
  <c r="Y19" i="3"/>
  <c r="X20" i="3"/>
  <c r="Y17" i="3"/>
  <c r="X18" i="3"/>
  <c r="Y15" i="3"/>
  <c r="X16" i="3"/>
  <c r="Z13" i="3"/>
  <c r="Y14" i="3"/>
  <c r="AA11" i="3"/>
  <c r="Z12" i="3"/>
  <c r="T9" i="3"/>
  <c r="S10" i="3"/>
  <c r="AA29" i="3" l="1"/>
  <c r="Z30" i="3"/>
  <c r="Z27" i="3"/>
  <c r="Y28" i="3"/>
  <c r="AA31" i="3"/>
  <c r="Z32" i="3"/>
  <c r="Z25" i="3"/>
  <c r="Y26" i="3"/>
  <c r="Z23" i="3"/>
  <c r="Y24" i="3"/>
  <c r="Z21" i="3"/>
  <c r="Y22" i="3"/>
  <c r="Z19" i="3"/>
  <c r="Y20" i="3"/>
  <c r="Z17" i="3"/>
  <c r="Y18" i="3"/>
  <c r="Z15" i="3"/>
  <c r="Y16" i="3"/>
  <c r="AA13" i="3"/>
  <c r="Z14" i="3"/>
  <c r="AB11" i="3"/>
  <c r="AA12" i="3"/>
  <c r="U9" i="3"/>
  <c r="T10" i="3"/>
  <c r="AB29" i="3" l="1"/>
  <c r="AA30" i="3"/>
  <c r="AA27" i="3"/>
  <c r="Z28" i="3"/>
  <c r="AB31" i="3"/>
  <c r="AA32" i="3"/>
  <c r="AA25" i="3"/>
  <c r="Z26" i="3"/>
  <c r="AA23" i="3"/>
  <c r="Z24" i="3"/>
  <c r="AA21" i="3"/>
  <c r="Z22" i="3"/>
  <c r="AA19" i="3"/>
  <c r="Z20" i="3"/>
  <c r="AA17" i="3"/>
  <c r="Z18" i="3"/>
  <c r="AA15" i="3"/>
  <c r="Z16" i="3"/>
  <c r="AB13" i="3"/>
  <c r="AA14" i="3"/>
  <c r="AC11" i="3"/>
  <c r="AB12" i="3"/>
  <c r="V9" i="3"/>
  <c r="U10" i="3"/>
  <c r="AC29" i="3" l="1"/>
  <c r="AB30" i="3"/>
  <c r="AB27" i="3"/>
  <c r="AA28" i="3"/>
  <c r="AC31" i="3"/>
  <c r="AB32" i="3"/>
  <c r="AB25" i="3"/>
  <c r="AA26" i="3"/>
  <c r="AB23" i="3"/>
  <c r="AA24" i="3"/>
  <c r="AB21" i="3"/>
  <c r="AA22" i="3"/>
  <c r="AB19" i="3"/>
  <c r="AA20" i="3"/>
  <c r="AB17" i="3"/>
  <c r="AA18" i="3"/>
  <c r="AB15" i="3"/>
  <c r="AA16" i="3"/>
  <c r="AC13" i="3"/>
  <c r="AB14" i="3"/>
  <c r="AD11" i="3"/>
  <c r="AC12" i="3"/>
  <c r="W9" i="3"/>
  <c r="V10" i="3"/>
  <c r="AD29" i="3" l="1"/>
  <c r="AC30" i="3"/>
  <c r="AC27" i="3"/>
  <c r="AB28" i="3"/>
  <c r="AD31" i="3"/>
  <c r="AC32" i="3"/>
  <c r="AC25" i="3"/>
  <c r="AB26" i="3"/>
  <c r="AC23" i="3"/>
  <c r="AB24" i="3"/>
  <c r="AC21" i="3"/>
  <c r="AB22" i="3"/>
  <c r="AC19" i="3"/>
  <c r="AB20" i="3"/>
  <c r="AC17" i="3"/>
  <c r="AB18" i="3"/>
  <c r="AC15" i="3"/>
  <c r="AB16" i="3"/>
  <c r="AD13" i="3"/>
  <c r="AC14" i="3"/>
  <c r="AE11" i="3"/>
  <c r="AD12" i="3"/>
  <c r="X9" i="3"/>
  <c r="W10" i="3"/>
  <c r="AE29" i="3" l="1"/>
  <c r="AD30" i="3"/>
  <c r="AD27" i="3"/>
  <c r="AC28" i="3"/>
  <c r="AE31" i="3"/>
  <c r="AD32" i="3"/>
  <c r="AD25" i="3"/>
  <c r="AC26" i="3"/>
  <c r="AD23" i="3"/>
  <c r="AC24" i="3"/>
  <c r="AD21" i="3"/>
  <c r="AC22" i="3"/>
  <c r="AD19" i="3"/>
  <c r="AC20" i="3"/>
  <c r="AD17" i="3"/>
  <c r="AC18" i="3"/>
  <c r="AD15" i="3"/>
  <c r="AC16" i="3"/>
  <c r="AE13" i="3"/>
  <c r="AD14" i="3"/>
  <c r="AF11" i="3"/>
  <c r="AE12" i="3"/>
  <c r="Y9" i="3"/>
  <c r="X10" i="3"/>
  <c r="AF29" i="3" l="1"/>
  <c r="AE30" i="3"/>
  <c r="AE27" i="3"/>
  <c r="AD28" i="3"/>
  <c r="AF31" i="3"/>
  <c r="AE32" i="3"/>
  <c r="AE25" i="3"/>
  <c r="AD26" i="3"/>
  <c r="AE23" i="3"/>
  <c r="AD24" i="3"/>
  <c r="AE21" i="3"/>
  <c r="AD22" i="3"/>
  <c r="AE19" i="3"/>
  <c r="AD20" i="3"/>
  <c r="AE17" i="3"/>
  <c r="AD18" i="3"/>
  <c r="AE15" i="3"/>
  <c r="AD16" i="3"/>
  <c r="AF13" i="3"/>
  <c r="AE14" i="3"/>
  <c r="AG11" i="3"/>
  <c r="AF12" i="3"/>
  <c r="Z9" i="3"/>
  <c r="Y10" i="3"/>
  <c r="AG29" i="3" l="1"/>
  <c r="AF30" i="3"/>
  <c r="AF27" i="3"/>
  <c r="AE28" i="3"/>
  <c r="AG31" i="3"/>
  <c r="AF32" i="3"/>
  <c r="AF25" i="3"/>
  <c r="AE26" i="3"/>
  <c r="AF23" i="3"/>
  <c r="AE24" i="3"/>
  <c r="AF21" i="3"/>
  <c r="AE22" i="3"/>
  <c r="AF19" i="3"/>
  <c r="AE20" i="3"/>
  <c r="AF17" i="3"/>
  <c r="AE18" i="3"/>
  <c r="AF15" i="3"/>
  <c r="AE16" i="3"/>
  <c r="AG13" i="3"/>
  <c r="AF14" i="3"/>
  <c r="AH11" i="3"/>
  <c r="AG12" i="3"/>
  <c r="AA9" i="3"/>
  <c r="Z10" i="3"/>
  <c r="AH29" i="3" l="1"/>
  <c r="AG30" i="3"/>
  <c r="AG27" i="3"/>
  <c r="AF28" i="3"/>
  <c r="AH31" i="3"/>
  <c r="AG32" i="3"/>
  <c r="AG25" i="3"/>
  <c r="AF26" i="3"/>
  <c r="AG23" i="3"/>
  <c r="AF24" i="3"/>
  <c r="AG21" i="3"/>
  <c r="AF22" i="3"/>
  <c r="AG19" i="3"/>
  <c r="AF20" i="3"/>
  <c r="AG17" i="3"/>
  <c r="AF18" i="3"/>
  <c r="AG15" i="3"/>
  <c r="AF16" i="3"/>
  <c r="AH13" i="3"/>
  <c r="AG14" i="3"/>
  <c r="AI11" i="3"/>
  <c r="AH12" i="3"/>
  <c r="AB9" i="3"/>
  <c r="AA10" i="3"/>
  <c r="AI29" i="3" l="1"/>
  <c r="AH30" i="3"/>
  <c r="AH27" i="3"/>
  <c r="AG28" i="3"/>
  <c r="AI31" i="3"/>
  <c r="AH32" i="3"/>
  <c r="AH25" i="3"/>
  <c r="AG26" i="3"/>
  <c r="AH23" i="3"/>
  <c r="AG24" i="3"/>
  <c r="AH21" i="3"/>
  <c r="AG22" i="3"/>
  <c r="AH19" i="3"/>
  <c r="AG20" i="3"/>
  <c r="AH17" i="3"/>
  <c r="AG18" i="3"/>
  <c r="AH15" i="3"/>
  <c r="AG16" i="3"/>
  <c r="AI13" i="3"/>
  <c r="AH14" i="3"/>
  <c r="AJ11" i="3"/>
  <c r="AI12" i="3"/>
  <c r="AC9" i="3"/>
  <c r="AB10" i="3"/>
  <c r="AJ29" i="3" l="1"/>
  <c r="AI30" i="3"/>
  <c r="AI27" i="3"/>
  <c r="AH28" i="3"/>
  <c r="AJ31" i="3"/>
  <c r="AI32" i="3"/>
  <c r="AI25" i="3"/>
  <c r="AH26" i="3"/>
  <c r="AI23" i="3"/>
  <c r="AH24" i="3"/>
  <c r="AI21" i="3"/>
  <c r="AH22" i="3"/>
  <c r="AI19" i="3"/>
  <c r="AH20" i="3"/>
  <c r="AI17" i="3"/>
  <c r="AH18" i="3"/>
  <c r="AI15" i="3"/>
  <c r="AH16" i="3"/>
  <c r="AJ13" i="3"/>
  <c r="AI14" i="3"/>
  <c r="AK11" i="3"/>
  <c r="AJ12" i="3"/>
  <c r="AD9" i="3"/>
  <c r="AC10" i="3"/>
  <c r="AK29" i="3" l="1"/>
  <c r="AJ30" i="3"/>
  <c r="AJ27" i="3"/>
  <c r="AI28" i="3"/>
  <c r="AK31" i="3"/>
  <c r="AJ32" i="3"/>
  <c r="AJ25" i="3"/>
  <c r="AI26" i="3"/>
  <c r="AJ23" i="3"/>
  <c r="AI24" i="3"/>
  <c r="AJ21" i="3"/>
  <c r="AI22" i="3"/>
  <c r="AJ19" i="3"/>
  <c r="AI20" i="3"/>
  <c r="AJ17" i="3"/>
  <c r="AI18" i="3"/>
  <c r="AJ15" i="3"/>
  <c r="AI16" i="3"/>
  <c r="AK13" i="3"/>
  <c r="AJ14" i="3"/>
  <c r="AL11" i="3"/>
  <c r="AK12" i="3"/>
  <c r="AE9" i="3"/>
  <c r="AD10" i="3"/>
  <c r="AL29" i="3" l="1"/>
  <c r="AK30" i="3"/>
  <c r="AK27" i="3"/>
  <c r="AJ28" i="3"/>
  <c r="AL31" i="3"/>
  <c r="AK32" i="3"/>
  <c r="AK25" i="3"/>
  <c r="AJ26" i="3"/>
  <c r="AK23" i="3"/>
  <c r="AJ24" i="3"/>
  <c r="AK21" i="3"/>
  <c r="AJ22" i="3"/>
  <c r="AK19" i="3"/>
  <c r="AJ20" i="3"/>
  <c r="AK17" i="3"/>
  <c r="AJ18" i="3"/>
  <c r="AK15" i="3"/>
  <c r="AJ16" i="3"/>
  <c r="AL13" i="3"/>
  <c r="AK14" i="3"/>
  <c r="AM11" i="3"/>
  <c r="AL12" i="3"/>
  <c r="AF9" i="3"/>
  <c r="AE10" i="3"/>
  <c r="AM29" i="3" l="1"/>
  <c r="AL30" i="3"/>
  <c r="AL27" i="3"/>
  <c r="AK28" i="3"/>
  <c r="AM31" i="3"/>
  <c r="AL32" i="3"/>
  <c r="AL25" i="3"/>
  <c r="AK26" i="3"/>
  <c r="AL23" i="3"/>
  <c r="AK24" i="3"/>
  <c r="AL21" i="3"/>
  <c r="AK22" i="3"/>
  <c r="AL19" i="3"/>
  <c r="AK20" i="3"/>
  <c r="AL17" i="3"/>
  <c r="AK18" i="3"/>
  <c r="AL15" i="3"/>
  <c r="AK16" i="3"/>
  <c r="AM13" i="3"/>
  <c r="AL14" i="3"/>
  <c r="AN11" i="3"/>
  <c r="AM12" i="3"/>
  <c r="AG9" i="3"/>
  <c r="AF10" i="3"/>
  <c r="AN29" i="3" l="1"/>
  <c r="AM30" i="3"/>
  <c r="AM27" i="3"/>
  <c r="AL28" i="3"/>
  <c r="AN31" i="3"/>
  <c r="AM32" i="3"/>
  <c r="AM25" i="3"/>
  <c r="AL26" i="3"/>
  <c r="AM23" i="3"/>
  <c r="AL24" i="3"/>
  <c r="AM21" i="3"/>
  <c r="AL22" i="3"/>
  <c r="AM19" i="3"/>
  <c r="AL20" i="3"/>
  <c r="AM17" i="3"/>
  <c r="AL18" i="3"/>
  <c r="AM15" i="3"/>
  <c r="AL16" i="3"/>
  <c r="AN13" i="3"/>
  <c r="AM14" i="3"/>
  <c r="AO11" i="3"/>
  <c r="AN12" i="3"/>
  <c r="AH9" i="3"/>
  <c r="AG10" i="3"/>
  <c r="AO29" i="3" l="1"/>
  <c r="AN30" i="3"/>
  <c r="AN27" i="3"/>
  <c r="AM28" i="3"/>
  <c r="AO31" i="3"/>
  <c r="AN32" i="3"/>
  <c r="AN25" i="3"/>
  <c r="AM26" i="3"/>
  <c r="AN23" i="3"/>
  <c r="AM24" i="3"/>
  <c r="AN21" i="3"/>
  <c r="AM22" i="3"/>
  <c r="AN19" i="3"/>
  <c r="AM20" i="3"/>
  <c r="AN17" i="3"/>
  <c r="AM18" i="3"/>
  <c r="AN15" i="3"/>
  <c r="AM16" i="3"/>
  <c r="AO13" i="3"/>
  <c r="AN14" i="3"/>
  <c r="AP11" i="3"/>
  <c r="AO12" i="3"/>
  <c r="AI9" i="3"/>
  <c r="AH10" i="3"/>
  <c r="AP29" i="3" l="1"/>
  <c r="AO30" i="3"/>
  <c r="AO27" i="3"/>
  <c r="AN28" i="3"/>
  <c r="AP31" i="3"/>
  <c r="AO32" i="3"/>
  <c r="AO25" i="3"/>
  <c r="AN26" i="3"/>
  <c r="AO23" i="3"/>
  <c r="AN24" i="3"/>
  <c r="AO21" i="3"/>
  <c r="AN22" i="3"/>
  <c r="AO19" i="3"/>
  <c r="AN20" i="3"/>
  <c r="AO17" i="3"/>
  <c r="AN18" i="3"/>
  <c r="AO15" i="3"/>
  <c r="AN16" i="3"/>
  <c r="AP13" i="3"/>
  <c r="AO14" i="3"/>
  <c r="AQ11" i="3"/>
  <c r="AP12" i="3"/>
  <c r="AJ9" i="3"/>
  <c r="AI10" i="3"/>
  <c r="AQ29" i="3" l="1"/>
  <c r="AP30" i="3"/>
  <c r="AP27" i="3"/>
  <c r="AO28" i="3"/>
  <c r="AQ31" i="3"/>
  <c r="AP32" i="3"/>
  <c r="AP25" i="3"/>
  <c r="AO26" i="3"/>
  <c r="AP23" i="3"/>
  <c r="AO24" i="3"/>
  <c r="AP21" i="3"/>
  <c r="AO22" i="3"/>
  <c r="AP19" i="3"/>
  <c r="AO20" i="3"/>
  <c r="AP17" i="3"/>
  <c r="AO18" i="3"/>
  <c r="AP15" i="3"/>
  <c r="AO16" i="3"/>
  <c r="AQ13" i="3"/>
  <c r="AP14" i="3"/>
  <c r="AR11" i="3"/>
  <c r="AQ12" i="3"/>
  <c r="AK9" i="3"/>
  <c r="AJ10" i="3"/>
  <c r="AR29" i="3" l="1"/>
  <c r="AQ30" i="3"/>
  <c r="AQ27" i="3"/>
  <c r="AP28" i="3"/>
  <c r="AR31" i="3"/>
  <c r="AQ32" i="3"/>
  <c r="AQ25" i="3"/>
  <c r="AP26" i="3"/>
  <c r="AQ23" i="3"/>
  <c r="AP24" i="3"/>
  <c r="AQ21" i="3"/>
  <c r="AP22" i="3"/>
  <c r="AQ19" i="3"/>
  <c r="AP20" i="3"/>
  <c r="AQ17" i="3"/>
  <c r="AP18" i="3"/>
  <c r="AQ15" i="3"/>
  <c r="AP16" i="3"/>
  <c r="AR13" i="3"/>
  <c r="AQ14" i="3"/>
  <c r="AS11" i="3"/>
  <c r="AR12" i="3"/>
  <c r="AL9" i="3"/>
  <c r="AK10" i="3"/>
  <c r="AS29" i="3" l="1"/>
  <c r="AR30" i="3"/>
  <c r="AR27" i="3"/>
  <c r="AQ28" i="3"/>
  <c r="AS31" i="3"/>
  <c r="AR32" i="3"/>
  <c r="AR25" i="3"/>
  <c r="AQ26" i="3"/>
  <c r="AR23" i="3"/>
  <c r="AQ24" i="3"/>
  <c r="AR21" i="3"/>
  <c r="AQ22" i="3"/>
  <c r="AR19" i="3"/>
  <c r="AQ20" i="3"/>
  <c r="AR17" i="3"/>
  <c r="AQ18" i="3"/>
  <c r="AR15" i="3"/>
  <c r="AQ16" i="3"/>
  <c r="AS13" i="3"/>
  <c r="AR14" i="3"/>
  <c r="AT11" i="3"/>
  <c r="AS12" i="3"/>
  <c r="AM9" i="3"/>
  <c r="AL10" i="3"/>
  <c r="AT29" i="3" l="1"/>
  <c r="AS30" i="3"/>
  <c r="AS27" i="3"/>
  <c r="AR28" i="3"/>
  <c r="AT31" i="3"/>
  <c r="AS32" i="3"/>
  <c r="AS25" i="3"/>
  <c r="AR26" i="3"/>
  <c r="AS23" i="3"/>
  <c r="AR24" i="3"/>
  <c r="AS21" i="3"/>
  <c r="AR22" i="3"/>
  <c r="AS19" i="3"/>
  <c r="AR20" i="3"/>
  <c r="AS17" i="3"/>
  <c r="AR18" i="3"/>
  <c r="AS15" i="3"/>
  <c r="AR16" i="3"/>
  <c r="AT13" i="3"/>
  <c r="AS14" i="3"/>
  <c r="AU11" i="3"/>
  <c r="AT12" i="3"/>
  <c r="AN9" i="3"/>
  <c r="AN10" i="3" s="1"/>
  <c r="AM10" i="3"/>
  <c r="AU29" i="3" l="1"/>
  <c r="AT30" i="3"/>
  <c r="AT27" i="3"/>
  <c r="AS28" i="3"/>
  <c r="AU31" i="3"/>
  <c r="AT32" i="3"/>
  <c r="AT25" i="3"/>
  <c r="AS26" i="3"/>
  <c r="AT23" i="3"/>
  <c r="AS24" i="3"/>
  <c r="AT21" i="3"/>
  <c r="AS22" i="3"/>
  <c r="AT19" i="3"/>
  <c r="AS20" i="3"/>
  <c r="AT17" i="3"/>
  <c r="AS18" i="3"/>
  <c r="AT15" i="3"/>
  <c r="AS16" i="3"/>
  <c r="AU13" i="3"/>
  <c r="AT14" i="3"/>
  <c r="AV11" i="3"/>
  <c r="AU12" i="3"/>
  <c r="AO9" i="3"/>
  <c r="AV29" i="3" l="1"/>
  <c r="AU30" i="3"/>
  <c r="AU27" i="3"/>
  <c r="AT28" i="3"/>
  <c r="AV31" i="3"/>
  <c r="AU32" i="3"/>
  <c r="AU25" i="3"/>
  <c r="AT26" i="3"/>
  <c r="AU23" i="3"/>
  <c r="AT24" i="3"/>
  <c r="AU21" i="3"/>
  <c r="AT22" i="3"/>
  <c r="AU19" i="3"/>
  <c r="AT20" i="3"/>
  <c r="AU17" i="3"/>
  <c r="AT18" i="3"/>
  <c r="AU15" i="3"/>
  <c r="AT16" i="3"/>
  <c r="AV13" i="3"/>
  <c r="AU14" i="3"/>
  <c r="AW11" i="3"/>
  <c r="AW12" i="3" s="1"/>
  <c r="AV12" i="3"/>
  <c r="AP9" i="3"/>
  <c r="AO10" i="3"/>
  <c r="AW29" i="3" l="1"/>
  <c r="AW30" i="3" s="1"/>
  <c r="AV30" i="3"/>
  <c r="AV27" i="3"/>
  <c r="AU28" i="3"/>
  <c r="AW31" i="3"/>
  <c r="AW32" i="3" s="1"/>
  <c r="AV32" i="3"/>
  <c r="AV25" i="3"/>
  <c r="AU26" i="3"/>
  <c r="AV23" i="3"/>
  <c r="AU24" i="3"/>
  <c r="AV21" i="3"/>
  <c r="AU22" i="3"/>
  <c r="AV19" i="3"/>
  <c r="AU20" i="3"/>
  <c r="AV17" i="3"/>
  <c r="AU18" i="3"/>
  <c r="AV15" i="3"/>
  <c r="AU16" i="3"/>
  <c r="AW13" i="3"/>
  <c r="AW14" i="3" s="1"/>
  <c r="AV14" i="3"/>
  <c r="AQ9" i="3"/>
  <c r="AP10" i="3"/>
  <c r="AW27" i="3" l="1"/>
  <c r="AW28" i="3" s="1"/>
  <c r="AV28" i="3"/>
  <c r="AW25" i="3"/>
  <c r="AW26" i="3" s="1"/>
  <c r="AV26" i="3"/>
  <c r="AW23" i="3"/>
  <c r="AW24" i="3" s="1"/>
  <c r="AV24" i="3"/>
  <c r="AW21" i="3"/>
  <c r="AW22" i="3" s="1"/>
  <c r="AV22" i="3"/>
  <c r="AW19" i="3"/>
  <c r="AW20" i="3" s="1"/>
  <c r="AV20" i="3"/>
  <c r="AW17" i="3"/>
  <c r="AW18" i="3" s="1"/>
  <c r="AV18" i="3"/>
  <c r="AW15" i="3"/>
  <c r="AW16" i="3" s="1"/>
  <c r="AV16" i="3"/>
  <c r="AR9" i="3"/>
  <c r="AQ10" i="3"/>
  <c r="AS9" i="3" l="1"/>
  <c r="AR10" i="3"/>
  <c r="AT9" i="3" l="1"/>
  <c r="AS10" i="3"/>
  <c r="AU9" i="3" l="1"/>
  <c r="AT10" i="3"/>
  <c r="AV9" i="3" l="1"/>
  <c r="AU10" i="3"/>
  <c r="AW9" i="3" l="1"/>
  <c r="AW10" i="3" s="1"/>
  <c r="AV10" i="3"/>
</calcChain>
</file>

<file path=xl/sharedStrings.xml><?xml version="1.0" encoding="utf-8"?>
<sst xmlns="http://schemas.openxmlformats.org/spreadsheetml/2006/main" count="114" uniqueCount="73">
  <si>
    <t>Employee Name</t>
  </si>
  <si>
    <t>Sick Leave</t>
  </si>
  <si>
    <t>Bereavement</t>
  </si>
  <si>
    <t>Other</t>
  </si>
  <si>
    <t>List of Employees</t>
  </si>
  <si>
    <t>S</t>
  </si>
  <si>
    <t>M</t>
  </si>
  <si>
    <t>T</t>
  </si>
  <si>
    <t>W</t>
  </si>
  <si>
    <t>F</t>
  </si>
  <si>
    <t>Start Date</t>
  </si>
  <si>
    <t>End Date</t>
  </si>
  <si>
    <t># of Days Sick</t>
  </si>
  <si>
    <t>on Bereavement</t>
  </si>
  <si>
    <t>on Other</t>
  </si>
  <si>
    <t>Days on Leave</t>
  </si>
  <si>
    <t>Working Days</t>
  </si>
  <si>
    <t>Company Holidays</t>
  </si>
  <si>
    <t>Days</t>
  </si>
  <si>
    <t>Description</t>
  </si>
  <si>
    <t>New Year's Day</t>
  </si>
  <si>
    <t>EMPLOYEE ATTENDANCE RECORD</t>
  </si>
  <si>
    <t>on Vacation</t>
  </si>
  <si>
    <t>Vacation</t>
  </si>
  <si>
    <t>Type of Leave</t>
  </si>
  <si>
    <t>KEY STATISTICS</t>
  </si>
  <si>
    <t>Select an Employee:</t>
  </si>
  <si>
    <t>Select a Year:</t>
  </si>
  <si>
    <t>Catharine Campbell</t>
  </si>
  <si>
    <t>Family Day</t>
  </si>
  <si>
    <t>Good Friday</t>
  </si>
  <si>
    <t>Easter Monday</t>
  </si>
  <si>
    <t>Victoria Day</t>
  </si>
  <si>
    <t>First Nations Day</t>
  </si>
  <si>
    <t>Canada Day</t>
  </si>
  <si>
    <t>Civic Holiday</t>
  </si>
  <si>
    <t>Labour Day</t>
  </si>
  <si>
    <t>Thanksgiving Day</t>
  </si>
  <si>
    <t>Rememberance Day</t>
  </si>
  <si>
    <t>Christmas Day</t>
  </si>
  <si>
    <t>Boxing Day</t>
  </si>
  <si>
    <t>Personal Days</t>
  </si>
  <si>
    <t>Professional Dev</t>
  </si>
  <si>
    <t>Spiritual Leave</t>
  </si>
  <si>
    <t>OT Time in Lieu</t>
  </si>
  <si>
    <t>on Personal Days</t>
  </si>
  <si>
    <t>on Professional Dev</t>
  </si>
  <si>
    <t>on Spiritual Leave</t>
  </si>
  <si>
    <t>OT in Lieu</t>
  </si>
  <si>
    <t>Month</t>
  </si>
  <si>
    <t>First Day's DoW</t>
  </si>
  <si>
    <t>Last Day's DoW</t>
  </si>
  <si>
    <t>Total days</t>
  </si>
  <si>
    <t xml:space="preserve"> </t>
  </si>
  <si>
    <t>Mr. 1</t>
  </si>
  <si>
    <t>Mr. 2</t>
  </si>
  <si>
    <t>Mr. 3</t>
  </si>
  <si>
    <t>Mr. 4</t>
  </si>
  <si>
    <t>Mr. 5</t>
  </si>
  <si>
    <t>Mr. 6</t>
  </si>
  <si>
    <t>Mr. 7</t>
  </si>
  <si>
    <t>Mr. 8</t>
  </si>
  <si>
    <t>Mr. 9</t>
  </si>
  <si>
    <t>Mr. 10</t>
  </si>
  <si>
    <t>Mr. 11</t>
  </si>
  <si>
    <t>Mr. 12</t>
  </si>
  <si>
    <t>Mr. 13</t>
  </si>
  <si>
    <t>Mr. 14</t>
  </si>
  <si>
    <t>Mr. 15</t>
  </si>
  <si>
    <t>Mr. 16</t>
  </si>
  <si>
    <t>Mr. 17</t>
  </si>
  <si>
    <t>Mr. 18</t>
  </si>
  <si>
    <t>Mr.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</si>
</sst>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mmm"/>
    <numFmt numFmtId="165" formatCode="d"/>
    <numFmt numFmtId="166" formatCode="&quot;LAST YEAR &quot;\ General"/>
    <numFmt numFmtId="167" formatCode="&quot;LAST YEAR &quot;General"/>
    <numFmt numFmtId="168" formatCode="mmmm\ yyyy"/>
  </numFmts>
  <fonts count="27" x14ac:knownFonts="1">
    <font>
      <sz val="10"/>
      <color theme="1"/>
      <name val="Trebuchet MS"/>
      <family val="2"/>
      <scheme val="minor"/>
    </font>
    <font>
      <b/>
      <sz val="26"/>
      <color theme="3"/>
      <name val="Bookman Old Style"/>
      <family val="2"/>
      <scheme val="major"/>
    </font>
    <font>
      <sz val="10"/>
      <color theme="1"/>
      <name val="Arial"/>
      <family val="2"/>
    </font>
    <font>
      <b/>
      <sz val="26"/>
      <color theme="0"/>
      <name val="Arial"/>
      <family val="2"/>
    </font>
    <font>
      <sz val="11"/>
      <color theme="3"/>
      <name val="Arial"/>
      <family val="2"/>
    </font>
    <font>
      <sz val="12"/>
      <color theme="0"/>
      <name val="Arial"/>
      <family val="2"/>
    </font>
    <font>
      <b/>
      <sz val="26"/>
      <color theme="3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sz val="9"/>
      <color theme="0"/>
      <name val="Arial"/>
      <family val="2"/>
    </font>
    <font>
      <sz val="10"/>
      <name val="Arial"/>
      <family val="2"/>
    </font>
    <font>
      <sz val="10"/>
      <color theme="2" tint="-0.499984740745262"/>
      <name val="Arial"/>
      <family val="2"/>
    </font>
    <font>
      <b/>
      <sz val="26"/>
      <color theme="6" tint="-0.499984740745262"/>
      <name val="Arial"/>
      <family val="2"/>
    </font>
    <font>
      <b/>
      <sz val="23"/>
      <color theme="6" tint="-0.499984740745262"/>
      <name val="Arial"/>
      <family val="2"/>
    </font>
    <font>
      <sz val="11"/>
      <color theme="6" tint="-0.499984740745262"/>
      <name val="Arial"/>
      <family val="2"/>
    </font>
    <font>
      <sz val="10"/>
      <color theme="3"/>
      <name val="Arial"/>
      <family val="2"/>
    </font>
    <font>
      <sz val="9"/>
      <color theme="3"/>
      <name val="Arial"/>
      <family val="2"/>
    </font>
    <font>
      <b/>
      <sz val="30"/>
      <color theme="0"/>
      <name val="Arial"/>
      <family val="2"/>
    </font>
    <font>
      <b/>
      <sz val="30"/>
      <color theme="3"/>
      <name val="Arial"/>
      <family val="2"/>
    </font>
    <font>
      <sz val="10"/>
      <color theme="6" tint="-0.249977111117893"/>
      <name val="Arial"/>
      <family val="2"/>
    </font>
    <font>
      <sz val="9"/>
      <color theme="3" tint="-0.499984740745262"/>
      <name val="Arial"/>
      <family val="2"/>
    </font>
    <font>
      <sz val="9"/>
      <color theme="1"/>
      <name val="Arial"/>
      <family val="2"/>
    </font>
    <font>
      <sz val="8"/>
      <color theme="3" tint="-0.499984740745262"/>
      <name val="Arial"/>
      <family val="2"/>
    </font>
    <font>
      <b/>
      <sz val="9"/>
      <color theme="9"/>
      <name val="Arial"/>
      <family val="2"/>
    </font>
    <font>
      <sz val="9"/>
      <color theme="9"/>
      <name val="Arial"/>
      <family val="2"/>
    </font>
    <font>
      <b/>
      <sz val="8"/>
      <color theme="9"/>
      <name val="Arial"/>
      <family val="2"/>
    </font>
    <font>
      <sz val="10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39">
    <border>
      <left/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49998474074526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499984740745262"/>
      </left>
      <right/>
      <top style="thin">
        <color theme="0" tint="-0.14999847407452621"/>
      </top>
      <bottom/>
      <diagonal/>
    </border>
    <border>
      <left/>
      <right/>
      <top style="thin">
        <color theme="3" tint="-0.499984740745262"/>
      </top>
      <bottom/>
      <diagonal/>
    </border>
    <border>
      <left/>
      <right style="thin">
        <color theme="3" tint="0.39994506668294322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3" tint="0.39994506668294322"/>
      </right>
      <top/>
      <bottom/>
      <diagonal/>
    </border>
    <border>
      <left style="thin">
        <color theme="2" tint="-0.499984740745262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2" tint="-0.499984740745262"/>
      </right>
      <top/>
      <bottom style="thin">
        <color theme="0" tint="-0.14999847407452621"/>
      </bottom>
      <diagonal/>
    </border>
    <border>
      <left/>
      <right/>
      <top style="thin">
        <color theme="3" tint="0.39994506668294322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 tint="-0.14999847407452621"/>
      </top>
      <bottom style="thin">
        <color rgb="FFFF000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rgb="FFFF0000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3" tint="0.3999450666829432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4" tint="-0.49998474074526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4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4" tint="-0.499984740745262"/>
      </left>
      <right style="thin">
        <color theme="0" tint="-0.14999847407452621"/>
      </right>
      <top style="thin">
        <color theme="0" tint="-0.14999847407452621"/>
      </top>
      <bottom style="thin">
        <color rgb="FFFF0000"/>
      </bottom>
      <diagonal/>
    </border>
    <border>
      <left/>
      <right style="thin">
        <color theme="4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499984740745262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2" tint="-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4" tint="-0.499984740745262"/>
      </right>
      <top style="thin">
        <color theme="0" tint="-0.14996795556505021"/>
      </top>
      <bottom/>
      <diagonal/>
    </border>
    <border>
      <left style="thin">
        <color theme="4" tint="-0.499984740745262"/>
      </left>
      <right style="thin">
        <color theme="0" tint="-0.14999847407452621"/>
      </right>
      <top/>
      <bottom/>
      <diagonal/>
    </border>
    <border>
      <left style="thin">
        <color theme="2" tint="-0.499984740745262"/>
      </left>
      <right/>
      <top style="thin">
        <color theme="9" tint="-0.24994659260841701"/>
      </top>
      <bottom style="thin">
        <color theme="0" tint="-0.14999847407452621"/>
      </bottom>
      <diagonal/>
    </border>
    <border>
      <left/>
      <right/>
      <top style="thin">
        <color theme="9" tint="-0.24994659260841701"/>
      </top>
      <bottom style="thin">
        <color theme="0" tint="-0.14999847407452621"/>
      </bottom>
      <diagonal/>
    </border>
    <border>
      <left style="thin">
        <color theme="4" tint="-0.499984740745262"/>
      </left>
      <right style="thin">
        <color theme="0" tint="-0.14999847407452621"/>
      </right>
      <top style="thin">
        <color theme="9" tint="-0.2499465926084170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9" tint="-0.24994659260841701"/>
      </top>
      <bottom style="thin">
        <color theme="0" tint="-0.149998474074526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/>
  </cellStyleXfs>
  <cellXfs count="13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 indent="1"/>
    </xf>
    <xf numFmtId="0" fontId="6" fillId="0" borderId="0" xfId="1" applyFont="1" applyBorder="1" applyAlignment="1">
      <alignment vertical="center" wrapText="1"/>
    </xf>
    <xf numFmtId="0" fontId="7" fillId="0" borderId="0" xfId="1" applyFont="1" applyBorder="1" applyAlignment="1">
      <alignment horizontal="center" vertical="center" wrapText="1"/>
    </xf>
    <xf numFmtId="14" fontId="2" fillId="0" borderId="0" xfId="0" applyNumberFormat="1" applyFont="1">
      <alignment vertical="center"/>
    </xf>
    <xf numFmtId="0" fontId="10" fillId="10" borderId="0" xfId="0" applyFont="1" applyFill="1" applyAlignment="1">
      <alignment horizontal="center"/>
    </xf>
    <xf numFmtId="164" fontId="4" fillId="2" borderId="6" xfId="0" applyNumberFormat="1" applyFont="1" applyFill="1" applyBorder="1" applyAlignment="1">
      <alignment horizontal="left" vertical="center"/>
    </xf>
    <xf numFmtId="168" fontId="4" fillId="2" borderId="5" xfId="0" applyNumberFormat="1" applyFont="1" applyFill="1" applyBorder="1" applyAlignment="1">
      <alignment horizontal="left" vertical="center"/>
    </xf>
    <xf numFmtId="168" fontId="4" fillId="2" borderId="9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11" fillId="2" borderId="5" xfId="0" applyNumberFormat="1" applyFont="1" applyFill="1" applyBorder="1" applyAlignment="1">
      <alignment horizontal="center" vertical="center"/>
    </xf>
    <xf numFmtId="165" fontId="11" fillId="2" borderId="21" xfId="0" applyNumberFormat="1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164" fontId="4" fillId="12" borderId="6" xfId="0" applyNumberFormat="1" applyFont="1" applyFill="1" applyBorder="1" applyAlignment="1">
      <alignment horizontal="left" vertical="center"/>
    </xf>
    <xf numFmtId="168" fontId="4" fillId="12" borderId="5" xfId="0" applyNumberFormat="1" applyFont="1" applyFill="1" applyBorder="1" applyAlignment="1">
      <alignment horizontal="left" vertical="center"/>
    </xf>
    <xf numFmtId="165" fontId="2" fillId="12" borderId="25" xfId="0" applyNumberFormat="1" applyFont="1" applyFill="1" applyBorder="1" applyAlignment="1">
      <alignment horizontal="center" vertical="center"/>
    </xf>
    <xf numFmtId="165" fontId="2" fillId="12" borderId="1" xfId="0" applyNumberFormat="1" applyFont="1" applyFill="1" applyBorder="1" applyAlignment="1">
      <alignment horizontal="center" vertical="center"/>
    </xf>
    <xf numFmtId="165" fontId="11" fillId="12" borderId="5" xfId="0" applyNumberFormat="1" applyFont="1" applyFill="1" applyBorder="1" applyAlignment="1">
      <alignment horizontal="center" vertical="center"/>
    </xf>
    <xf numFmtId="165" fontId="11" fillId="12" borderId="25" xfId="0" applyNumberFormat="1" applyFont="1" applyFill="1" applyBorder="1" applyAlignment="1">
      <alignment horizontal="center" vertical="center"/>
    </xf>
    <xf numFmtId="164" fontId="4" fillId="11" borderId="6" xfId="0" applyNumberFormat="1" applyFont="1" applyFill="1" applyBorder="1" applyAlignment="1">
      <alignment horizontal="left" vertical="center"/>
    </xf>
    <xf numFmtId="168" fontId="4" fillId="11" borderId="5" xfId="0" applyNumberFormat="1" applyFont="1" applyFill="1" applyBorder="1" applyAlignment="1">
      <alignment horizontal="left" vertical="center"/>
    </xf>
    <xf numFmtId="165" fontId="2" fillId="11" borderId="25" xfId="0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65" fontId="11" fillId="11" borderId="5" xfId="0" applyNumberFormat="1" applyFont="1" applyFill="1" applyBorder="1" applyAlignment="1">
      <alignment horizontal="center" vertical="center"/>
    </xf>
    <xf numFmtId="165" fontId="11" fillId="11" borderId="25" xfId="0" applyNumberFormat="1" applyFont="1" applyFill="1" applyBorder="1" applyAlignment="1">
      <alignment horizontal="center" vertical="center"/>
    </xf>
    <xf numFmtId="165" fontId="2" fillId="11" borderId="0" xfId="0" applyNumberFormat="1" applyFont="1" applyFill="1" applyAlignment="1">
      <alignment horizontal="left" vertical="center"/>
    </xf>
    <xf numFmtId="165" fontId="2" fillId="2" borderId="25" xfId="0" applyNumberFormat="1" applyFont="1" applyFill="1" applyBorder="1" applyAlignment="1">
      <alignment horizontal="center" vertical="center"/>
    </xf>
    <xf numFmtId="165" fontId="11" fillId="2" borderId="25" xfId="0" applyNumberFormat="1" applyFont="1" applyFill="1" applyBorder="1" applyAlignment="1">
      <alignment horizontal="center" vertical="center"/>
    </xf>
    <xf numFmtId="168" fontId="4" fillId="12" borderId="27" xfId="0" applyNumberFormat="1" applyFont="1" applyFill="1" applyBorder="1" applyAlignment="1">
      <alignment horizontal="left" vertical="center"/>
    </xf>
    <xf numFmtId="165" fontId="2" fillId="12" borderId="5" xfId="0" applyNumberFormat="1" applyFont="1" applyFill="1" applyBorder="1" applyAlignment="1">
      <alignment horizontal="center" vertical="center"/>
    </xf>
    <xf numFmtId="165" fontId="2" fillId="11" borderId="0" xfId="0" applyNumberFormat="1" applyFont="1" applyFill="1" applyAlignment="1">
      <alignment horizontal="center" vertical="center"/>
    </xf>
    <xf numFmtId="165" fontId="2" fillId="11" borderId="5" xfId="0" applyNumberFormat="1" applyFont="1" applyFill="1" applyBorder="1" applyAlignment="1">
      <alignment horizontal="center" vertical="center"/>
    </xf>
    <xf numFmtId="168" fontId="4" fillId="11" borderId="22" xfId="0" applyNumberFormat="1" applyFont="1" applyFill="1" applyBorder="1" applyAlignment="1">
      <alignment horizontal="left" vertical="center"/>
    </xf>
    <xf numFmtId="164" fontId="4" fillId="11" borderId="7" xfId="0" applyNumberFormat="1" applyFont="1" applyFill="1" applyBorder="1" applyAlignment="1">
      <alignment horizontal="left" vertical="center"/>
    </xf>
    <xf numFmtId="168" fontId="4" fillId="11" borderId="0" xfId="0" applyNumberFormat="1" applyFont="1" applyFill="1" applyAlignment="1">
      <alignment horizontal="left" vertical="center"/>
    </xf>
    <xf numFmtId="165" fontId="2" fillId="11" borderId="24" xfId="0" applyNumberFormat="1" applyFont="1" applyFill="1" applyBorder="1" applyAlignment="1">
      <alignment horizontal="center" vertical="center"/>
    </xf>
    <xf numFmtId="165" fontId="2" fillId="11" borderId="23" xfId="0" applyNumberFormat="1" applyFont="1" applyFill="1" applyBorder="1" applyAlignment="1">
      <alignment horizontal="center" vertical="center"/>
    </xf>
    <xf numFmtId="165" fontId="2" fillId="11" borderId="22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left" vertical="center"/>
    </xf>
    <xf numFmtId="168" fontId="4" fillId="0" borderId="0" xfId="0" applyNumberFormat="1" applyFont="1" applyAlignment="1">
      <alignment horizontal="left" vertical="center"/>
    </xf>
    <xf numFmtId="165" fontId="2" fillId="2" borderId="26" xfId="0" applyNumberFormat="1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165" fontId="11" fillId="2" borderId="18" xfId="0" applyNumberFormat="1" applyFont="1" applyFill="1" applyBorder="1" applyAlignment="1">
      <alignment horizontal="center" vertical="center"/>
    </xf>
    <xf numFmtId="165" fontId="11" fillId="2" borderId="26" xfId="0" applyNumberFormat="1" applyFont="1" applyFill="1" applyBorder="1" applyAlignment="1">
      <alignment horizontal="center" vertical="center"/>
    </xf>
    <xf numFmtId="164" fontId="4" fillId="12" borderId="29" xfId="0" applyNumberFormat="1" applyFont="1" applyFill="1" applyBorder="1" applyAlignment="1">
      <alignment horizontal="left" vertical="center"/>
    </xf>
    <xf numFmtId="168" fontId="4" fillId="12" borderId="30" xfId="0" applyNumberFormat="1" applyFont="1" applyFill="1" applyBorder="1" applyAlignment="1">
      <alignment horizontal="left" vertical="center"/>
    </xf>
    <xf numFmtId="168" fontId="4" fillId="12" borderId="31" xfId="0" applyNumberFormat="1" applyFont="1" applyFill="1" applyBorder="1" applyAlignment="1">
      <alignment horizontal="left" vertical="center"/>
    </xf>
    <xf numFmtId="165" fontId="2" fillId="12" borderId="24" xfId="0" applyNumberFormat="1" applyFont="1" applyFill="1" applyBorder="1" applyAlignment="1">
      <alignment horizontal="center" vertical="center"/>
    </xf>
    <xf numFmtId="165" fontId="2" fillId="12" borderId="23" xfId="0" applyNumberFormat="1" applyFont="1" applyFill="1" applyBorder="1" applyAlignment="1">
      <alignment horizontal="center" vertical="center"/>
    </xf>
    <xf numFmtId="165" fontId="2" fillId="12" borderId="22" xfId="0" applyNumberFormat="1" applyFont="1" applyFill="1" applyBorder="1" applyAlignment="1">
      <alignment horizontal="center" vertical="center"/>
    </xf>
    <xf numFmtId="164" fontId="4" fillId="11" borderId="4" xfId="0" applyNumberFormat="1" applyFont="1" applyFill="1" applyBorder="1" applyAlignment="1">
      <alignment horizontal="left" vertical="center"/>
    </xf>
    <xf numFmtId="165" fontId="2" fillId="11" borderId="32" xfId="0" applyNumberFormat="1" applyFont="1" applyFill="1" applyBorder="1" applyAlignment="1">
      <alignment horizontal="center" vertical="center"/>
    </xf>
    <xf numFmtId="165" fontId="2" fillId="11" borderId="2" xfId="0" applyNumberFormat="1" applyFont="1" applyFill="1" applyBorder="1" applyAlignment="1">
      <alignment horizontal="center" vertical="center"/>
    </xf>
    <xf numFmtId="165" fontId="11" fillId="11" borderId="0" xfId="0" applyNumberFormat="1" applyFont="1" applyFill="1" applyAlignment="1">
      <alignment horizontal="center" vertical="center"/>
    </xf>
    <xf numFmtId="165" fontId="11" fillId="11" borderId="32" xfId="0" applyNumberFormat="1" applyFont="1" applyFill="1" applyBorder="1" applyAlignment="1">
      <alignment horizontal="center" vertical="center"/>
    </xf>
    <xf numFmtId="164" fontId="4" fillId="11" borderId="33" xfId="0" applyNumberFormat="1" applyFont="1" applyFill="1" applyBorder="1" applyAlignment="1">
      <alignment horizontal="left" vertical="center"/>
    </xf>
    <xf numFmtId="168" fontId="4" fillId="11" borderId="34" xfId="0" applyNumberFormat="1" applyFont="1" applyFill="1" applyBorder="1" applyAlignment="1">
      <alignment horizontal="left" vertical="center"/>
    </xf>
    <xf numFmtId="165" fontId="2" fillId="11" borderId="35" xfId="0" applyNumberFormat="1" applyFont="1" applyFill="1" applyBorder="1" applyAlignment="1">
      <alignment horizontal="center" vertical="center"/>
    </xf>
    <xf numFmtId="165" fontId="2" fillId="11" borderId="36" xfId="0" applyNumberFormat="1" applyFont="1" applyFill="1" applyBorder="1" applyAlignment="1">
      <alignment horizontal="center" vertical="center"/>
    </xf>
    <xf numFmtId="165" fontId="2" fillId="11" borderId="34" xfId="0" applyNumberFormat="1" applyFont="1" applyFill="1" applyBorder="1" applyAlignment="1">
      <alignment horizontal="center" vertical="center"/>
    </xf>
    <xf numFmtId="164" fontId="4" fillId="12" borderId="28" xfId="0" applyNumberFormat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8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/>
    <xf numFmtId="0" fontId="2" fillId="0" borderId="10" xfId="0" applyFont="1" applyBorder="1">
      <alignment vertical="center"/>
    </xf>
    <xf numFmtId="0" fontId="18" fillId="1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0" borderId="0" xfId="0" applyFont="1" applyAlignment="1"/>
    <xf numFmtId="0" fontId="19" fillId="0" borderId="2" xfId="0" applyFont="1" applyBorder="1" applyAlignment="1"/>
    <xf numFmtId="166" fontId="20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10" xfId="0" applyFont="1" applyBorder="1">
      <alignment vertical="center"/>
    </xf>
    <xf numFmtId="167" fontId="20" fillId="0" borderId="0" xfId="0" applyNumberFormat="1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vertical="top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65" fontId="2" fillId="0" borderId="0" xfId="0" applyNumberFormat="1" applyFont="1">
      <alignment vertical="center"/>
    </xf>
    <xf numFmtId="0" fontId="25" fillId="0" borderId="0" xfId="0" applyFont="1" applyAlignment="1"/>
    <xf numFmtId="0" fontId="2" fillId="0" borderId="16" xfId="0" applyFont="1" applyBorder="1">
      <alignment vertical="center"/>
    </xf>
    <xf numFmtId="15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37" xfId="0" applyFont="1" applyBorder="1">
      <alignment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38" xfId="0" applyFont="1" applyBorder="1">
      <alignment vertical="center"/>
    </xf>
    <xf numFmtId="0" fontId="18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67" fontId="20" fillId="0" borderId="0" xfId="0" applyNumberFormat="1" applyFont="1">
      <alignment vertical="center"/>
    </xf>
    <xf numFmtId="0" fontId="23" fillId="0" borderId="0" xfId="0" applyFont="1">
      <alignment vertical="center"/>
    </xf>
    <xf numFmtId="0" fontId="3" fillId="16" borderId="0" xfId="1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left" vertical="center" indent="1"/>
    </xf>
    <xf numFmtId="0" fontId="5" fillId="16" borderId="17" xfId="0" applyFont="1" applyFill="1" applyBorder="1" applyAlignment="1">
      <alignment horizontal="left" vertical="center" indent="1"/>
    </xf>
    <xf numFmtId="0" fontId="8" fillId="16" borderId="11" xfId="0" applyFont="1" applyFill="1" applyBorder="1">
      <alignment vertical="center"/>
    </xf>
    <xf numFmtId="0" fontId="8" fillId="16" borderId="12" xfId="0" applyFont="1" applyFill="1" applyBorder="1">
      <alignment vertical="center"/>
    </xf>
    <xf numFmtId="0" fontId="9" fillId="16" borderId="13" xfId="0" applyFont="1" applyFill="1" applyBorder="1" applyAlignment="1">
      <alignment horizontal="center"/>
    </xf>
    <xf numFmtId="0" fontId="9" fillId="16" borderId="14" xfId="0" applyFont="1" applyFill="1" applyBorder="1" applyAlignment="1">
      <alignment horizontal="center"/>
    </xf>
    <xf numFmtId="0" fontId="9" fillId="16" borderId="20" xfId="0" applyFont="1" applyFill="1" applyBorder="1" applyAlignment="1">
      <alignment horizontal="center"/>
    </xf>
    <xf numFmtId="0" fontId="9" fillId="16" borderId="15" xfId="0" applyFont="1" applyFill="1" applyBorder="1" applyAlignment="1">
      <alignment horizontal="center"/>
    </xf>
    <xf numFmtId="14" fontId="2" fillId="16" borderId="4" xfId="0" applyNumberFormat="1" applyFont="1" applyFill="1" applyBorder="1">
      <alignment vertical="center"/>
    </xf>
    <xf numFmtId="14" fontId="2" fillId="16" borderId="0" xfId="0" applyNumberFormat="1" applyFont="1" applyFill="1">
      <alignment vertical="center"/>
    </xf>
    <xf numFmtId="0" fontId="2" fillId="16" borderId="0" xfId="0" applyFont="1" applyFill="1">
      <alignment vertical="center"/>
    </xf>
    <xf numFmtId="0" fontId="2" fillId="16" borderId="3" xfId="0" applyFont="1" applyFill="1" applyBorder="1">
      <alignment vertical="center"/>
    </xf>
    <xf numFmtId="0" fontId="17" fillId="16" borderId="0" xfId="0" applyFont="1" applyFill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16" borderId="0" xfId="0" applyFont="1" applyFill="1" applyAlignment="1">
      <alignment horizontal="left" vertical="center" indent="1"/>
    </xf>
    <xf numFmtId="0" fontId="26" fillId="16" borderId="0" xfId="0" applyFont="1" applyFill="1" applyAlignment="1">
      <alignment horizontal="left" vertical="center" indent="1"/>
    </xf>
    <xf numFmtId="0" fontId="26" fillId="16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14" borderId="0" xfId="0" applyFont="1" applyFill="1" applyAlignment="1">
      <alignment horizontal="left" vertical="center" indent="1"/>
    </xf>
    <xf numFmtId="0" fontId="26" fillId="7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2" fillId="13" borderId="0" xfId="0" applyFont="1" applyFill="1" applyAlignment="1">
      <alignment horizontal="left" vertical="center" indent="1"/>
    </xf>
  </cellXfs>
  <cellStyles count="2">
    <cellStyle name="Normal" xfId="0" builtinId="0" customBuiltin="1"/>
    <cellStyle name="Title" xfId="1" builtinId="15" customBuiltin="1"/>
  </cellStyles>
  <dxfs count="48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1" justifyLastLine="0" shrinkToFit="0" readingOrder="0"/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lor theme="2" tint="-0.24994659260841701"/>
      </font>
    </dxf>
    <dxf>
      <fill>
        <patternFill>
          <bgColor theme="3" tint="0.59996337778862885"/>
        </patternFill>
      </fill>
    </dxf>
    <dxf>
      <fill>
        <patternFill>
          <bgColor rgb="FF0070C0"/>
        </patternFill>
      </fill>
    </dxf>
    <dxf>
      <font>
        <color theme="0" tint="-0.14996795556505021"/>
      </font>
    </dxf>
    <dxf>
      <fill>
        <patternFill>
          <bgColor theme="4"/>
        </patternFill>
      </fill>
    </dxf>
    <dxf>
      <fill>
        <patternFill>
          <bgColor theme="8"/>
        </patternFill>
      </fill>
    </dxf>
    <dxf>
      <font>
        <b val="0"/>
        <i val="0"/>
      </font>
    </dxf>
    <dxf>
      <fill>
        <patternFill>
          <bgColor theme="2"/>
        </patternFill>
      </fill>
    </dxf>
    <dxf>
      <font>
        <b/>
        <i val="0"/>
      </font>
    </dxf>
    <dxf>
      <font>
        <color theme="0"/>
      </font>
      <fill>
        <patternFill>
          <bgColor theme="3"/>
        </patternFill>
      </fill>
      <border>
        <vertical/>
      </border>
    </dxf>
    <dxf>
      <font>
        <color theme="3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3" tint="0.39994506668294322"/>
        </vertical>
        <horizontal/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  <border>
        <bottom style="thin">
          <color theme="0" tint="-0.249977111117893"/>
        </bottom>
      </border>
    </dxf>
    <dxf>
      <font>
        <color theme="1"/>
      </font>
      <fill>
        <patternFill patternType="solid">
          <fgColor theme="0" tint="-0.249977111117893"/>
          <bgColor theme="0" tint="-0.249977111117893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</border>
    </dxf>
    <dxf>
      <fill>
        <patternFill patternType="solid">
          <fgColor theme="0" tint="-0.14996795556505021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  <vertical style="thin">
          <color theme="1" tint="0.34998626667073579"/>
        </vertical>
      </border>
    </dxf>
    <dxf>
      <fill>
        <patternFill patternType="solid">
          <fgColor theme="0" tint="-0.14996795556505021"/>
          <bgColor theme="0" tint="-4.9989318521683403E-2"/>
        </patternFill>
      </fill>
      <border>
        <top style="thin">
          <color theme="0" tint="-0.249977111117893"/>
        </top>
        <bottom style="thin">
          <color theme="0" tint="-0.249977111117893"/>
        </bottom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theme="0" tint="-0.14996795556505021"/>
        </left>
        <right style="thin">
          <color theme="0" tint="-0.14996795556505021"/>
        </right>
        <vertical style="thin">
          <color theme="1" tint="0.34998626667073579"/>
        </vertical>
      </border>
    </dxf>
  </dxfs>
  <tableStyles count="2" defaultTableStyle="Table Style 1" defaultPivotStyle="Leave Report">
    <tableStyle name="Leave Report" table="0" count="13" xr9:uid="{00000000-0011-0000-FFFF-FFFF00000000}">
      <tableStyleElement type="wholeTable" dxfId="47"/>
      <tableStyleElement type="headerRow" dxfId="46"/>
      <tableStyleElement type="totalRow" dxfId="45"/>
      <tableStyleElement type="firstRowStripe" dxfId="44"/>
      <tableStyleElement type="firstColumnStripe" dxfId="43"/>
      <tableStyleElement type="firstSubtotalColumn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thirdRowSubheading" dxfId="37"/>
      <tableStyleElement type="pageFieldLabels" dxfId="36"/>
      <tableStyleElement type="pageFieldValues" dxfId="35"/>
    </tableStyle>
    <tableStyle name="Table Style 1" pivot="0" count="5" xr9:uid="{00000000-0011-0000-FFFF-FFFF01000000}">
      <tableStyleElement type="wholeTable" dxfId="34"/>
      <tableStyleElement type="headerRow" dxfId="33"/>
      <tableStyleElement type="firstColumn" dxfId="32"/>
      <tableStyleElement type="firstRowStripe" dxfId="31"/>
      <tableStyleElement type="firstHeaderCell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Employee Leave Tracker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Settings!A1"/><Relationship Id="rId1" Type="http://schemas.openxmlformats.org/officeDocument/2006/relationships/hyperlink" Target="#'Calendar View (Fiscal)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mployee Leave Track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0</xdr:row>
      <xdr:rowOff>77066</xdr:rowOff>
    </xdr:from>
    <xdr:to>
      <xdr:col>49</xdr:col>
      <xdr:colOff>9525</xdr:colOff>
      <xdr:row>0</xdr:row>
      <xdr:rowOff>333226</xdr:rowOff>
    </xdr:to>
    <xdr:sp macro="" textlink="">
      <xdr:nvSpPr>
        <xdr:cNvPr id="48" name="Track Attendance" descr="Click to view the Employee Leave Tracker sheet." title="Employee Leave">
          <a:hlinkClick xmlns:r="http://schemas.openxmlformats.org/officeDocument/2006/relationships" r:id="rId1" tooltip="Click to view the Employee Leave Tracker sheet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9277350" y="77066"/>
          <a:ext cx="2390775" cy="256160"/>
        </a:xfrm>
        <a:prstGeom prst="rect">
          <a:avLst/>
        </a:prstGeom>
        <a:solidFill>
          <a:schemeClr val="accent5">
            <a:lumMod val="75000"/>
          </a:schemeClr>
        </a:solidFill>
        <a:ln w="127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0">
              <a:solidFill>
                <a:schemeClr val="bg1"/>
              </a:solidFill>
              <a:latin typeface="+mn-lt"/>
            </a:rPr>
            <a:t>Employee</a:t>
          </a:r>
          <a:r>
            <a:rPr lang="en-US" sz="1100" b="0" baseline="0">
              <a:solidFill>
                <a:schemeClr val="bg1"/>
              </a:solidFill>
              <a:latin typeface="+mn-lt"/>
            </a:rPr>
            <a:t> </a:t>
          </a:r>
          <a:r>
            <a:rPr lang="en-US" sz="1100" b="0">
              <a:solidFill>
                <a:schemeClr val="bg1"/>
              </a:solidFill>
              <a:latin typeface="+mn-lt"/>
            </a:rPr>
            <a:t>Leave</a:t>
          </a:r>
          <a:r>
            <a:rPr lang="en-US" sz="1100" b="0">
              <a:solidFill>
                <a:schemeClr val="bg1"/>
              </a:solidFill>
              <a:latin typeface="+mn-lt"/>
              <a:sym typeface="Webdings"/>
            </a:rPr>
            <a:t></a:t>
          </a:r>
          <a:endParaRPr lang="en-US" sz="1100" b="0">
            <a:solidFill>
              <a:schemeClr val="bg1"/>
            </a:solidFill>
            <a:latin typeface="+mn-lt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190500</xdr:rowOff>
    </xdr:from>
    <xdr:to>
      <xdr:col>2</xdr:col>
      <xdr:colOff>790956</xdr:colOff>
      <xdr:row>0</xdr:row>
      <xdr:rowOff>446660</xdr:rowOff>
    </xdr:to>
    <xdr:sp macro="" textlink="">
      <xdr:nvSpPr>
        <xdr:cNvPr id="7" name="Back to Calendar View" descr="Click to view the Calendar View sheet." title="Back to Calendar View">
          <a:hlinkClick xmlns:r="http://schemas.openxmlformats.org/officeDocument/2006/relationships" r:id="rId1" tooltip="Click to view the Calendar View sheet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28600" y="190500"/>
          <a:ext cx="2505456" cy="256160"/>
        </a:xfrm>
        <a:prstGeom prst="rect">
          <a:avLst/>
        </a:prstGeom>
        <a:solidFill>
          <a:srgbClr val="C00000"/>
        </a:solidFill>
        <a:ln w="127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  <a:sym typeface="Webdings"/>
            </a:rPr>
            <a:t></a:t>
          </a:r>
          <a:r>
            <a:rPr lang="en-US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Back to Calendar View</a:t>
          </a:r>
        </a:p>
      </xdr:txBody>
    </xdr:sp>
    <xdr:clientData fPrintsWithSheet="0"/>
  </xdr:twoCellAnchor>
  <xdr:twoCellAnchor>
    <xdr:from>
      <xdr:col>3</xdr:col>
      <xdr:colOff>695326</xdr:colOff>
      <xdr:row>0</xdr:row>
      <xdr:rowOff>190500</xdr:rowOff>
    </xdr:from>
    <xdr:to>
      <xdr:col>6</xdr:col>
      <xdr:colOff>9525</xdr:colOff>
      <xdr:row>0</xdr:row>
      <xdr:rowOff>448391</xdr:rowOff>
    </xdr:to>
    <xdr:sp macro="" textlink="">
      <xdr:nvSpPr>
        <xdr:cNvPr id="8" name="Modify Settings" descr="Click to view the Settings sheet." title="Modify Settings">
          <a:hlinkClick xmlns:r="http://schemas.openxmlformats.org/officeDocument/2006/relationships" r:id="rId2" tooltip="Click to view the Settings sheet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781426" y="190500"/>
          <a:ext cx="2505074" cy="257891"/>
        </a:xfrm>
        <a:prstGeom prst="rect">
          <a:avLst/>
        </a:prstGeom>
        <a:solidFill>
          <a:srgbClr val="C00000"/>
        </a:solidFill>
        <a:ln w="127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Modify Settings</a:t>
          </a:r>
          <a:r>
            <a:rPr lang="en-US" sz="11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  <a:sym typeface="Webdings"/>
            </a:rPr>
            <a:t></a:t>
          </a:r>
          <a:endParaRPr lang="en-US" sz="1100" b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  <xdr:twoCellAnchor>
    <xdr:from>
      <xdr:col>2</xdr:col>
      <xdr:colOff>1114424</xdr:colOff>
      <xdr:row>0</xdr:row>
      <xdr:rowOff>503745</xdr:rowOff>
    </xdr:from>
    <xdr:to>
      <xdr:col>6</xdr:col>
      <xdr:colOff>9524</xdr:colOff>
      <xdr:row>0</xdr:row>
      <xdr:rowOff>647700</xdr:rowOff>
    </xdr:to>
    <xdr:sp macro="" textlink="">
      <xdr:nvSpPr>
        <xdr:cNvPr id="5" name="Settings Note" descr="Add Employees, Company Holidays, &amp; Leave Types." title="Modify Settings tip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057524" y="503745"/>
          <a:ext cx="3248025" cy="143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80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ADD EMPLOYEES, COMPANY HOLIDAYS, &amp;</a:t>
          </a:r>
          <a:r>
            <a:rPr lang="en-US" sz="800" baseline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 LEAVE </a:t>
          </a:r>
          <a:r>
            <a:rPr lang="en-US" sz="80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TYPES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190500</xdr:rowOff>
    </xdr:from>
    <xdr:to>
      <xdr:col>3</xdr:col>
      <xdr:colOff>533400</xdr:colOff>
      <xdr:row>0</xdr:row>
      <xdr:rowOff>448391</xdr:rowOff>
    </xdr:to>
    <xdr:sp macro="" textlink="">
      <xdr:nvSpPr>
        <xdr:cNvPr id="2" name="Back to Attendance Tracker" descr="Click to view the Employee Leave Tracker sheet." title="Back to Attendance Tracker">
          <a:hlinkClick xmlns:r="http://schemas.openxmlformats.org/officeDocument/2006/relationships" r:id="rId1" tooltip="Click to view the Employee Leave Tracker shee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28600" y="190500"/>
          <a:ext cx="2514600" cy="257891"/>
        </a:xfrm>
        <a:prstGeom prst="rect">
          <a:avLst/>
        </a:prstGeom>
        <a:solidFill>
          <a:schemeClr val="accent5">
            <a:lumMod val="75000"/>
          </a:schemeClr>
        </a:solidFill>
        <a:ln w="1270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100" b="0">
              <a:solidFill>
                <a:schemeClr val="bg1"/>
              </a:solidFill>
              <a:latin typeface="+mn-lt"/>
              <a:sym typeface="Webdings"/>
            </a:rPr>
            <a:t></a:t>
          </a:r>
          <a:r>
            <a:rPr lang="en-US" sz="1100" b="0">
              <a:solidFill>
                <a:schemeClr val="bg1"/>
              </a:solidFill>
              <a:latin typeface="+mn-lt"/>
            </a:rPr>
            <a:t>Back to Leave Tracker</a:t>
          </a: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eave" displayName="tblLeave" ref="B3:F26" headerRowDxfId="10" dataDxfId="11" totalsRowDxfId="12">
  <autoFilter ref="B3:F26" xr:uid="{00000000-0009-0000-0100-000001000000}"/>
  <tableColumns count="5">
    <tableColumn id="1" xr3:uid="{00000000-0010-0000-0000-000001000000}" name="Employee Name" totalsRowLabel="Total" dataDxfId="17"/>
    <tableColumn id="2" xr3:uid="{00000000-0010-0000-0000-000002000000}" name="Start Date" dataDxfId="16"/>
    <tableColumn id="3" xr3:uid="{00000000-0010-0000-0000-000003000000}" name="End Date" dataDxfId="15"/>
    <tableColumn id="4" xr3:uid="{00000000-0010-0000-0000-000004000000}" name="Type of Leave" dataDxfId="14"/>
    <tableColumn id="5" xr3:uid="{00000000-0010-0000-0000-000005000000}" name="Days" totalsRowFunction="sum" dataDxfId="13">
      <calculatedColumnFormula>NETWORKDAYS(tblLeave[[#This Row],[Start Date]],tblLeave[[#This Row],[End Date]])</calculatedColumnFormula>
    </tableColumn>
  </tableColumns>
  <tableStyleInfo name="TableStyleLight21" showFirstColumn="1" showLastColumn="0" showRowStripes="1" showColumnStripes="0"/>
  <extLst>
    <ext xmlns:x14="http://schemas.microsoft.com/office/spreadsheetml/2009/9/main" uri="{504A1905-F514-4f6f-8877-14C23A59335A}">
      <x14:table altText="Employee Leave Tracker" altTextSummary="List of dates and leave type for each employee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LeaveTypes" displayName="tblLeaveTypes" ref="D3:D11" totalsRowShown="0" headerRowDxfId="1" dataDxfId="8">
  <tableColumns count="1">
    <tableColumn id="1" xr3:uid="{00000000-0010-0000-0100-000001000000}" name="Type of Leave" dataDxfId="9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="Type of Leave" altTextSummary="List of employee absence types such as Sick Leave, Vacation, Bereavement, and Other. 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mpanyHolidays" displayName="tblCompanyHolidays" ref="F3:G16" totalsRowShown="0" headerRowDxfId="2" dataDxfId="5">
  <tableColumns count="2">
    <tableColumn id="1" xr3:uid="{00000000-0010-0000-0200-000001000000}" name="Company Holidays" dataDxfId="7"/>
    <tableColumn id="2" xr3:uid="{00000000-0010-0000-0200-000002000000}" name="Description" dataDxfId="6"/>
  </tableColumns>
  <tableStyleInfo name="TableStyleMedium14" showFirstColumn="0" showLastColumn="0" showRowStripes="1" showColumnStripes="0"/>
  <extLst>
    <ext xmlns:x14="http://schemas.microsoft.com/office/spreadsheetml/2009/9/main" uri="{504A1905-F514-4f6f-8877-14C23A59335A}">
      <x14:table altText="Company Holidays" altTextSummary="List of company holiday dates and holiday description.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Employees" displayName="tblEmployees" ref="B3:B22" totalsRowShown="0" headerRowDxfId="0" dataDxfId="3">
  <sortState xmlns:xlrd2="http://schemas.microsoft.com/office/spreadsheetml/2017/richdata2" ref="B3:B25">
    <sortCondition ref="B2:B25"/>
  </sortState>
  <tableColumns count="1">
    <tableColumn id="1" xr3:uid="{00000000-0010-0000-0300-000001000000}" name="List of Employees" dataDxfId="4"/>
  </tableColumns>
  <tableStyleInfo name="TableStyleMedium7" showFirstColumn="0" showLastColumn="0" showRowStripes="1" showColumnStripes="0"/>
  <extLst>
    <ext xmlns:x14="http://schemas.microsoft.com/office/spreadsheetml/2009/9/main" uri="{504A1905-F514-4f6f-8877-14C23A59335A}">
      <x14:table altText="List of Employees" altTextSummary="Employee names"/>
    </ext>
  </extLst>
</table>
</file>

<file path=xl/theme/theme1.xml><?xml version="1.0" encoding="utf-8"?>
<a:theme xmlns:a="http://schemas.openxmlformats.org/drawingml/2006/main" name="Employee Attendance Tracker">
  <a:themeElements>
    <a:clrScheme name="Custom 3">
      <a:dk1>
        <a:sysClr val="windowText" lastClr="000000"/>
      </a:dk1>
      <a:lt1>
        <a:sysClr val="window" lastClr="FFFFFF"/>
      </a:lt1>
      <a:dk2>
        <a:srgbClr val="36384E"/>
      </a:dk2>
      <a:lt2>
        <a:srgbClr val="E6E6E6"/>
      </a:lt2>
      <a:accent1>
        <a:srgbClr val="8BBEDD"/>
      </a:accent1>
      <a:accent2>
        <a:srgbClr val="53B9B4"/>
      </a:accent2>
      <a:accent3>
        <a:srgbClr val="9FD179"/>
      </a:accent3>
      <a:accent4>
        <a:srgbClr val="F6E166"/>
      </a:accent4>
      <a:accent5>
        <a:srgbClr val="F9A755"/>
      </a:accent5>
      <a:accent6>
        <a:srgbClr val="ED7669"/>
      </a:accent6>
      <a:hlink>
        <a:srgbClr val="0000FF"/>
      </a:hlink>
      <a:folHlink>
        <a:srgbClr val="800080"/>
      </a:folHlink>
    </a:clrScheme>
    <a:fontScheme name="67 employee attendance tracker">
      <a:majorFont>
        <a:latin typeface="Bookman Old Style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0"/>
    <pageSetUpPr fitToPage="1"/>
  </sheetPr>
  <dimension ref="B1:BC57"/>
  <sheetViews>
    <sheetView showGridLines="0" zoomScale="70" zoomScaleNormal="70" workbookViewId="0">
      <selection activeCell="O54" sqref="O54"/>
    </sheetView>
  </sheetViews>
  <sheetFormatPr defaultColWidth="8.85546875" defaultRowHeight="12.75" x14ac:dyDescent="0.3"/>
  <cols>
    <col min="1" max="1" width="2.28515625" style="1" customWidth="1"/>
    <col min="2" max="2" width="3.28515625" style="1" customWidth="1"/>
    <col min="3" max="6" width="3.5703125" style="1" customWidth="1"/>
    <col min="7" max="7" width="4.7109375" style="1" customWidth="1"/>
    <col min="8" max="42" width="3.5703125" style="1" customWidth="1"/>
    <col min="43" max="43" width="3.85546875" style="1" customWidth="1"/>
    <col min="44" max="49" width="3.5703125" style="1" customWidth="1"/>
    <col min="50" max="50" width="2.28515625" style="1" customWidth="1"/>
    <col min="51" max="51" width="121.7109375" style="1" bestFit="1" customWidth="1"/>
    <col min="52" max="52" width="8" style="1" hidden="1" customWidth="1"/>
    <col min="53" max="53" width="14.140625" style="1" hidden="1" customWidth="1"/>
    <col min="54" max="54" width="13.85546875" style="1" hidden="1" customWidth="1"/>
    <col min="55" max="55" width="9.5703125" style="1" hidden="1" customWidth="1"/>
    <col min="56" max="16384" width="8.85546875" style="1"/>
  </cols>
  <sheetData>
    <row r="1" spans="2:55" ht="27.75" customHeight="1" x14ac:dyDescent="0.3"/>
    <row r="2" spans="2:55" ht="11.25" customHeight="1" x14ac:dyDescent="0.3">
      <c r="B2" s="105" t="s">
        <v>21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 spans="2:55" ht="11.25" customHeight="1" x14ac:dyDescent="0.3"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E3" s="2" t="s">
        <v>26</v>
      </c>
      <c r="AF3" s="2"/>
      <c r="AG3" s="2"/>
      <c r="AH3" s="2"/>
      <c r="AI3" s="2"/>
      <c r="AJ3" s="2"/>
      <c r="AK3" s="2"/>
      <c r="AL3" s="2"/>
      <c r="AM3" s="2"/>
      <c r="AN3" s="106" t="s">
        <v>28</v>
      </c>
      <c r="AO3" s="106"/>
      <c r="AP3" s="106"/>
      <c r="AQ3" s="106"/>
      <c r="AR3" s="106"/>
      <c r="AS3" s="106"/>
      <c r="AT3" s="106"/>
      <c r="AU3" s="106"/>
      <c r="AV3" s="106"/>
      <c r="AW3" s="106"/>
    </row>
    <row r="4" spans="2:55" ht="11.25" customHeight="1" thickBot="1" x14ac:dyDescent="0.35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E4" s="2"/>
      <c r="AF4" s="2"/>
      <c r="AG4" s="2"/>
      <c r="AH4" s="2"/>
      <c r="AI4" s="2"/>
      <c r="AJ4" s="2"/>
      <c r="AK4" s="2"/>
      <c r="AL4" s="2"/>
      <c r="AM4" s="2"/>
      <c r="AN4" s="106"/>
      <c r="AO4" s="106"/>
      <c r="AP4" s="106"/>
      <c r="AQ4" s="106"/>
      <c r="AR4" s="106"/>
      <c r="AS4" s="106"/>
      <c r="AT4" s="106"/>
      <c r="AU4" s="106"/>
      <c r="AV4" s="106"/>
      <c r="AW4" s="106"/>
    </row>
    <row r="5" spans="2:55" ht="11.25" customHeight="1" thickTop="1" x14ac:dyDescent="0.3"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E5" s="2" t="s">
        <v>27</v>
      </c>
      <c r="AF5" s="2"/>
      <c r="AG5" s="2"/>
      <c r="AH5" s="2"/>
      <c r="AI5" s="2"/>
      <c r="AJ5" s="2"/>
      <c r="AK5" s="2"/>
      <c r="AL5" s="2"/>
      <c r="AM5" s="2"/>
      <c r="AN5" s="107">
        <v>2022</v>
      </c>
      <c r="AO5" s="107"/>
      <c r="AP5" s="107"/>
      <c r="AQ5" s="107"/>
      <c r="AR5" s="107"/>
      <c r="AS5" s="107"/>
      <c r="AT5" s="107"/>
      <c r="AU5" s="107"/>
      <c r="AV5" s="107"/>
      <c r="AW5" s="107"/>
    </row>
    <row r="6" spans="2:55" ht="11.25" customHeight="1" x14ac:dyDescent="0.3"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E6" s="2"/>
      <c r="AF6" s="2"/>
      <c r="AG6" s="2"/>
      <c r="AH6" s="2"/>
      <c r="AI6" s="2"/>
      <c r="AJ6" s="2"/>
      <c r="AK6" s="2"/>
      <c r="AL6" s="2"/>
      <c r="AM6" s="2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55" ht="11.25" customHeight="1" x14ac:dyDescent="0.3">
      <c r="B7" s="3"/>
      <c r="C7" s="3"/>
      <c r="D7" s="3"/>
      <c r="E7" s="3"/>
      <c r="F7" s="3"/>
      <c r="G7" s="3"/>
      <c r="H7" s="4">
        <v>1</v>
      </c>
      <c r="I7" s="4">
        <v>2</v>
      </c>
      <c r="J7" s="4">
        <v>3</v>
      </c>
      <c r="K7" s="4">
        <v>4</v>
      </c>
      <c r="L7" s="4">
        <v>5</v>
      </c>
      <c r="M7" s="4">
        <v>6</v>
      </c>
      <c r="N7" s="4">
        <v>7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4">
        <v>7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1</v>
      </c>
      <c r="AD7" s="4">
        <v>2</v>
      </c>
      <c r="AE7" s="4">
        <v>3</v>
      </c>
      <c r="AF7" s="4">
        <v>4</v>
      </c>
      <c r="AG7" s="4">
        <v>5</v>
      </c>
      <c r="AH7" s="4">
        <v>6</v>
      </c>
      <c r="AI7" s="4">
        <v>7</v>
      </c>
      <c r="AJ7" s="4">
        <v>1</v>
      </c>
      <c r="AK7" s="4">
        <v>2</v>
      </c>
      <c r="AL7" s="4">
        <v>3</v>
      </c>
      <c r="AM7" s="4">
        <v>4</v>
      </c>
      <c r="AN7" s="4">
        <v>5</v>
      </c>
      <c r="AO7" s="4">
        <v>6</v>
      </c>
      <c r="AP7" s="4">
        <v>7</v>
      </c>
      <c r="AQ7" s="4">
        <v>1</v>
      </c>
      <c r="AR7" s="4">
        <v>2</v>
      </c>
      <c r="AS7" s="4">
        <v>3</v>
      </c>
      <c r="AT7" s="4">
        <v>4</v>
      </c>
      <c r="AU7" s="4">
        <v>5</v>
      </c>
      <c r="AV7" s="4">
        <v>6</v>
      </c>
      <c r="AW7" s="4">
        <v>7</v>
      </c>
      <c r="BA7" s="5"/>
    </row>
    <row r="8" spans="2:55" ht="14.25" x14ac:dyDescent="0.2">
      <c r="B8" s="108"/>
      <c r="C8" s="109"/>
      <c r="D8" s="109"/>
      <c r="E8" s="109"/>
      <c r="F8" s="109"/>
      <c r="G8" s="109"/>
      <c r="H8" s="110" t="s">
        <v>5</v>
      </c>
      <c r="I8" s="111" t="s">
        <v>6</v>
      </c>
      <c r="J8" s="111" t="s">
        <v>7</v>
      </c>
      <c r="K8" s="111" t="s">
        <v>8</v>
      </c>
      <c r="L8" s="111" t="s">
        <v>7</v>
      </c>
      <c r="M8" s="111" t="s">
        <v>9</v>
      </c>
      <c r="N8" s="112" t="s">
        <v>5</v>
      </c>
      <c r="O8" s="112" t="s">
        <v>5</v>
      </c>
      <c r="P8" s="111" t="s">
        <v>6</v>
      </c>
      <c r="Q8" s="111" t="s">
        <v>7</v>
      </c>
      <c r="R8" s="111" t="s">
        <v>8</v>
      </c>
      <c r="S8" s="111" t="s">
        <v>7</v>
      </c>
      <c r="T8" s="111" t="s">
        <v>9</v>
      </c>
      <c r="U8" s="111" t="s">
        <v>5</v>
      </c>
      <c r="V8" s="111" t="s">
        <v>5</v>
      </c>
      <c r="W8" s="111" t="s">
        <v>6</v>
      </c>
      <c r="X8" s="111" t="s">
        <v>7</v>
      </c>
      <c r="Y8" s="111" t="s">
        <v>8</v>
      </c>
      <c r="Z8" s="111" t="s">
        <v>7</v>
      </c>
      <c r="AA8" s="111" t="s">
        <v>9</v>
      </c>
      <c r="AB8" s="111" t="s">
        <v>5</v>
      </c>
      <c r="AC8" s="111" t="s">
        <v>5</v>
      </c>
      <c r="AD8" s="111" t="s">
        <v>6</v>
      </c>
      <c r="AE8" s="111" t="s">
        <v>7</v>
      </c>
      <c r="AF8" s="111" t="s">
        <v>8</v>
      </c>
      <c r="AG8" s="111" t="s">
        <v>7</v>
      </c>
      <c r="AH8" s="111" t="s">
        <v>9</v>
      </c>
      <c r="AI8" s="111" t="s">
        <v>5</v>
      </c>
      <c r="AJ8" s="111" t="s">
        <v>5</v>
      </c>
      <c r="AK8" s="111" t="s">
        <v>6</v>
      </c>
      <c r="AL8" s="111" t="s">
        <v>7</v>
      </c>
      <c r="AM8" s="111" t="s">
        <v>8</v>
      </c>
      <c r="AN8" s="111" t="s">
        <v>7</v>
      </c>
      <c r="AO8" s="111" t="s">
        <v>9</v>
      </c>
      <c r="AP8" s="112" t="s">
        <v>5</v>
      </c>
      <c r="AQ8" s="111" t="s">
        <v>5</v>
      </c>
      <c r="AR8" s="111" t="s">
        <v>6</v>
      </c>
      <c r="AS8" s="111" t="s">
        <v>7</v>
      </c>
      <c r="AT8" s="111" t="s">
        <v>8</v>
      </c>
      <c r="AU8" s="111" t="s">
        <v>7</v>
      </c>
      <c r="AV8" s="111" t="s">
        <v>9</v>
      </c>
      <c r="AW8" s="113" t="s">
        <v>5</v>
      </c>
      <c r="AZ8" s="6" t="s">
        <v>49</v>
      </c>
      <c r="BA8" s="6" t="s">
        <v>50</v>
      </c>
      <c r="BB8" s="6" t="s">
        <v>51</v>
      </c>
      <c r="BC8" s="6" t="s">
        <v>52</v>
      </c>
    </row>
    <row r="9" spans="2:55" ht="18.75" hidden="1" customHeight="1" x14ac:dyDescent="0.3">
      <c r="B9" s="7"/>
      <c r="C9" s="8">
        <f>DATE($AN$5,4,1)</f>
        <v>44652</v>
      </c>
      <c r="D9" s="8"/>
      <c r="E9" s="8"/>
      <c r="F9" s="8"/>
      <c r="G9" s="9"/>
      <c r="H9" s="10" t="str">
        <f>IF(ISNUMBER(C9),IF(C9+1&lt;=$BC9,C9+1,""),IF(AND(COUNT($C9:C9)&lt;$BC9,H$7=$BA9),1,""))</f>
        <v/>
      </c>
      <c r="I9" s="10" t="str">
        <f>IF(ISNUMBER(H9),IF(H9+1&lt;=$BC9,H9+1,""),IF(AND(COUNT($C9:H9)&lt;$BC9,I$7=$BA9),1,""))</f>
        <v/>
      </c>
      <c r="J9" s="10" t="str">
        <f>IF(ISNUMBER(I9),IF(I9+1&lt;=$BC9,I9+1,""),IF(AND(COUNT($C9:I9)&lt;$BC9,J$7=$BA9),1,""))</f>
        <v/>
      </c>
      <c r="K9" s="10" t="str">
        <f>IF(ISNUMBER(J9),IF(J9+1&lt;=$BC9,J9+1,""),IF(AND(COUNT($C9:J9)&lt;$BC9,K$7=$BA9),1,""))</f>
        <v/>
      </c>
      <c r="L9" s="10" t="str">
        <f>IF(ISNUMBER(K9),IF(K9+1&lt;=$BC9,K9+1,""),IF(AND(COUNT($C9:K9)&lt;$BC9,L$7=$BA9),1,""))</f>
        <v/>
      </c>
      <c r="M9" s="10">
        <f>IF(ISNUMBER(L9),IF(L9+1&lt;=$BC9,L9+1,""),IF(AND(COUNT($C9:L9)&lt;$BC9,M$7=$BA9),1,""))</f>
        <v>1</v>
      </c>
      <c r="N9" s="11">
        <f>IF(ISNUMBER(M9),IF(M9+1&lt;=$BC9,M9+1,""),IF(AND(COUNT($C9:M9)&lt;$BC9,N$7=$BA9),1,""))</f>
        <v>2</v>
      </c>
      <c r="O9" s="12">
        <f>IF(ISNUMBER(N9),IF(N9+1&lt;=$BC9,N9+1,""),IF(AND(COUNT($C9:N9)&lt;$BC9,O$7=$BA9),1,""))</f>
        <v>3</v>
      </c>
      <c r="P9" s="10">
        <f>IF(ISNUMBER(O9),IF(O9+1&lt;=$BC9,O9+1,""),IF(AND(COUNT($C9:O9)&lt;$BC9,P$7=$BA9),1,""))</f>
        <v>4</v>
      </c>
      <c r="Q9" s="10">
        <f>IF(ISNUMBER(P9),IF(P9+1&lt;=$BC9,P9+1,""),IF(AND(COUNT($C9:P9)&lt;$BC9,Q$7=$BA9),1,""))</f>
        <v>5</v>
      </c>
      <c r="R9" s="10">
        <f>IF(ISNUMBER(Q9),IF(Q9+1&lt;=$BC9,Q9+1,""),IF(AND(COUNT($C9:Q9)&lt;$BC9,R$7=$BA9),1,""))</f>
        <v>6</v>
      </c>
      <c r="S9" s="10">
        <f>IF(ISNUMBER(R9),IF(R9+1&lt;=$BC9,R9+1,""),IF(AND(COUNT($C9:R9)&lt;$BC9,S$7=$BA9),1,""))</f>
        <v>7</v>
      </c>
      <c r="T9" s="10">
        <f>IF(ISNUMBER(S9),IF(S9+1&lt;=$BC9,S9+1,""),IF(AND(COUNT($C9:S9)&lt;$BC9,T$7=$BA9),1,""))</f>
        <v>8</v>
      </c>
      <c r="U9" s="11">
        <f>IF(ISNUMBER(T9),IF(T9+1&lt;=$BC9,T9+1,""),IF(AND(COUNT($C9:T9)&lt;$BC9,U$7=$BA9),1,""))</f>
        <v>9</v>
      </c>
      <c r="V9" s="12">
        <f>IF(ISNUMBER(U9),IF(U9+1&lt;=$BC9,U9+1,""),IF(AND(COUNT($C9:U9)&lt;$BC9,V$7=$BA9),1,""))</f>
        <v>10</v>
      </c>
      <c r="W9" s="10">
        <f>IF(ISNUMBER(V9),IF(V9+1&lt;=$BC9,V9+1,""),IF(AND(COUNT($C9:V9)&lt;$BC9,W$7=$BA9),1,""))</f>
        <v>11</v>
      </c>
      <c r="X9" s="10">
        <f>IF(ISNUMBER(W9),IF(W9+1&lt;=$BC9,W9+1,""),IF(AND(COUNT($C9:W9)&lt;$BC9,X$7=$BA9),1,""))</f>
        <v>12</v>
      </c>
      <c r="Y9" s="10">
        <f>IF(ISNUMBER(X9),IF(X9+1&lt;=$BC9,X9+1,""),IF(AND(COUNT($C9:X9)&lt;$BC9,Y$7=$BA9),1,""))</f>
        <v>13</v>
      </c>
      <c r="Z9" s="10">
        <f>IF(ISNUMBER(Y9),IF(Y9+1&lt;=$BC9,Y9+1,""),IF(AND(COUNT($C9:Y9)&lt;$BC9,Z$7=$BA9),1,""))</f>
        <v>14</v>
      </c>
      <c r="AA9" s="10">
        <f>IF(ISNUMBER(Z9),IF(Z9+1&lt;=$BC9,Z9+1,""),IF(AND(COUNT($C9:Z9)&lt;$BC9,AA$7=$BA9),1,""))</f>
        <v>15</v>
      </c>
      <c r="AB9" s="11">
        <f>IF(ISNUMBER(AA9),IF(AA9+1&lt;=$BC9,AA9+1,""),IF(AND(COUNT($C9:AA9)&lt;$BC9,AB$7=$BA9),1,""))</f>
        <v>16</v>
      </c>
      <c r="AC9" s="12">
        <f>IF(ISNUMBER(AB9),IF(AB9+1&lt;=$BC9,AB9+1,""),IF(AND(COUNT($C9:AB9)&lt;$BC9,AC$7=$BA9),1,""))</f>
        <v>17</v>
      </c>
      <c r="AD9" s="10">
        <f>IF(ISNUMBER(AC9),IF(AC9+1&lt;=$BC9,AC9+1,""),IF(AND(COUNT($C9:AC9)&lt;$BC9,AD$7=$BA9),1,""))</f>
        <v>18</v>
      </c>
      <c r="AE9" s="10">
        <f>IF(ISNUMBER(AD9),IF(AD9+1&lt;=$BC9,AD9+1,""),IF(AND(COUNT($C9:AD9)&lt;$BC9,AE$7=$BA9),1,""))</f>
        <v>19</v>
      </c>
      <c r="AF9" s="10">
        <f>IF(ISNUMBER(AE9),IF(AE9+1&lt;=$BC9,AE9+1,""),IF(AND(COUNT($C9:AE9)&lt;$BC9,AF$7=$BA9),1,""))</f>
        <v>20</v>
      </c>
      <c r="AG9" s="10">
        <f>IF(ISNUMBER(AF9),IF(AF9+1&lt;=$BC9,AF9+1,""),IF(AND(COUNT($C9:AF9)&lt;$BC9,AG$7=$BA9),1,""))</f>
        <v>21</v>
      </c>
      <c r="AH9" s="10">
        <f>IF(ISNUMBER(AG9),IF(AG9+1&lt;=$BC9,AG9+1,""),IF(AND(COUNT($C9:AG9)&lt;$BC9,AH$7=$BA9),1,""))</f>
        <v>22</v>
      </c>
      <c r="AI9" s="11">
        <f>IF(ISNUMBER(AH9),IF(AH9+1&lt;=$BC9,AH9+1,""),IF(AND(COUNT($C9:AH9)&lt;$BC9,AI$7=$BA9),1,""))</f>
        <v>23</v>
      </c>
      <c r="AJ9" s="12">
        <f>IF(ISNUMBER(AI9),IF(AI9+1&lt;=$BC9,AI9+1,""),IF(AND(COUNT($C9:AI9)&lt;$BC9,AJ$7=$BA9),1,""))</f>
        <v>24</v>
      </c>
      <c r="AK9" s="10">
        <f>IF(ISNUMBER(AJ9),IF(AJ9+1&lt;=$BC9,AJ9+1,""),IF(AND(COUNT($C9:AJ9)&lt;$BC9,AK$7=$BA9),1,""))</f>
        <v>25</v>
      </c>
      <c r="AL9" s="10">
        <f>IF(ISNUMBER(AK9),IF(AK9+1&lt;=$BC9,AK9+1,""),IF(AND(COUNT($C9:AK9)&lt;$BC9,AL$7=$BA9),1,""))</f>
        <v>26</v>
      </c>
      <c r="AM9" s="10">
        <f>IF(ISNUMBER(AL9),IF(AL9+1&lt;=$BC9,AL9+1,""),IF(AND(COUNT($C9:AL9)&lt;$BC9,AM$7=$BA9),1,""))</f>
        <v>27</v>
      </c>
      <c r="AN9" s="10">
        <f>IF(ISNUMBER(AM9),IF(AM9+1&lt;=$BC9,AM9+1,""),IF(AND(COUNT($C9:AM9)&lt;$BC9,AN$7=$BA9),1,""))</f>
        <v>28</v>
      </c>
      <c r="AO9" s="10">
        <f>IF(ISNUMBER(AN9),IF(AN9+1&lt;=$BC9,AN9+1,""),IF(AND(COUNT($C9:AN9)&lt;$BC9,AO$7=$BA9),1,""))</f>
        <v>29</v>
      </c>
      <c r="AP9" s="11">
        <f>IF(ISNUMBER(AO9),IF(AO9+1&lt;=$BC9,AO9+1,""),IF(AND(COUNT($C9:AO9)&lt;$BC9,AP$7=$BA9),1,""))</f>
        <v>30</v>
      </c>
      <c r="AQ9" s="12" t="str">
        <f>IF(ISNUMBER(AP9),IF(AP9+1&lt;=$BC9,AP9+1,""),IF(AND(COUNT($C9:AP9)&lt;$BC9,AQ$7=$BA9),1,""))</f>
        <v/>
      </c>
      <c r="AR9" s="10" t="str">
        <f>IF(ISNUMBER(AQ9),IF(AQ9+1&lt;=$BC9,AQ9+1,""),IF(AND(COUNT($C9:AQ9)&lt;$BC9,AR$7=$BA9),1,""))</f>
        <v/>
      </c>
      <c r="AS9" s="10" t="str">
        <f>IF(ISNUMBER(AR9),IF(AR9+1&lt;=$BC9,AR9+1,""),IF(AND(COUNT($C9:AR9)&lt;$BC9,AS$7=$BA9),1,""))</f>
        <v/>
      </c>
      <c r="AT9" s="10" t="str">
        <f>IF(ISNUMBER(AS9),IF(AS9+1&lt;=$BC9,AS9+1,""),IF(AND(COUNT($C9:AS9)&lt;$BC9,AT$7=$BA9),1,""))</f>
        <v/>
      </c>
      <c r="AU9" s="10" t="str">
        <f>IF(ISNUMBER(AT9),IF(AT9+1&lt;=$BC9,AT9+1,""),IF(AND(COUNT($C9:AT9)&lt;$BC9,AU$7=$BA9),1,""))</f>
        <v/>
      </c>
      <c r="AV9" s="10" t="str">
        <f>IF(ISNUMBER(AU9),IF(AU9+1&lt;=$BC9,AU9+1,""),IF(AND(COUNT($C9:AU9)&lt;$BC9,AV$7=$BA9),1,""))</f>
        <v/>
      </c>
      <c r="AW9" s="10" t="str">
        <f>IF(ISNUMBER(AV9),IF(AV9+1&lt;=$BC9,AV9+1,""),IF(AND(COUNT($C9:AV9)&lt;$BC9,AW$7=$BA9),1,""))</f>
        <v/>
      </c>
      <c r="AY9" s="5"/>
      <c r="AZ9" s="13">
        <v>4</v>
      </c>
      <c r="BA9" s="13">
        <f t="shared" ref="BA9:BA25" si="0">WEEKDAY(DATE(IF(AZ9&lt;=3,$AN$5+1,$AN$5),AZ9,1))</f>
        <v>6</v>
      </c>
      <c r="BB9" s="13">
        <f>WEEKDAY(DATE(IF(AZ9&lt;=3,#REF!+1,$AN$5),AZ9+1,1)-1)</f>
        <v>7</v>
      </c>
      <c r="BC9" s="13">
        <f>DATE(IF(AZ9&lt;=3,#REF!+1,$AN$5),AZ9+1,1)-DATE(IF(AZ9&lt;=3,#REF!+1,$AN$5),AZ9,1)</f>
        <v>30</v>
      </c>
    </row>
    <row r="10" spans="2:55" ht="18.399999999999999" customHeight="1" x14ac:dyDescent="0.3">
      <c r="B10" s="14"/>
      <c r="C10" s="15">
        <f>DATE($AN$5,4,1)</f>
        <v>44652</v>
      </c>
      <c r="D10" s="15"/>
      <c r="E10" s="15"/>
      <c r="F10" s="15"/>
      <c r="G10" s="15"/>
      <c r="H10" s="16" t="str">
        <f>IFERROR(DATE(YEAR($C9),MONTH($C9),DAY(H9)),"")</f>
        <v/>
      </c>
      <c r="I10" s="17" t="str">
        <f t="shared" ref="I10:AW10" si="1">IFERROR(DATE(YEAR($C9),MONTH($C9),DAY(I9)),"")</f>
        <v/>
      </c>
      <c r="J10" s="17" t="str">
        <f t="shared" si="1"/>
        <v/>
      </c>
      <c r="K10" s="17" t="str">
        <f t="shared" si="1"/>
        <v/>
      </c>
      <c r="L10" s="17" t="str">
        <f t="shared" si="1"/>
        <v/>
      </c>
      <c r="M10" s="17">
        <f t="shared" si="1"/>
        <v>44652</v>
      </c>
      <c r="N10" s="18">
        <f t="shared" si="1"/>
        <v>44653</v>
      </c>
      <c r="O10" s="19">
        <f t="shared" si="1"/>
        <v>44654</v>
      </c>
      <c r="P10" s="17">
        <f t="shared" si="1"/>
        <v>44655</v>
      </c>
      <c r="Q10" s="17">
        <f t="shared" si="1"/>
        <v>44656</v>
      </c>
      <c r="R10" s="17">
        <f t="shared" si="1"/>
        <v>44657</v>
      </c>
      <c r="S10" s="17">
        <f t="shared" si="1"/>
        <v>44658</v>
      </c>
      <c r="T10" s="17">
        <f t="shared" si="1"/>
        <v>44659</v>
      </c>
      <c r="U10" s="18">
        <f t="shared" si="1"/>
        <v>44660</v>
      </c>
      <c r="V10" s="19">
        <f t="shared" si="1"/>
        <v>44661</v>
      </c>
      <c r="W10" s="17">
        <f t="shared" si="1"/>
        <v>44662</v>
      </c>
      <c r="X10" s="17">
        <f t="shared" si="1"/>
        <v>44663</v>
      </c>
      <c r="Y10" s="17">
        <f t="shared" si="1"/>
        <v>44664</v>
      </c>
      <c r="Z10" s="17">
        <f t="shared" si="1"/>
        <v>44665</v>
      </c>
      <c r="AA10" s="17">
        <f t="shared" si="1"/>
        <v>44666</v>
      </c>
      <c r="AB10" s="18">
        <f t="shared" si="1"/>
        <v>44667</v>
      </c>
      <c r="AC10" s="19">
        <f t="shared" si="1"/>
        <v>44668</v>
      </c>
      <c r="AD10" s="17">
        <f t="shared" si="1"/>
        <v>44669</v>
      </c>
      <c r="AE10" s="17">
        <f t="shared" si="1"/>
        <v>44670</v>
      </c>
      <c r="AF10" s="17">
        <f t="shared" si="1"/>
        <v>44671</v>
      </c>
      <c r="AG10" s="17">
        <f t="shared" si="1"/>
        <v>44672</v>
      </c>
      <c r="AH10" s="17">
        <f t="shared" si="1"/>
        <v>44673</v>
      </c>
      <c r="AI10" s="18">
        <f t="shared" si="1"/>
        <v>44674</v>
      </c>
      <c r="AJ10" s="19">
        <f t="shared" si="1"/>
        <v>44675</v>
      </c>
      <c r="AK10" s="17">
        <f t="shared" si="1"/>
        <v>44676</v>
      </c>
      <c r="AL10" s="17">
        <f t="shared" si="1"/>
        <v>44677</v>
      </c>
      <c r="AM10" s="17">
        <f t="shared" si="1"/>
        <v>44678</v>
      </c>
      <c r="AN10" s="17">
        <f>IFERROR(DATE(YEAR($C9),MONTH($C9),DAY(AN9)),"")</f>
        <v>44679</v>
      </c>
      <c r="AO10" s="17">
        <f t="shared" si="1"/>
        <v>44680</v>
      </c>
      <c r="AP10" s="18">
        <f t="shared" si="1"/>
        <v>44681</v>
      </c>
      <c r="AQ10" s="19" t="str">
        <f t="shared" si="1"/>
        <v/>
      </c>
      <c r="AR10" s="17" t="str">
        <f t="shared" si="1"/>
        <v/>
      </c>
      <c r="AS10" s="17" t="str">
        <f t="shared" si="1"/>
        <v/>
      </c>
      <c r="AT10" s="17" t="str">
        <f t="shared" si="1"/>
        <v/>
      </c>
      <c r="AU10" s="17" t="str">
        <f t="shared" si="1"/>
        <v/>
      </c>
      <c r="AV10" s="17" t="str">
        <f t="shared" si="1"/>
        <v/>
      </c>
      <c r="AW10" s="17" t="str">
        <f t="shared" si="1"/>
        <v/>
      </c>
      <c r="AY10" s="5"/>
      <c r="AZ10" s="13"/>
      <c r="BA10" s="13"/>
      <c r="BB10" s="13"/>
      <c r="BC10" s="13"/>
    </row>
    <row r="11" spans="2:55" ht="25.15" hidden="1" customHeight="1" x14ac:dyDescent="0.3">
      <c r="B11" s="20"/>
      <c r="C11" s="21">
        <f>DATE($AN$5,5,1)</f>
        <v>44682</v>
      </c>
      <c r="D11" s="21"/>
      <c r="E11" s="21"/>
      <c r="F11" s="21"/>
      <c r="G11" s="21"/>
      <c r="H11" s="22" t="str">
        <f>IF(ISNUMBER(C11),IF(C11+1&lt;=$BC11,C11+1,""),IF(AND(COUNT($C11:C11)&lt;$BC11,H$7=$BA11),1,""))</f>
        <v/>
      </c>
      <c r="I11" s="23" t="str">
        <f>IF(ISNUMBER(H11),IF(H11+1&lt;=$BC11,H11+1,""),IF(AND(COUNT($C11:H11)&lt;$BC11,I$7=$BA11),1,""))</f>
        <v/>
      </c>
      <c r="J11" s="23" t="str">
        <f>IF(ISNUMBER(I11),IF(I11+1&lt;=$BC11,I11+1,""),IF(AND(COUNT($C11:I11)&lt;$BC11,J$7=$BA11),1,""))</f>
        <v/>
      </c>
      <c r="K11" s="23" t="str">
        <f>IF(ISNUMBER(J11),IF(J11+1&lt;=$BC11,J11+1,""),IF(AND(COUNT($C11:J11)&lt;$BC11,K$7=$BA11),1,""))</f>
        <v/>
      </c>
      <c r="L11" s="23" t="str">
        <f>IF(ISNUMBER(K11),IF(K11+1&lt;=$BC11,K11+1,""),IF(AND(COUNT($C11:K11)&lt;$BC11,L$7=$BA11),1,""))</f>
        <v/>
      </c>
      <c r="M11" s="23" t="str">
        <f>IF(ISNUMBER(L11),IF(L11+1&lt;=$BC11,L11+1,""),IF(AND(COUNT($C11:L11)&lt;$BC11,M$7=$BA11),1,""))</f>
        <v/>
      </c>
      <c r="N11" s="24" t="str">
        <f>IF(ISNUMBER(M11),IF(M11+1&lt;=$BC11,M11+1,""),IF(AND(COUNT($C11:M11)&lt;$BC11,N$7=$BA11),1,""))</f>
        <v/>
      </c>
      <c r="O11" s="25">
        <f>IF(ISNUMBER(N11),IF(N11+1&lt;=$BC11,N11+1,""),IF(AND(COUNT($C11:N11)&lt;$BC11,O$7=$BA11),1,""))</f>
        <v>1</v>
      </c>
      <c r="P11" s="23">
        <f>IF(ISNUMBER(O11),IF(O11+1&lt;=$BC11,O11+1,""),IF(AND(COUNT($C11:O11)&lt;$BC11,P$7=$BA11),1,""))</f>
        <v>2</v>
      </c>
      <c r="Q11" s="23">
        <f>IF(ISNUMBER(P11),IF(P11+1&lt;=$BC11,P11+1,""),IF(AND(COUNT($C11:P11)&lt;$BC11,Q$7=$BA11),1,""))</f>
        <v>3</v>
      </c>
      <c r="R11" s="23">
        <f>IF(ISNUMBER(Q11),IF(Q11+1&lt;=$BC11,Q11+1,""),IF(AND(COUNT($C11:Q11)&lt;$BC11,R$7=$BA11),1,""))</f>
        <v>4</v>
      </c>
      <c r="S11" s="23">
        <f>IF(ISNUMBER(R11),IF(R11+1&lt;=$BC11,R11+1,""),IF(AND(COUNT($C11:R11)&lt;$BC11,S$7=$BA11),1,""))</f>
        <v>5</v>
      </c>
      <c r="T11" s="23">
        <f>IF(ISNUMBER(S11),IF(S11+1&lt;=$BC11,S11+1,""),IF(AND(COUNT($C11:S11)&lt;$BC11,T$7=$BA11),1,""))</f>
        <v>6</v>
      </c>
      <c r="U11" s="24">
        <f>IF(ISNUMBER(T11),IF(T11+1&lt;=$BC11,T11+1,""),IF(AND(COUNT($C11:T11)&lt;$BC11,U$7=$BA11),1,""))</f>
        <v>7</v>
      </c>
      <c r="V11" s="25">
        <f>IF(ISNUMBER(U11),IF(U11+1&lt;=$BC11,U11+1,""),IF(AND(COUNT($C11:U11)&lt;$BC11,V$7=$BA11),1,""))</f>
        <v>8</v>
      </c>
      <c r="W11" s="23">
        <f>IF(ISNUMBER(V11),IF(V11+1&lt;=$BC11,V11+1,""),IF(AND(COUNT($C11:V11)&lt;$BC11,W$7=$BA11),1,""))</f>
        <v>9</v>
      </c>
      <c r="X11" s="23">
        <f>IF(ISNUMBER(W11),IF(W11+1&lt;=$BC11,W11+1,""),IF(AND(COUNT($C11:W11)&lt;$BC11,X$7=$BA11),1,""))</f>
        <v>10</v>
      </c>
      <c r="Y11" s="23">
        <f>IF(ISNUMBER(X11),IF(X11+1&lt;=$BC11,X11+1,""),IF(AND(COUNT($C11:X11)&lt;$BC11,Y$7=$BA11),1,""))</f>
        <v>11</v>
      </c>
      <c r="Z11" s="23">
        <f>IF(ISNUMBER(Y11),IF(Y11+1&lt;=$BC11,Y11+1,""),IF(AND(COUNT($C11:Y11)&lt;$BC11,Z$7=$BA11),1,""))</f>
        <v>12</v>
      </c>
      <c r="AA11" s="23">
        <f>IF(ISNUMBER(Z11),IF(Z11+1&lt;=$BC11,Z11+1,""),IF(AND(COUNT($C11:Z11)&lt;$BC11,AA$7=$BA11),1,""))</f>
        <v>13</v>
      </c>
      <c r="AB11" s="24">
        <f>IF(ISNUMBER(AA11),IF(AA11+1&lt;=$BC11,AA11+1,""),IF(AND(COUNT($C11:AA11)&lt;$BC11,AB$7=$BA11),1,""))</f>
        <v>14</v>
      </c>
      <c r="AC11" s="25">
        <f>IF(ISNUMBER(AB11),IF(AB11+1&lt;=$BC11,AB11+1,""),IF(AND(COUNT($C11:AB11)&lt;$BC11,AC$7=$BA11),1,""))</f>
        <v>15</v>
      </c>
      <c r="AD11" s="23">
        <f>IF(ISNUMBER(AC11),IF(AC11+1&lt;=$BC11,AC11+1,""),IF(AND(COUNT($C11:AC11)&lt;$BC11,AD$7=$BA11),1,""))</f>
        <v>16</v>
      </c>
      <c r="AE11" s="23">
        <f>IF(ISNUMBER(AD11),IF(AD11+1&lt;=$BC11,AD11+1,""),IF(AND(COUNT($C11:AD11)&lt;$BC11,AE$7=$BA11),1,""))</f>
        <v>17</v>
      </c>
      <c r="AF11" s="23">
        <f>IF(ISNUMBER(AE11),IF(AE11+1&lt;=$BC11,AE11+1,""),IF(AND(COUNT($C11:AE11)&lt;$BC11,AF$7=$BA11),1,""))</f>
        <v>18</v>
      </c>
      <c r="AG11" s="23">
        <f>IF(ISNUMBER(AF11),IF(AF11+1&lt;=$BC11,AF11+1,""),IF(AND(COUNT($C11:AF11)&lt;$BC11,AG$7=$BA11),1,""))</f>
        <v>19</v>
      </c>
      <c r="AH11" s="23">
        <f>IF(ISNUMBER(AG11),IF(AG11+1&lt;=$BC11,AG11+1,""),IF(AND(COUNT($C11:AG11)&lt;$BC11,AH$7=$BA11),1,""))</f>
        <v>20</v>
      </c>
      <c r="AI11" s="24">
        <f>IF(ISNUMBER(AH11),IF(AH11+1&lt;=$BC11,AH11+1,""),IF(AND(COUNT($C11:AH11)&lt;$BC11,AI$7=$BA11),1,""))</f>
        <v>21</v>
      </c>
      <c r="AJ11" s="25">
        <f>IF(ISNUMBER(AI11),IF(AI11+1&lt;=$BC11,AI11+1,""),IF(AND(COUNT($C11:AI11)&lt;$BC11,AJ$7=$BA11),1,""))</f>
        <v>22</v>
      </c>
      <c r="AK11" s="23">
        <f>IF(ISNUMBER(AJ11),IF(AJ11+1&lt;=$BC11,AJ11+1,""),IF(AND(COUNT($C11:AJ11)&lt;$BC11,AK$7=$BA11),1,""))</f>
        <v>23</v>
      </c>
      <c r="AL11" s="23">
        <f>IF(ISNUMBER(AK11),IF(AK11+1&lt;=$BC11,AK11+1,""),IF(AND(COUNT($C11:AK11)&lt;$BC11,AL$7=$BA11),1,""))</f>
        <v>24</v>
      </c>
      <c r="AM11" s="23">
        <f>IF(ISNUMBER(AL11),IF(AL11+1&lt;=$BC11,AL11+1,""),IF(AND(COUNT($C11:AL11)&lt;$BC11,AM$7=$BA11),1,""))</f>
        <v>25</v>
      </c>
      <c r="AN11" s="23">
        <f>IF(ISNUMBER(AM11),IF(AM11+1&lt;=$BC11,AM11+1,""),IF(AND(COUNT($C11:AM11)&lt;$BC11,AN$7=$BA11),1,""))</f>
        <v>26</v>
      </c>
      <c r="AO11" s="23">
        <f>IF(ISNUMBER(AN11),IF(AN11+1&lt;=$BC11,AN11+1,""),IF(AND(COUNT($C11:AN11)&lt;$BC11,AO$7=$BA11),1,""))</f>
        <v>27</v>
      </c>
      <c r="AP11" s="24">
        <f>IF(ISNUMBER(AO11),IF(AO11+1&lt;=$BC11,AO11+1,""),IF(AND(COUNT($C11:AO11)&lt;$BC11,AP$7=$BA11),1,""))</f>
        <v>28</v>
      </c>
      <c r="AQ11" s="25">
        <f>IF(ISNUMBER(AP11),IF(AP11+1&lt;=$BC11,AP11+1,""),IF(AND(COUNT($C11:AP11)&lt;$BC11,AQ$7=$BA11),1,""))</f>
        <v>29</v>
      </c>
      <c r="AR11" s="23">
        <f>IF(ISNUMBER(AQ11),IF(AQ11+1&lt;=$BC11,AQ11+1,""),IF(AND(COUNT($C11:AQ11)&lt;$BC11,AR$7=$BA11),1,""))</f>
        <v>30</v>
      </c>
      <c r="AS11" s="23">
        <f>IF(ISNUMBER(AR11),IF(AR11+1&lt;=$BC11,AR11+1,""),IF(AND(COUNT($C11:AR11)&lt;$BC11,AS$7=$BA11),1,""))</f>
        <v>31</v>
      </c>
      <c r="AT11" s="23" t="str">
        <f>IF(ISNUMBER(AS11),IF(AS11+1&lt;=$BC11,AS11+1,""),IF(AND(COUNT($C11:AS11)&lt;$BC11,AT$7=$BA11),1,""))</f>
        <v/>
      </c>
      <c r="AU11" s="23" t="str">
        <f>IF(ISNUMBER(AT11),IF(AT11+1&lt;=$BC11,AT11+1,""),IF(AND(COUNT($C11:AT11)&lt;$BC11,AU$7=$BA11),1,""))</f>
        <v/>
      </c>
      <c r="AV11" s="23" t="str">
        <f>IF(ISNUMBER(AU11),IF(AU11+1&lt;=$BC11,AU11+1,""),IF(AND(COUNT($C11:AU11)&lt;$BC11,AV$7=$BA11),1,""))</f>
        <v/>
      </c>
      <c r="AW11" s="23" t="str">
        <f>IF(ISNUMBER(AV11),IF(AV11+1&lt;=$BC11,AV11+1,""),IF(AND(COUNT($C11:AV11)&lt;$BC11,AW$7=$BA11),1,""))</f>
        <v/>
      </c>
      <c r="AY11" s="26"/>
      <c r="AZ11" s="13">
        <v>5</v>
      </c>
      <c r="BA11" s="13">
        <f t="shared" si="0"/>
        <v>1</v>
      </c>
      <c r="BB11" s="13">
        <f>WEEKDAY(DATE(IF(AZ11&lt;=3,#REF!+1,$AN$5),AZ11+1,1)-1)</f>
        <v>3</v>
      </c>
      <c r="BC11" s="13">
        <f>DATE(IF(AZ11&lt;=3,#REF!+1,$AN$5),AZ11+1,1)-DATE(IF(AZ11&lt;=3,#REF!+1,$AN$5),AZ11,1)</f>
        <v>31</v>
      </c>
    </row>
    <row r="12" spans="2:55" ht="18.75" customHeight="1" x14ac:dyDescent="0.3">
      <c r="B12" s="20"/>
      <c r="C12" s="21">
        <f>DATE($AN$5,5,1)</f>
        <v>44682</v>
      </c>
      <c r="D12" s="21"/>
      <c r="E12" s="21"/>
      <c r="F12" s="21"/>
      <c r="G12" s="21"/>
      <c r="H12" s="22" t="str">
        <f>IFERROR(DATE(YEAR($C11),MONTH($C11),DAY(H11)),"")</f>
        <v/>
      </c>
      <c r="I12" s="23" t="str">
        <f>IFERROR(DATE(YEAR($C11),MONTH($C11),DAY(I11)),"")</f>
        <v/>
      </c>
      <c r="J12" s="23" t="str">
        <f t="shared" ref="J12:AW12" si="2">IFERROR(DATE(YEAR($C11),MONTH($C11),DAY(J11)),"")</f>
        <v/>
      </c>
      <c r="K12" s="23" t="str">
        <f t="shared" si="2"/>
        <v/>
      </c>
      <c r="L12" s="23" t="str">
        <f t="shared" si="2"/>
        <v/>
      </c>
      <c r="M12" s="23" t="str">
        <f t="shared" si="2"/>
        <v/>
      </c>
      <c r="N12" s="24" t="str">
        <f t="shared" si="2"/>
        <v/>
      </c>
      <c r="O12" s="25">
        <f t="shared" si="2"/>
        <v>44682</v>
      </c>
      <c r="P12" s="23">
        <f t="shared" si="2"/>
        <v>44683</v>
      </c>
      <c r="Q12" s="23">
        <f t="shared" si="2"/>
        <v>44684</v>
      </c>
      <c r="R12" s="23">
        <f t="shared" si="2"/>
        <v>44685</v>
      </c>
      <c r="S12" s="23">
        <f t="shared" si="2"/>
        <v>44686</v>
      </c>
      <c r="T12" s="23">
        <f t="shared" si="2"/>
        <v>44687</v>
      </c>
      <c r="U12" s="24">
        <f t="shared" si="2"/>
        <v>44688</v>
      </c>
      <c r="V12" s="25">
        <f t="shared" si="2"/>
        <v>44689</v>
      </c>
      <c r="W12" s="23">
        <f t="shared" si="2"/>
        <v>44690</v>
      </c>
      <c r="X12" s="23">
        <f t="shared" si="2"/>
        <v>44691</v>
      </c>
      <c r="Y12" s="23">
        <f t="shared" si="2"/>
        <v>44692</v>
      </c>
      <c r="Z12" s="23">
        <f t="shared" si="2"/>
        <v>44693</v>
      </c>
      <c r="AA12" s="23">
        <f t="shared" si="2"/>
        <v>44694</v>
      </c>
      <c r="AB12" s="24">
        <f t="shared" si="2"/>
        <v>44695</v>
      </c>
      <c r="AC12" s="25">
        <f t="shared" si="2"/>
        <v>44696</v>
      </c>
      <c r="AD12" s="23">
        <f t="shared" si="2"/>
        <v>44697</v>
      </c>
      <c r="AE12" s="23">
        <f t="shared" si="2"/>
        <v>44698</v>
      </c>
      <c r="AF12" s="23">
        <f t="shared" si="2"/>
        <v>44699</v>
      </c>
      <c r="AG12" s="23">
        <f t="shared" si="2"/>
        <v>44700</v>
      </c>
      <c r="AH12" s="23">
        <f t="shared" si="2"/>
        <v>44701</v>
      </c>
      <c r="AI12" s="24">
        <f t="shared" si="2"/>
        <v>44702</v>
      </c>
      <c r="AJ12" s="25">
        <f t="shared" si="2"/>
        <v>44703</v>
      </c>
      <c r="AK12" s="23">
        <f t="shared" si="2"/>
        <v>44704</v>
      </c>
      <c r="AL12" s="23">
        <f t="shared" si="2"/>
        <v>44705</v>
      </c>
      <c r="AM12" s="23">
        <f t="shared" si="2"/>
        <v>44706</v>
      </c>
      <c r="AN12" s="23">
        <f t="shared" si="2"/>
        <v>44707</v>
      </c>
      <c r="AO12" s="23">
        <f t="shared" si="2"/>
        <v>44708</v>
      </c>
      <c r="AP12" s="24">
        <f t="shared" si="2"/>
        <v>44709</v>
      </c>
      <c r="AQ12" s="25">
        <f>IFERROR(DATE(YEAR($C11),MONTH($C11),DAY(AQ11)),"")</f>
        <v>44710</v>
      </c>
      <c r="AR12" s="23">
        <f t="shared" si="2"/>
        <v>44711</v>
      </c>
      <c r="AS12" s="23">
        <f t="shared" si="2"/>
        <v>44712</v>
      </c>
      <c r="AT12" s="23" t="str">
        <f t="shared" si="2"/>
        <v/>
      </c>
      <c r="AU12" s="23" t="str">
        <f t="shared" si="2"/>
        <v/>
      </c>
      <c r="AV12" s="23" t="str">
        <f t="shared" si="2"/>
        <v/>
      </c>
      <c r="AW12" s="23" t="str">
        <f t="shared" si="2"/>
        <v/>
      </c>
      <c r="AY12" s="26"/>
      <c r="AZ12" s="13"/>
      <c r="BA12" s="13"/>
      <c r="BB12" s="13"/>
      <c r="BC12" s="13"/>
    </row>
    <row r="13" spans="2:55" ht="18.75" hidden="1" customHeight="1" x14ac:dyDescent="0.3">
      <c r="B13" s="7"/>
      <c r="C13" s="21">
        <f>DATE($AN$5,6,1)</f>
        <v>44713</v>
      </c>
      <c r="D13" s="21"/>
      <c r="E13" s="21"/>
      <c r="F13" s="21"/>
      <c r="G13" s="21"/>
      <c r="H13" s="27" t="str">
        <f>IF(ISNUMBER(C13),IF(C13+1&lt;=$BC13,C13+1,""),IF(AND(COUNT($C13:C13)&lt;$BC13,H$7=$BA13),1,""))</f>
        <v/>
      </c>
      <c r="I13" s="10" t="str">
        <f>IF(ISNUMBER(H13),IF(H13+1&lt;=$BC13,H13+1,""),IF(AND(COUNT($C13:H13)&lt;$BC13,I$7=$BA13),1,""))</f>
        <v/>
      </c>
      <c r="J13" s="10" t="str">
        <f>IF(ISNUMBER(I13),IF(I13+1&lt;=$BC13,I13+1,""),IF(AND(COUNT($C13:I13)&lt;$BC13,J$7=$BA13),1,""))</f>
        <v/>
      </c>
      <c r="K13" s="10">
        <f>IF(ISNUMBER(J13),IF(J13+1&lt;=$BC13,J13+1,""),IF(AND(COUNT($C13:J13)&lt;$BC13,K$7=$BA13),1,""))</f>
        <v>1</v>
      </c>
      <c r="L13" s="10">
        <f>IF(ISNUMBER(K13),IF(K13+1&lt;=$BC13,K13+1,""),IF(AND(COUNT($C13:K13)&lt;$BC13,L$7=$BA13),1,""))</f>
        <v>2</v>
      </c>
      <c r="M13" s="10">
        <f>IF(ISNUMBER(L13),IF(L13+1&lt;=$BC13,L13+1,""),IF(AND(COUNT($C13:L13)&lt;$BC13,M$7=$BA13),1,""))</f>
        <v>3</v>
      </c>
      <c r="N13" s="11">
        <f>IF(ISNUMBER(M13),IF(M13+1&lt;=$BC13,M13+1,""),IF(AND(COUNT($C13:M13)&lt;$BC13,N$7=$BA13),1,""))</f>
        <v>4</v>
      </c>
      <c r="O13" s="28">
        <f>IF(ISNUMBER(N13),IF(N13+1&lt;=$BC13,N13+1,""),IF(AND(COUNT($C13:N13)&lt;$BC13,O$7=$BA13),1,""))</f>
        <v>5</v>
      </c>
      <c r="P13" s="10">
        <f>IF(ISNUMBER(O13),IF(O13+1&lt;=$BC13,O13+1,""),IF(AND(COUNT($C13:O13)&lt;$BC13,P$7=$BA13),1,""))</f>
        <v>6</v>
      </c>
      <c r="Q13" s="10">
        <f>IF(ISNUMBER(P13),IF(P13+1&lt;=$BC13,P13+1,""),IF(AND(COUNT($C13:P13)&lt;$BC13,Q$7=$BA13),1,""))</f>
        <v>7</v>
      </c>
      <c r="R13" s="10">
        <f>IF(ISNUMBER(Q13),IF(Q13+1&lt;=$BC13,Q13+1,""),IF(AND(COUNT($C13:Q13)&lt;$BC13,R$7=$BA13),1,""))</f>
        <v>8</v>
      </c>
      <c r="S13" s="10">
        <f>IF(ISNUMBER(R13),IF(R13+1&lt;=$BC13,R13+1,""),IF(AND(COUNT($C13:R13)&lt;$BC13,S$7=$BA13),1,""))</f>
        <v>9</v>
      </c>
      <c r="T13" s="10">
        <f>IF(ISNUMBER(S13),IF(S13+1&lt;=$BC13,S13+1,""),IF(AND(COUNT($C13:S13)&lt;$BC13,T$7=$BA13),1,""))</f>
        <v>10</v>
      </c>
      <c r="U13" s="11">
        <f>IF(ISNUMBER(T13),IF(T13+1&lt;=$BC13,T13+1,""),IF(AND(COUNT($C13:T13)&lt;$BC13,U$7=$BA13),1,""))</f>
        <v>11</v>
      </c>
      <c r="V13" s="28">
        <f>IF(ISNUMBER(U13),IF(U13+1&lt;=$BC13,U13+1,""),IF(AND(COUNT($C13:U13)&lt;$BC13,V$7=$BA13),1,""))</f>
        <v>12</v>
      </c>
      <c r="W13" s="10">
        <f>IF(ISNUMBER(V13),IF(V13+1&lt;=$BC13,V13+1,""),IF(AND(COUNT($C13:V13)&lt;$BC13,W$7=$BA13),1,""))</f>
        <v>13</v>
      </c>
      <c r="X13" s="10">
        <f>IF(ISNUMBER(W13),IF(W13+1&lt;=$BC13,W13+1,""),IF(AND(COUNT($C13:W13)&lt;$BC13,X$7=$BA13),1,""))</f>
        <v>14</v>
      </c>
      <c r="Y13" s="10">
        <f>IF(ISNUMBER(X13),IF(X13+1&lt;=$BC13,X13+1,""),IF(AND(COUNT($C13:X13)&lt;$BC13,Y$7=$BA13),1,""))</f>
        <v>15</v>
      </c>
      <c r="Z13" s="10">
        <f>IF(ISNUMBER(Y13),IF(Y13+1&lt;=$BC13,Y13+1,""),IF(AND(COUNT($C13:Y13)&lt;$BC13,Z$7=$BA13),1,""))</f>
        <v>16</v>
      </c>
      <c r="AA13" s="10">
        <f>IF(ISNUMBER(Z13),IF(Z13+1&lt;=$BC13,Z13+1,""),IF(AND(COUNT($C13:Z13)&lt;$BC13,AA$7=$BA13),1,""))</f>
        <v>17</v>
      </c>
      <c r="AB13" s="11">
        <f>IF(ISNUMBER(AA13),IF(AA13+1&lt;=$BC13,AA13+1,""),IF(AND(COUNT($C13:AA13)&lt;$BC13,AB$7=$BA13),1,""))</f>
        <v>18</v>
      </c>
      <c r="AC13" s="28">
        <f>IF(ISNUMBER(AB13),IF(AB13+1&lt;=$BC13,AB13+1,""),IF(AND(COUNT($C13:AB13)&lt;$BC13,AC$7=$BA13),1,""))</f>
        <v>19</v>
      </c>
      <c r="AD13" s="10">
        <f>IF(ISNUMBER(AC13),IF(AC13+1&lt;=$BC13,AC13+1,""),IF(AND(COUNT($C13:AC13)&lt;$BC13,AD$7=$BA13),1,""))</f>
        <v>20</v>
      </c>
      <c r="AE13" s="10">
        <f>IF(ISNUMBER(AD13),IF(AD13+1&lt;=$BC13,AD13+1,""),IF(AND(COUNT($C13:AD13)&lt;$BC13,AE$7=$BA13),1,""))</f>
        <v>21</v>
      </c>
      <c r="AF13" s="10">
        <f>IF(ISNUMBER(AE13),IF(AE13+1&lt;=$BC13,AE13+1,""),IF(AND(COUNT($C13:AE13)&lt;$BC13,AF$7=$BA13),1,""))</f>
        <v>22</v>
      </c>
      <c r="AG13" s="10">
        <f>IF(ISNUMBER(AF13),IF(AF13+1&lt;=$BC13,AF13+1,""),IF(AND(COUNT($C13:AF13)&lt;$BC13,AG$7=$BA13),1,""))</f>
        <v>23</v>
      </c>
      <c r="AH13" s="10">
        <f>IF(ISNUMBER(AG13),IF(AG13+1&lt;=$BC13,AG13+1,""),IF(AND(COUNT($C13:AG13)&lt;$BC13,AH$7=$BA13),1,""))</f>
        <v>24</v>
      </c>
      <c r="AI13" s="11">
        <f>IF(ISNUMBER(AH13),IF(AH13+1&lt;=$BC13,AH13+1,""),IF(AND(COUNT($C13:AH13)&lt;$BC13,AI$7=$BA13),1,""))</f>
        <v>25</v>
      </c>
      <c r="AJ13" s="28">
        <f>IF(ISNUMBER(AI13),IF(AI13+1&lt;=$BC13,AI13+1,""),IF(AND(COUNT($C13:AI13)&lt;$BC13,AJ$7=$BA13),1,""))</f>
        <v>26</v>
      </c>
      <c r="AK13" s="10">
        <f>IF(ISNUMBER(AJ13),IF(AJ13+1&lt;=$BC13,AJ13+1,""),IF(AND(COUNT($C13:AJ13)&lt;$BC13,AK$7=$BA13),1,""))</f>
        <v>27</v>
      </c>
      <c r="AL13" s="10">
        <f>IF(ISNUMBER(AK13),IF(AK13+1&lt;=$BC13,AK13+1,""),IF(AND(COUNT($C13:AK13)&lt;$BC13,AL$7=$BA13),1,""))</f>
        <v>28</v>
      </c>
      <c r="AM13" s="10">
        <f>IF(ISNUMBER(AL13),IF(AL13+1&lt;=$BC13,AL13+1,""),IF(AND(COUNT($C13:AL13)&lt;$BC13,AM$7=$BA13),1,""))</f>
        <v>29</v>
      </c>
      <c r="AN13" s="10">
        <f>IF(ISNUMBER(AM13),IF(AM13+1&lt;=$BC13,AM13+1,""),IF(AND(COUNT($C13:AM13)&lt;$BC13,AN$7=$BA13),1,""))</f>
        <v>30</v>
      </c>
      <c r="AO13" s="10" t="str">
        <f>IF(ISNUMBER(AN13),IF(AN13+1&lt;=$BC13,AN13+1,""),IF(AND(COUNT($C13:AN13)&lt;$BC13,AO$7=$BA13),1,""))</f>
        <v/>
      </c>
      <c r="AP13" s="11" t="str">
        <f>IF(ISNUMBER(AO13),IF(AO13+1&lt;=$BC13,AO13+1,""),IF(AND(COUNT($C13:AO13)&lt;$BC13,AP$7=$BA13),1,""))</f>
        <v/>
      </c>
      <c r="AQ13" s="28" t="str">
        <f>IF(ISNUMBER(AP13),IF(AP13+1&lt;=$BC13,AP13+1,""),IF(AND(COUNT($C13:AP13)&lt;$BC13,AQ$7=$BA13),1,""))</f>
        <v/>
      </c>
      <c r="AR13" s="10" t="str">
        <f>IF(ISNUMBER(AQ13),IF(AQ13+1&lt;=$BC13,AQ13+1,""),IF(AND(COUNT($C13:AQ13)&lt;$BC13,AR$7=$BA13),1,""))</f>
        <v/>
      </c>
      <c r="AS13" s="10" t="str">
        <f>IF(ISNUMBER(AR13),IF(AR13+1&lt;=$BC13,AR13+1,""),IF(AND(COUNT($C13:AR13)&lt;$BC13,AS$7=$BA13),1,""))</f>
        <v/>
      </c>
      <c r="AT13" s="10" t="str">
        <f>IF(ISNUMBER(AS13),IF(AS13+1&lt;=$BC13,AS13+1,""),IF(AND(COUNT($C13:AS13)&lt;$BC13,AT$7=$BA13),1,""))</f>
        <v/>
      </c>
      <c r="AU13" s="10" t="str">
        <f>IF(ISNUMBER(AT13),IF(AT13+1&lt;=$BC13,AT13+1,""),IF(AND(COUNT($C13:AT13)&lt;$BC13,AU$7=$BA13),1,""))</f>
        <v/>
      </c>
      <c r="AV13" s="10" t="str">
        <f>IF(ISNUMBER(AU13),IF(AU13+1&lt;=$BC13,AU13+1,""),IF(AND(COUNT($C13:AU13)&lt;$BC13,AV$7=$BA13),1,""))</f>
        <v/>
      </c>
      <c r="AW13" s="10" t="str">
        <f>IF(ISNUMBER(AV13),IF(AV13+1&lt;=$BC13,AV13+1,""),IF(AND(COUNT($C13:AV13)&lt;$BC13,AW$7=$BA13),1,""))</f>
        <v/>
      </c>
      <c r="AZ13" s="13">
        <v>6</v>
      </c>
      <c r="BA13" s="13">
        <f t="shared" si="0"/>
        <v>4</v>
      </c>
      <c r="BB13" s="13">
        <f>WEEKDAY(DATE(IF(AZ13&lt;=3,#REF!+1,$AN$5),AZ13+1,1)-1)</f>
        <v>5</v>
      </c>
      <c r="BC13" s="13">
        <f>DATE(IF(AZ13&lt;=3,#REF!+1,$AN$5),AZ13+1,1)-DATE(IF(AZ13&lt;=3,#REF!+1,$AN$5),AZ13,1)</f>
        <v>30</v>
      </c>
    </row>
    <row r="14" spans="2:55" ht="18.75" customHeight="1" x14ac:dyDescent="0.3">
      <c r="B14" s="14"/>
      <c r="C14" s="15">
        <f>DATE($AN$5,6,1)</f>
        <v>44713</v>
      </c>
      <c r="D14" s="15"/>
      <c r="E14" s="15"/>
      <c r="F14" s="15"/>
      <c r="G14" s="29"/>
      <c r="H14" s="16" t="str">
        <f>IFERROR(DATE(YEAR($C13),MONTH($C13),DAY(H13)),"")</f>
        <v/>
      </c>
      <c r="I14" s="17" t="str">
        <f>IFERROR(DATE(YEAR($C13),MONTH($C13),DAY(I13)),"")</f>
        <v/>
      </c>
      <c r="J14" s="17" t="str">
        <f t="shared" ref="J14:AW14" si="3">IFERROR(DATE(YEAR($C13),MONTH($C13),DAY(J13)),"")</f>
        <v/>
      </c>
      <c r="K14" s="17">
        <f>IFERROR(DATE(YEAR($C13),MONTH($C13),DAY(K13)),"")</f>
        <v>44713</v>
      </c>
      <c r="L14" s="17">
        <f t="shared" si="3"/>
        <v>44714</v>
      </c>
      <c r="M14" s="17">
        <f t="shared" si="3"/>
        <v>44715</v>
      </c>
      <c r="N14" s="30">
        <f t="shared" si="3"/>
        <v>44716</v>
      </c>
      <c r="O14" s="16">
        <f t="shared" si="3"/>
        <v>44717</v>
      </c>
      <c r="P14" s="17">
        <f t="shared" si="3"/>
        <v>44718</v>
      </c>
      <c r="Q14" s="17">
        <f t="shared" si="3"/>
        <v>44719</v>
      </c>
      <c r="R14" s="17">
        <f t="shared" si="3"/>
        <v>44720</v>
      </c>
      <c r="S14" s="17">
        <f t="shared" si="3"/>
        <v>44721</v>
      </c>
      <c r="T14" s="17">
        <f t="shared" si="3"/>
        <v>44722</v>
      </c>
      <c r="U14" s="30">
        <f t="shared" si="3"/>
        <v>44723</v>
      </c>
      <c r="V14" s="16">
        <f t="shared" si="3"/>
        <v>44724</v>
      </c>
      <c r="W14" s="17">
        <f t="shared" si="3"/>
        <v>44725</v>
      </c>
      <c r="X14" s="17">
        <f t="shared" si="3"/>
        <v>44726</v>
      </c>
      <c r="Y14" s="17">
        <f t="shared" si="3"/>
        <v>44727</v>
      </c>
      <c r="Z14" s="17">
        <f t="shared" si="3"/>
        <v>44728</v>
      </c>
      <c r="AA14" s="17">
        <f t="shared" si="3"/>
        <v>44729</v>
      </c>
      <c r="AB14" s="30">
        <f t="shared" si="3"/>
        <v>44730</v>
      </c>
      <c r="AC14" s="16">
        <f t="shared" si="3"/>
        <v>44731</v>
      </c>
      <c r="AD14" s="17">
        <f t="shared" si="3"/>
        <v>44732</v>
      </c>
      <c r="AE14" s="17">
        <f t="shared" si="3"/>
        <v>44733</v>
      </c>
      <c r="AF14" s="17">
        <f t="shared" si="3"/>
        <v>44734</v>
      </c>
      <c r="AG14" s="17">
        <f t="shared" si="3"/>
        <v>44735</v>
      </c>
      <c r="AH14" s="17">
        <f t="shared" si="3"/>
        <v>44736</v>
      </c>
      <c r="AI14" s="30">
        <f t="shared" si="3"/>
        <v>44737</v>
      </c>
      <c r="AJ14" s="16">
        <f t="shared" si="3"/>
        <v>44738</v>
      </c>
      <c r="AK14" s="17">
        <f t="shared" si="3"/>
        <v>44739</v>
      </c>
      <c r="AL14" s="17">
        <f t="shared" si="3"/>
        <v>44740</v>
      </c>
      <c r="AM14" s="17">
        <f t="shared" si="3"/>
        <v>44741</v>
      </c>
      <c r="AN14" s="17">
        <f t="shared" si="3"/>
        <v>44742</v>
      </c>
      <c r="AO14" s="17" t="str">
        <f t="shared" si="3"/>
        <v/>
      </c>
      <c r="AP14" s="30" t="str">
        <f t="shared" si="3"/>
        <v/>
      </c>
      <c r="AQ14" s="16" t="str">
        <f t="shared" si="3"/>
        <v/>
      </c>
      <c r="AR14" s="17" t="str">
        <f t="shared" si="3"/>
        <v/>
      </c>
      <c r="AS14" s="17" t="str">
        <f t="shared" si="3"/>
        <v/>
      </c>
      <c r="AT14" s="17" t="str">
        <f t="shared" si="3"/>
        <v/>
      </c>
      <c r="AU14" s="17" t="str">
        <f t="shared" si="3"/>
        <v/>
      </c>
      <c r="AV14" s="17" t="str">
        <f t="shared" si="3"/>
        <v/>
      </c>
      <c r="AW14" s="17" t="str">
        <f t="shared" si="3"/>
        <v/>
      </c>
      <c r="AZ14" s="13"/>
      <c r="BA14" s="13"/>
      <c r="BB14" s="13"/>
      <c r="BC14" s="13"/>
    </row>
    <row r="15" spans="2:55" ht="18.75" hidden="1" customHeight="1" x14ac:dyDescent="0.3">
      <c r="B15" s="20"/>
      <c r="C15" s="21">
        <f>DATE($AN$5,7,1)</f>
        <v>44743</v>
      </c>
      <c r="D15" s="21"/>
      <c r="E15" s="21"/>
      <c r="F15" s="21"/>
      <c r="G15" s="21"/>
      <c r="H15" s="22" t="str">
        <f>IF(ISNUMBER(C15),IF(C15+1&lt;=$BC15,C15+1,""),IF(AND(COUNT($C15:C15)&lt;$BC15,H$7=$BA15),1,""))</f>
        <v/>
      </c>
      <c r="I15" s="23" t="str">
        <f>IF(ISNUMBER(H15),IF(H15+1&lt;=$BC15,H15+1,""),IF(AND(COUNT($C15:H15)&lt;$BC15,I$7=$BA15),1,""))</f>
        <v/>
      </c>
      <c r="J15" s="23" t="str">
        <f>IF(ISNUMBER(I15),IF(I15+1&lt;=$BC15,I15+1,""),IF(AND(COUNT($C15:I15)&lt;$BC15,J$7=$BA15),1,""))</f>
        <v/>
      </c>
      <c r="K15" s="23" t="str">
        <f>IF(ISNUMBER(J15),IF(J15+1&lt;=$BC15,J15+1,""),IF(AND(COUNT($C15:J15)&lt;$BC15,K$7=$BA15),1,""))</f>
        <v/>
      </c>
      <c r="L15" s="23" t="str">
        <f>IF(ISNUMBER(K15),IF(K15+1&lt;=$BC15,K15+1,""),IF(AND(COUNT($C15:K15)&lt;$BC15,L$7=$BA15),1,""))</f>
        <v/>
      </c>
      <c r="M15" s="23">
        <f>IF(ISNUMBER(L15),IF(L15+1&lt;=$BC15,L15+1,""),IF(AND(COUNT($C15:L15)&lt;$BC15,M$7=$BA15),1,""))</f>
        <v>1</v>
      </c>
      <c r="N15" s="24">
        <f>IF(ISNUMBER(M15),IF(M15+1&lt;=$BC15,M15+1,""),IF(AND(COUNT($C15:M15)&lt;$BC15,N$7=$BA15),1,""))</f>
        <v>2</v>
      </c>
      <c r="O15" s="25">
        <f>IF(ISNUMBER(N15),IF(N15+1&lt;=$BC15,N15+1,""),IF(AND(COUNT($C15:N15)&lt;$BC15,O$7=$BA15),1,""))</f>
        <v>3</v>
      </c>
      <c r="P15" s="23">
        <f>IF(ISNUMBER(O15),IF(O15+1&lt;=$BC15,O15+1,""),IF(AND(COUNT($C15:O15)&lt;$BC15,P$7=$BA15),1,""))</f>
        <v>4</v>
      </c>
      <c r="Q15" s="23">
        <f>IF(ISNUMBER(P15),IF(P15+1&lt;=$BC15,P15+1,""),IF(AND(COUNT($C15:P15)&lt;$BC15,Q$7=$BA15),1,""))</f>
        <v>5</v>
      </c>
      <c r="R15" s="23">
        <f>IF(ISNUMBER(Q15),IF(Q15+1&lt;=$BC15,Q15+1,""),IF(AND(COUNT($C15:Q15)&lt;$BC15,R$7=$BA15),1,""))</f>
        <v>6</v>
      </c>
      <c r="S15" s="23">
        <f>IF(ISNUMBER(R15),IF(R15+1&lt;=$BC15,R15+1,""),IF(AND(COUNT($C15:R15)&lt;$BC15,S$7=$BA15),1,""))</f>
        <v>7</v>
      </c>
      <c r="T15" s="23">
        <f>IF(ISNUMBER(S15),IF(S15+1&lt;=$BC15,S15+1,""),IF(AND(COUNT($C15:S15)&lt;$BC15,T$7=$BA15),1,""))</f>
        <v>8</v>
      </c>
      <c r="U15" s="24">
        <f>IF(ISNUMBER(T15),IF(T15+1&lt;=$BC15,T15+1,""),IF(AND(COUNT($C15:T15)&lt;$BC15,U$7=$BA15),1,""))</f>
        <v>9</v>
      </c>
      <c r="V15" s="25">
        <f>IF(ISNUMBER(U15),IF(U15+1&lt;=$BC15,U15+1,""),IF(AND(COUNT($C15:U15)&lt;$BC15,V$7=$BA15),1,""))</f>
        <v>10</v>
      </c>
      <c r="W15" s="23">
        <f>IF(ISNUMBER(V15),IF(V15+1&lt;=$BC15,V15+1,""),IF(AND(COUNT($C15:V15)&lt;$BC15,W$7=$BA15),1,""))</f>
        <v>11</v>
      </c>
      <c r="X15" s="23">
        <f>IF(ISNUMBER(W15),IF(W15+1&lt;=$BC15,W15+1,""),IF(AND(COUNT($C15:W15)&lt;$BC15,X$7=$BA15),1,""))</f>
        <v>12</v>
      </c>
      <c r="Y15" s="23">
        <f>IF(ISNUMBER(X15),IF(X15+1&lt;=$BC15,X15+1,""),IF(AND(COUNT($C15:X15)&lt;$BC15,Y$7=$BA15),1,""))</f>
        <v>13</v>
      </c>
      <c r="Z15" s="23">
        <f>IF(ISNUMBER(Y15),IF(Y15+1&lt;=$BC15,Y15+1,""),IF(AND(COUNT($C15:Y15)&lt;$BC15,Z$7=$BA15),1,""))</f>
        <v>14</v>
      </c>
      <c r="AA15" s="23">
        <f>IF(ISNUMBER(Z15),IF(Z15+1&lt;=$BC15,Z15+1,""),IF(AND(COUNT($C15:Z15)&lt;$BC15,AA$7=$BA15),1,""))</f>
        <v>15</v>
      </c>
      <c r="AB15" s="24">
        <f>IF(ISNUMBER(AA15),IF(AA15+1&lt;=$BC15,AA15+1,""),IF(AND(COUNT($C15:AA15)&lt;$BC15,AB$7=$BA15),1,""))</f>
        <v>16</v>
      </c>
      <c r="AC15" s="25">
        <f>IF(ISNUMBER(AB15),IF(AB15+1&lt;=$BC15,AB15+1,""),IF(AND(COUNT($C15:AB15)&lt;$BC15,AC$7=$BA15),1,""))</f>
        <v>17</v>
      </c>
      <c r="AD15" s="23">
        <f>IF(ISNUMBER(AC15),IF(AC15+1&lt;=$BC15,AC15+1,""),IF(AND(COUNT($C15:AC15)&lt;$BC15,AD$7=$BA15),1,""))</f>
        <v>18</v>
      </c>
      <c r="AE15" s="23">
        <f>IF(ISNUMBER(AD15),IF(AD15+1&lt;=$BC15,AD15+1,""),IF(AND(COUNT($C15:AD15)&lt;$BC15,AE$7=$BA15),1,""))</f>
        <v>19</v>
      </c>
      <c r="AF15" s="23">
        <f>IF(ISNUMBER(AE15),IF(AE15+1&lt;=$BC15,AE15+1,""),IF(AND(COUNT($C15:AE15)&lt;$BC15,AF$7=$BA15),1,""))</f>
        <v>20</v>
      </c>
      <c r="AG15" s="23">
        <f>IF(ISNUMBER(AF15),IF(AF15+1&lt;=$BC15,AF15+1,""),IF(AND(COUNT($C15:AF15)&lt;$BC15,AG$7=$BA15),1,""))</f>
        <v>21</v>
      </c>
      <c r="AH15" s="23">
        <f>IF(ISNUMBER(AG15),IF(AG15+1&lt;=$BC15,AG15+1,""),IF(AND(COUNT($C15:AG15)&lt;$BC15,AH$7=$BA15),1,""))</f>
        <v>22</v>
      </c>
      <c r="AI15" s="24">
        <f>IF(ISNUMBER(AH15),IF(AH15+1&lt;=$BC15,AH15+1,""),IF(AND(COUNT($C15:AH15)&lt;$BC15,AI$7=$BA15),1,""))</f>
        <v>23</v>
      </c>
      <c r="AJ15" s="25">
        <f>IF(ISNUMBER(AI15),IF(AI15+1&lt;=$BC15,AI15+1,""),IF(AND(COUNT($C15:AI15)&lt;$BC15,AJ$7=$BA15),1,""))</f>
        <v>24</v>
      </c>
      <c r="AK15" s="23">
        <f>IF(ISNUMBER(AJ15),IF(AJ15+1&lt;=$BC15,AJ15+1,""),IF(AND(COUNT($C15:AJ15)&lt;$BC15,AK$7=$BA15),1,""))</f>
        <v>25</v>
      </c>
      <c r="AL15" s="23">
        <f>IF(ISNUMBER(AK15),IF(AK15+1&lt;=$BC15,AK15+1,""),IF(AND(COUNT($C15:AK15)&lt;$BC15,AL$7=$BA15),1,""))</f>
        <v>26</v>
      </c>
      <c r="AM15" s="23">
        <f>IF(ISNUMBER(AL15),IF(AL15+1&lt;=$BC15,AL15+1,""),IF(AND(COUNT($C15:AL15)&lt;$BC15,AM$7=$BA15),1,""))</f>
        <v>27</v>
      </c>
      <c r="AN15" s="23">
        <f>IF(ISNUMBER(AM15),IF(AM15+1&lt;=$BC15,AM15+1,""),IF(AND(COUNT($C15:AM15)&lt;$BC15,AN$7=$BA15),1,""))</f>
        <v>28</v>
      </c>
      <c r="AO15" s="23">
        <f>IF(ISNUMBER(AN15),IF(AN15+1&lt;=$BC15,AN15+1,""),IF(AND(COUNT($C15:AN15)&lt;$BC15,AO$7=$BA15),1,""))</f>
        <v>29</v>
      </c>
      <c r="AP15" s="24">
        <f>IF(ISNUMBER(AO15),IF(AO15+1&lt;=$BC15,AO15+1,""),IF(AND(COUNT($C15:AO15)&lt;$BC15,AP$7=$BA15),1,""))</f>
        <v>30</v>
      </c>
      <c r="AQ15" s="25">
        <f>IF(ISNUMBER(AP15),IF(AP15+1&lt;=$BC15,AP15+1,""),IF(AND(COUNT($C15:AP15)&lt;$BC15,AQ$7=$BA15),1,""))</f>
        <v>31</v>
      </c>
      <c r="AR15" s="23" t="str">
        <f>IF(ISNUMBER(AQ15),IF(AQ15+1&lt;=$BC15,AQ15+1,""),IF(AND(COUNT($C15:AQ15)&lt;$BC15,AR$7=$BA15),1,""))</f>
        <v/>
      </c>
      <c r="AS15" s="23" t="str">
        <f>IF(ISNUMBER(AR15),IF(AR15+1&lt;=$BC15,AR15+1,""),IF(AND(COUNT($C15:AR15)&lt;$BC15,AS$7=$BA15),1,""))</f>
        <v/>
      </c>
      <c r="AT15" s="23" t="str">
        <f>IF(ISNUMBER(AS15),IF(AS15+1&lt;=$BC15,AS15+1,""),IF(AND(COUNT($C15:AS15)&lt;$BC15,AT$7=$BA15),1,""))</f>
        <v/>
      </c>
      <c r="AU15" s="23" t="str">
        <f>IF(ISNUMBER(AT15),IF(AT15+1&lt;=$BC15,AT15+1,""),IF(AND(COUNT($C15:AT15)&lt;$BC15,AU$7=$BA15),1,""))</f>
        <v/>
      </c>
      <c r="AV15" s="23" t="str">
        <f>IF(ISNUMBER(AU15),IF(AU15+1&lt;=$BC15,AU15+1,""),IF(AND(COUNT($C15:AU15)&lt;$BC15,AV$7=$BA15),1,""))</f>
        <v/>
      </c>
      <c r="AW15" s="23" t="str">
        <f>IF(ISNUMBER(AV15),IF(AV15+1&lt;=$BC15,AV15+1,""),IF(AND(COUNT($C15:AV15)&lt;$BC15,AW$7=$BA15),1,""))</f>
        <v/>
      </c>
      <c r="AY15" s="31"/>
      <c r="AZ15" s="13">
        <v>7</v>
      </c>
      <c r="BA15" s="13">
        <f t="shared" si="0"/>
        <v>6</v>
      </c>
      <c r="BB15" s="13">
        <f>WEEKDAY(DATE(IF(AZ15&lt;=3,#REF!+1,$AN$5),AZ15+1,1)-1)</f>
        <v>1</v>
      </c>
      <c r="BC15" s="13">
        <f>DATE(IF(AZ15&lt;=3,#REF!+1,$AN$5),AZ15+1,1)-DATE(IF(AZ15&lt;=3,#REF!+1,$AN$5),AZ15,1)</f>
        <v>31</v>
      </c>
    </row>
    <row r="16" spans="2:55" ht="18.75" customHeight="1" x14ac:dyDescent="0.3">
      <c r="B16" s="20"/>
      <c r="C16" s="21">
        <f>DATE($AN$5,7,1)</f>
        <v>44743</v>
      </c>
      <c r="D16" s="21"/>
      <c r="E16" s="21"/>
      <c r="F16" s="21"/>
      <c r="G16" s="21"/>
      <c r="H16" s="22" t="str">
        <f>IFERROR(DATE(YEAR($C15),MONTH($C15),DAY(H15)),"")</f>
        <v/>
      </c>
      <c r="I16" s="23" t="str">
        <f t="shared" ref="I16:AW16" si="4">IFERROR(DATE(YEAR($C15),MONTH($C15),DAY(I15)),"")</f>
        <v/>
      </c>
      <c r="J16" s="23" t="str">
        <f t="shared" si="4"/>
        <v/>
      </c>
      <c r="K16" s="23" t="str">
        <f t="shared" si="4"/>
        <v/>
      </c>
      <c r="L16" s="23" t="str">
        <f t="shared" si="4"/>
        <v/>
      </c>
      <c r="M16" s="23">
        <f t="shared" si="4"/>
        <v>44743</v>
      </c>
      <c r="N16" s="32">
        <f t="shared" si="4"/>
        <v>44744</v>
      </c>
      <c r="O16" s="22">
        <f t="shared" si="4"/>
        <v>44745</v>
      </c>
      <c r="P16" s="23">
        <f t="shared" si="4"/>
        <v>44746</v>
      </c>
      <c r="Q16" s="23">
        <f t="shared" si="4"/>
        <v>44747</v>
      </c>
      <c r="R16" s="23">
        <f t="shared" si="4"/>
        <v>44748</v>
      </c>
      <c r="S16" s="23">
        <f t="shared" si="4"/>
        <v>44749</v>
      </c>
      <c r="T16" s="23">
        <f t="shared" si="4"/>
        <v>44750</v>
      </c>
      <c r="U16" s="32">
        <f t="shared" si="4"/>
        <v>44751</v>
      </c>
      <c r="V16" s="22">
        <f t="shared" si="4"/>
        <v>44752</v>
      </c>
      <c r="W16" s="23">
        <f t="shared" si="4"/>
        <v>44753</v>
      </c>
      <c r="X16" s="23">
        <f t="shared" si="4"/>
        <v>44754</v>
      </c>
      <c r="Y16" s="23">
        <f t="shared" si="4"/>
        <v>44755</v>
      </c>
      <c r="Z16" s="23">
        <f t="shared" si="4"/>
        <v>44756</v>
      </c>
      <c r="AA16" s="23">
        <f t="shared" si="4"/>
        <v>44757</v>
      </c>
      <c r="AB16" s="32">
        <f t="shared" si="4"/>
        <v>44758</v>
      </c>
      <c r="AC16" s="22">
        <f t="shared" si="4"/>
        <v>44759</v>
      </c>
      <c r="AD16" s="23">
        <f t="shared" si="4"/>
        <v>44760</v>
      </c>
      <c r="AE16" s="23">
        <f t="shared" si="4"/>
        <v>44761</v>
      </c>
      <c r="AF16" s="23">
        <f t="shared" si="4"/>
        <v>44762</v>
      </c>
      <c r="AG16" s="23">
        <f t="shared" si="4"/>
        <v>44763</v>
      </c>
      <c r="AH16" s="23">
        <f t="shared" si="4"/>
        <v>44764</v>
      </c>
      <c r="AI16" s="32">
        <f t="shared" si="4"/>
        <v>44765</v>
      </c>
      <c r="AJ16" s="22">
        <f t="shared" si="4"/>
        <v>44766</v>
      </c>
      <c r="AK16" s="23">
        <f t="shared" si="4"/>
        <v>44767</v>
      </c>
      <c r="AL16" s="23">
        <f t="shared" si="4"/>
        <v>44768</v>
      </c>
      <c r="AM16" s="23">
        <f t="shared" si="4"/>
        <v>44769</v>
      </c>
      <c r="AN16" s="23">
        <f t="shared" si="4"/>
        <v>44770</v>
      </c>
      <c r="AO16" s="23">
        <f t="shared" si="4"/>
        <v>44771</v>
      </c>
      <c r="AP16" s="32">
        <f t="shared" si="4"/>
        <v>44772</v>
      </c>
      <c r="AQ16" s="22">
        <f t="shared" si="4"/>
        <v>44773</v>
      </c>
      <c r="AR16" s="23" t="str">
        <f t="shared" si="4"/>
        <v/>
      </c>
      <c r="AS16" s="23" t="str">
        <f t="shared" si="4"/>
        <v/>
      </c>
      <c r="AT16" s="23" t="str">
        <f t="shared" si="4"/>
        <v/>
      </c>
      <c r="AU16" s="23" t="str">
        <f t="shared" si="4"/>
        <v/>
      </c>
      <c r="AV16" s="23" t="str">
        <f t="shared" si="4"/>
        <v/>
      </c>
      <c r="AW16" s="23" t="str">
        <f t="shared" si="4"/>
        <v/>
      </c>
      <c r="AY16" s="31"/>
      <c r="AZ16" s="13"/>
      <c r="BA16" s="13"/>
      <c r="BB16" s="13"/>
      <c r="BC16" s="13"/>
    </row>
    <row r="17" spans="2:55" ht="18.75" hidden="1" customHeight="1" x14ac:dyDescent="0.3">
      <c r="B17" s="7"/>
      <c r="C17" s="21">
        <f>DATE($AN$5,8,1)</f>
        <v>44774</v>
      </c>
      <c r="D17" s="21"/>
      <c r="E17" s="21"/>
      <c r="F17" s="21"/>
      <c r="G17" s="21"/>
      <c r="H17" s="27" t="str">
        <f>IF(ISNUMBER(C17),IF(C17+1&lt;=$BC17,C17+1,""),IF(AND(COUNT($C17:C17)&lt;$BC17,H$7=$BA17),1,""))</f>
        <v/>
      </c>
      <c r="I17" s="10">
        <f>IF(ISNUMBER(H17),IF(H17+1&lt;=$BC17,H17+1,""),IF(AND(COUNT($C17:H17)&lt;$BC17,I$7=$BA17),1,""))</f>
        <v>1</v>
      </c>
      <c r="J17" s="10">
        <f>IF(ISNUMBER(I17),IF(I17+1&lt;=$BC17,I17+1,""),IF(AND(COUNT($C17:I17)&lt;$BC17,J$7=$BA17),1,""))</f>
        <v>2</v>
      </c>
      <c r="K17" s="10">
        <f>IF(ISNUMBER(J17),IF(J17+1&lt;=$BC17,J17+1,""),IF(AND(COUNT($C17:J17)&lt;$BC17,K$7=$BA17),1,""))</f>
        <v>3</v>
      </c>
      <c r="L17" s="10">
        <f>IF(ISNUMBER(K17),IF(K17+1&lt;=$BC17,K17+1,""),IF(AND(COUNT($C17:K17)&lt;$BC17,L$7=$BA17),1,""))</f>
        <v>4</v>
      </c>
      <c r="M17" s="10">
        <f>IF(ISNUMBER(L17),IF(L17+1&lt;=$BC17,L17+1,""),IF(AND(COUNT($C17:L17)&lt;$BC17,M$7=$BA17),1,""))</f>
        <v>5</v>
      </c>
      <c r="N17" s="11">
        <f>IF(ISNUMBER(M17),IF(M17+1&lt;=$BC17,M17+1,""),IF(AND(COUNT($C17:M17)&lt;$BC17,N$7=$BA17),1,""))</f>
        <v>6</v>
      </c>
      <c r="O17" s="28">
        <f>IF(ISNUMBER(N17),IF(N17+1&lt;=$BC17,N17+1,""),IF(AND(COUNT($C17:N17)&lt;$BC17,O$7=$BA17),1,""))</f>
        <v>7</v>
      </c>
      <c r="P17" s="10">
        <f>IF(ISNUMBER(O17),IF(O17+1&lt;=$BC17,O17+1,""),IF(AND(COUNT($C17:O17)&lt;$BC17,P$7=$BA17),1,""))</f>
        <v>8</v>
      </c>
      <c r="Q17" s="10">
        <f>IF(ISNUMBER(P17),IF(P17+1&lt;=$BC17,P17+1,""),IF(AND(COUNT($C17:P17)&lt;$BC17,Q$7=$BA17),1,""))</f>
        <v>9</v>
      </c>
      <c r="R17" s="10">
        <f>IF(ISNUMBER(Q17),IF(Q17+1&lt;=$BC17,Q17+1,""),IF(AND(COUNT($C17:Q17)&lt;$BC17,R$7=$BA17),1,""))</f>
        <v>10</v>
      </c>
      <c r="S17" s="10">
        <f>IF(ISNUMBER(R17),IF(R17+1&lt;=$BC17,R17+1,""),IF(AND(COUNT($C17:R17)&lt;$BC17,S$7=$BA17),1,""))</f>
        <v>11</v>
      </c>
      <c r="T17" s="10">
        <f>IF(ISNUMBER(S17),IF(S17+1&lt;=$BC17,S17+1,""),IF(AND(COUNT($C17:S17)&lt;$BC17,T$7=$BA17),1,""))</f>
        <v>12</v>
      </c>
      <c r="U17" s="11">
        <f>IF(ISNUMBER(T17),IF(T17+1&lt;=$BC17,T17+1,""),IF(AND(COUNT($C17:T17)&lt;$BC17,U$7=$BA17),1,""))</f>
        <v>13</v>
      </c>
      <c r="V17" s="28">
        <f>IF(ISNUMBER(U17),IF(U17+1&lt;=$BC17,U17+1,""),IF(AND(COUNT($C17:U17)&lt;$BC17,V$7=$BA17),1,""))</f>
        <v>14</v>
      </c>
      <c r="W17" s="10">
        <f>IF(ISNUMBER(V17),IF(V17+1&lt;=$BC17,V17+1,""),IF(AND(COUNT($C17:V17)&lt;$BC17,W$7=$BA17),1,""))</f>
        <v>15</v>
      </c>
      <c r="X17" s="10">
        <f>IF(ISNUMBER(W17),IF(W17+1&lt;=$BC17,W17+1,""),IF(AND(COUNT($C17:W17)&lt;$BC17,X$7=$BA17),1,""))</f>
        <v>16</v>
      </c>
      <c r="Y17" s="10">
        <f>IF(ISNUMBER(X17),IF(X17+1&lt;=$BC17,X17+1,""),IF(AND(COUNT($C17:X17)&lt;$BC17,Y$7=$BA17),1,""))</f>
        <v>17</v>
      </c>
      <c r="Z17" s="10">
        <f>IF(ISNUMBER(Y17),IF(Y17+1&lt;=$BC17,Y17+1,""),IF(AND(COUNT($C17:Y17)&lt;$BC17,Z$7=$BA17),1,""))</f>
        <v>18</v>
      </c>
      <c r="AA17" s="10">
        <f>IF(ISNUMBER(Z17),IF(Z17+1&lt;=$BC17,Z17+1,""),IF(AND(COUNT($C17:Z17)&lt;$BC17,AA$7=$BA17),1,""))</f>
        <v>19</v>
      </c>
      <c r="AB17" s="11">
        <f>IF(ISNUMBER(AA17),IF(AA17+1&lt;=$BC17,AA17+1,""),IF(AND(COUNT($C17:AA17)&lt;$BC17,AB$7=$BA17),1,""))</f>
        <v>20</v>
      </c>
      <c r="AC17" s="28">
        <f>IF(ISNUMBER(AB17),IF(AB17+1&lt;=$BC17,AB17+1,""),IF(AND(COUNT($C17:AB17)&lt;$BC17,AC$7=$BA17),1,""))</f>
        <v>21</v>
      </c>
      <c r="AD17" s="10">
        <f>IF(ISNUMBER(AC17),IF(AC17+1&lt;=$BC17,AC17+1,""),IF(AND(COUNT($C17:AC17)&lt;$BC17,AD$7=$BA17),1,""))</f>
        <v>22</v>
      </c>
      <c r="AE17" s="10">
        <f>IF(ISNUMBER(AD17),IF(AD17+1&lt;=$BC17,AD17+1,""),IF(AND(COUNT($C17:AD17)&lt;$BC17,AE$7=$BA17),1,""))</f>
        <v>23</v>
      </c>
      <c r="AF17" s="10">
        <f>IF(ISNUMBER(AE17),IF(AE17+1&lt;=$BC17,AE17+1,""),IF(AND(COUNT($C17:AE17)&lt;$BC17,AF$7=$BA17),1,""))</f>
        <v>24</v>
      </c>
      <c r="AG17" s="10">
        <f>IF(ISNUMBER(AF17),IF(AF17+1&lt;=$BC17,AF17+1,""),IF(AND(COUNT($C17:AF17)&lt;$BC17,AG$7=$BA17),1,""))</f>
        <v>25</v>
      </c>
      <c r="AH17" s="10">
        <f>IF(ISNUMBER(AG17),IF(AG17+1&lt;=$BC17,AG17+1,""),IF(AND(COUNT($C17:AG17)&lt;$BC17,AH$7=$BA17),1,""))</f>
        <v>26</v>
      </c>
      <c r="AI17" s="11">
        <f>IF(ISNUMBER(AH17),IF(AH17+1&lt;=$BC17,AH17+1,""),IF(AND(COUNT($C17:AH17)&lt;$BC17,AI$7=$BA17),1,""))</f>
        <v>27</v>
      </c>
      <c r="AJ17" s="28">
        <f>IF(ISNUMBER(AI17),IF(AI17+1&lt;=$BC17,AI17+1,""),IF(AND(COUNT($C17:AI17)&lt;$BC17,AJ$7=$BA17),1,""))</f>
        <v>28</v>
      </c>
      <c r="AK17" s="10">
        <f>IF(ISNUMBER(AJ17),IF(AJ17+1&lt;=$BC17,AJ17+1,""),IF(AND(COUNT($C17:AJ17)&lt;$BC17,AK$7=$BA17),1,""))</f>
        <v>29</v>
      </c>
      <c r="AL17" s="10">
        <f>IF(ISNUMBER(AK17),IF(AK17+1&lt;=$BC17,AK17+1,""),IF(AND(COUNT($C17:AK17)&lt;$BC17,AL$7=$BA17),1,""))</f>
        <v>30</v>
      </c>
      <c r="AM17" s="10">
        <f>IF(ISNUMBER(AL17),IF(AL17+1&lt;=$BC17,AL17+1,""),IF(AND(COUNT($C17:AL17)&lt;$BC17,AM$7=$BA17),1,""))</f>
        <v>31</v>
      </c>
      <c r="AN17" s="10" t="str">
        <f>IF(ISNUMBER(AM17),IF(AM17+1&lt;=$BC17,AM17+1,""),IF(AND(COUNT($C17:AM17)&lt;$BC17,AN$7=$BA17),1,""))</f>
        <v/>
      </c>
      <c r="AO17" s="10" t="str">
        <f>IF(ISNUMBER(AN17),IF(AN17+1&lt;=$BC17,AN17+1,""),IF(AND(COUNT($C17:AN17)&lt;$BC17,AO$7=$BA17),1,""))</f>
        <v/>
      </c>
      <c r="AP17" s="11" t="str">
        <f>IF(ISNUMBER(AO17),IF(AO17+1&lt;=$BC17,AO17+1,""),IF(AND(COUNT($C17:AO17)&lt;$BC17,AP$7=$BA17),1,""))</f>
        <v/>
      </c>
      <c r="AQ17" s="28" t="str">
        <f>IF(ISNUMBER(AP17),IF(AP17+1&lt;=$BC17,AP17+1,""),IF(AND(COUNT($C17:AP17)&lt;$BC17,AQ$7=$BA17),1,""))</f>
        <v/>
      </c>
      <c r="AR17" s="10" t="str">
        <f>IF(ISNUMBER(AQ17),IF(AQ17+1&lt;=$BC17,AQ17+1,""),IF(AND(COUNT($C17:AQ17)&lt;$BC17,AR$7=$BA17),1,""))</f>
        <v/>
      </c>
      <c r="AS17" s="10" t="str">
        <f>IF(ISNUMBER(AR17),IF(AR17+1&lt;=$BC17,AR17+1,""),IF(AND(COUNT($C17:AR17)&lt;$BC17,AS$7=$BA17),1,""))</f>
        <v/>
      </c>
      <c r="AT17" s="10" t="str">
        <f>IF(ISNUMBER(AS17),IF(AS17+1&lt;=$BC17,AS17+1,""),IF(AND(COUNT($C17:AS17)&lt;$BC17,AT$7=$BA17),1,""))</f>
        <v/>
      </c>
      <c r="AU17" s="10" t="str">
        <f>IF(ISNUMBER(AT17),IF(AT17+1&lt;=$BC17,AT17+1,""),IF(AND(COUNT($C17:AT17)&lt;$BC17,AU$7=$BA17),1,""))</f>
        <v/>
      </c>
      <c r="AV17" s="10" t="str">
        <f>IF(ISNUMBER(AU17),IF(AU17+1&lt;=$BC17,AU17+1,""),IF(AND(COUNT($C17:AU17)&lt;$BC17,AV$7=$BA17),1,""))</f>
        <v/>
      </c>
      <c r="AW17" s="10" t="str">
        <f>IF(ISNUMBER(AV17),IF(AV17+1&lt;=$BC17,AV17+1,""),IF(AND(COUNT($C17:AV17)&lt;$BC17,AW$7=$BA17),1,""))</f>
        <v/>
      </c>
      <c r="AZ17" s="13">
        <v>8</v>
      </c>
      <c r="BA17" s="13">
        <f t="shared" si="0"/>
        <v>2</v>
      </c>
      <c r="BB17" s="13">
        <f>WEEKDAY(DATE(IF(AZ17&lt;=3,#REF!+1,$AN$5),AZ17+1,1)-1)</f>
        <v>4</v>
      </c>
      <c r="BC17" s="13">
        <f>DATE(IF(AZ17&lt;=3,#REF!+1,$AN$5),AZ17+1,1)-DATE(IF(AZ17&lt;=3,#REF!+1,$AN$5),AZ17,1)</f>
        <v>31</v>
      </c>
    </row>
    <row r="18" spans="2:55" ht="18.75" customHeight="1" x14ac:dyDescent="0.3">
      <c r="B18" s="14"/>
      <c r="C18" s="15">
        <f>DATE($AN$5,8,1)</f>
        <v>44774</v>
      </c>
      <c r="D18" s="15"/>
      <c r="E18" s="15"/>
      <c r="F18" s="15"/>
      <c r="G18" s="15"/>
      <c r="H18" s="16" t="str">
        <f>IFERROR(DATE(YEAR($C17),MONTH($C17),DAY(H17)),"")</f>
        <v/>
      </c>
      <c r="I18" s="17">
        <f t="shared" ref="I18:AW18" si="5">IFERROR(DATE(YEAR($C17),MONTH($C17),DAY(I17)),"")</f>
        <v>44774</v>
      </c>
      <c r="J18" s="17">
        <f t="shared" si="5"/>
        <v>44775</v>
      </c>
      <c r="K18" s="17">
        <f t="shared" si="5"/>
        <v>44776</v>
      </c>
      <c r="L18" s="17">
        <f t="shared" si="5"/>
        <v>44777</v>
      </c>
      <c r="M18" s="17">
        <f t="shared" si="5"/>
        <v>44778</v>
      </c>
      <c r="N18" s="30">
        <f t="shared" si="5"/>
        <v>44779</v>
      </c>
      <c r="O18" s="16">
        <f t="shared" si="5"/>
        <v>44780</v>
      </c>
      <c r="P18" s="17">
        <f t="shared" si="5"/>
        <v>44781</v>
      </c>
      <c r="Q18" s="17">
        <f t="shared" si="5"/>
        <v>44782</v>
      </c>
      <c r="R18" s="17">
        <f t="shared" si="5"/>
        <v>44783</v>
      </c>
      <c r="S18" s="17">
        <f t="shared" si="5"/>
        <v>44784</v>
      </c>
      <c r="T18" s="17">
        <f t="shared" si="5"/>
        <v>44785</v>
      </c>
      <c r="U18" s="30">
        <f t="shared" si="5"/>
        <v>44786</v>
      </c>
      <c r="V18" s="16">
        <f t="shared" si="5"/>
        <v>44787</v>
      </c>
      <c r="W18" s="17">
        <f t="shared" si="5"/>
        <v>44788</v>
      </c>
      <c r="X18" s="17">
        <f t="shared" si="5"/>
        <v>44789</v>
      </c>
      <c r="Y18" s="17">
        <f t="shared" si="5"/>
        <v>44790</v>
      </c>
      <c r="Z18" s="17">
        <f t="shared" si="5"/>
        <v>44791</v>
      </c>
      <c r="AA18" s="17">
        <f t="shared" si="5"/>
        <v>44792</v>
      </c>
      <c r="AB18" s="30">
        <f t="shared" si="5"/>
        <v>44793</v>
      </c>
      <c r="AC18" s="16">
        <f t="shared" si="5"/>
        <v>44794</v>
      </c>
      <c r="AD18" s="17">
        <f t="shared" si="5"/>
        <v>44795</v>
      </c>
      <c r="AE18" s="17">
        <f t="shared" si="5"/>
        <v>44796</v>
      </c>
      <c r="AF18" s="17">
        <f t="shared" si="5"/>
        <v>44797</v>
      </c>
      <c r="AG18" s="17">
        <f t="shared" si="5"/>
        <v>44798</v>
      </c>
      <c r="AH18" s="17">
        <f t="shared" si="5"/>
        <v>44799</v>
      </c>
      <c r="AI18" s="30">
        <f t="shared" si="5"/>
        <v>44800</v>
      </c>
      <c r="AJ18" s="16">
        <f t="shared" si="5"/>
        <v>44801</v>
      </c>
      <c r="AK18" s="17">
        <f t="shared" si="5"/>
        <v>44802</v>
      </c>
      <c r="AL18" s="17">
        <f t="shared" si="5"/>
        <v>44803</v>
      </c>
      <c r="AM18" s="17">
        <f t="shared" si="5"/>
        <v>44804</v>
      </c>
      <c r="AN18" s="17" t="str">
        <f t="shared" si="5"/>
        <v/>
      </c>
      <c r="AO18" s="17" t="str">
        <f t="shared" si="5"/>
        <v/>
      </c>
      <c r="AP18" s="30" t="str">
        <f t="shared" si="5"/>
        <v/>
      </c>
      <c r="AQ18" s="16" t="str">
        <f t="shared" si="5"/>
        <v/>
      </c>
      <c r="AR18" s="17" t="str">
        <f t="shared" si="5"/>
        <v/>
      </c>
      <c r="AS18" s="17" t="str">
        <f t="shared" si="5"/>
        <v/>
      </c>
      <c r="AT18" s="17" t="str">
        <f t="shared" si="5"/>
        <v/>
      </c>
      <c r="AU18" s="17" t="str">
        <f t="shared" si="5"/>
        <v/>
      </c>
      <c r="AV18" s="17" t="str">
        <f t="shared" si="5"/>
        <v/>
      </c>
      <c r="AW18" s="17" t="str">
        <f t="shared" si="5"/>
        <v/>
      </c>
      <c r="AZ18" s="13"/>
      <c r="BA18" s="13"/>
      <c r="BB18" s="13"/>
      <c r="BC18" s="13"/>
    </row>
    <row r="19" spans="2:55" ht="18.75" hidden="1" customHeight="1" x14ac:dyDescent="0.3">
      <c r="B19" s="20"/>
      <c r="C19" s="21">
        <f>DATE($AN$5,9,1)</f>
        <v>44805</v>
      </c>
      <c r="D19" s="21"/>
      <c r="E19" s="21"/>
      <c r="F19" s="21"/>
      <c r="G19" s="21"/>
      <c r="H19" s="22" t="str">
        <f>IF(ISNUMBER(C19),IF(C19+1&lt;=$BC19,C19+1,""),IF(AND(COUNT($C19:C19)&lt;$BC19,H$7=$BA19),1,""))</f>
        <v/>
      </c>
      <c r="I19" s="23" t="str">
        <f>IF(ISNUMBER(H19),IF(H19+1&lt;=$BC19,H19+1,""),IF(AND(COUNT($C19:H19)&lt;$BC19,I$7=$BA19),1,""))</f>
        <v/>
      </c>
      <c r="J19" s="23" t="str">
        <f>IF(ISNUMBER(I19),IF(I19+1&lt;=$BC19,I19+1,""),IF(AND(COUNT($C19:I19)&lt;$BC19,J$7=$BA19),1,""))</f>
        <v/>
      </c>
      <c r="K19" s="23" t="str">
        <f>IF(ISNUMBER(J19),IF(J19+1&lt;=$BC19,J19+1,""),IF(AND(COUNT($C19:J19)&lt;$BC19,K$7=$BA19),1,""))</f>
        <v/>
      </c>
      <c r="L19" s="23">
        <f>IF(ISNUMBER(K19),IF(K19+1&lt;=$BC19,K19+1,""),IF(AND(COUNT($C19:K19)&lt;$BC19,L$7=$BA19),1,""))</f>
        <v>1</v>
      </c>
      <c r="M19" s="23">
        <f>IF(ISNUMBER(L19),IF(L19+1&lt;=$BC19,L19+1,""),IF(AND(COUNT($C19:L19)&lt;$BC19,M$7=$BA19),1,""))</f>
        <v>2</v>
      </c>
      <c r="N19" s="24">
        <f>IF(ISNUMBER(M19),IF(M19+1&lt;=$BC19,M19+1,""),IF(AND(COUNT($C19:M19)&lt;$BC19,N$7=$BA19),1,""))</f>
        <v>3</v>
      </c>
      <c r="O19" s="25">
        <f>IF(ISNUMBER(N19),IF(N19+1&lt;=$BC19,N19+1,""),IF(AND(COUNT($C19:N19)&lt;$BC19,O$7=$BA19),1,""))</f>
        <v>4</v>
      </c>
      <c r="P19" s="23">
        <f>IF(ISNUMBER(O19),IF(O19+1&lt;=$BC19,O19+1,""),IF(AND(COUNT($C19:O19)&lt;$BC19,P$7=$BA19),1,""))</f>
        <v>5</v>
      </c>
      <c r="Q19" s="23">
        <f>IF(ISNUMBER(P19),IF(P19+1&lt;=$BC19,P19+1,""),IF(AND(COUNT($C19:P19)&lt;$BC19,Q$7=$BA19),1,""))</f>
        <v>6</v>
      </c>
      <c r="R19" s="23">
        <f>IF(ISNUMBER(Q19),IF(Q19+1&lt;=$BC19,Q19+1,""),IF(AND(COUNT($C19:Q19)&lt;$BC19,R$7=$BA19),1,""))</f>
        <v>7</v>
      </c>
      <c r="S19" s="23">
        <f>IF(ISNUMBER(R19),IF(R19+1&lt;=$BC19,R19+1,""),IF(AND(COUNT($C19:R19)&lt;$BC19,S$7=$BA19),1,""))</f>
        <v>8</v>
      </c>
      <c r="T19" s="23">
        <f>IF(ISNUMBER(S19),IF(S19+1&lt;=$BC19,S19+1,""),IF(AND(COUNT($C19:S19)&lt;$BC19,T$7=$BA19),1,""))</f>
        <v>9</v>
      </c>
      <c r="U19" s="24">
        <f>IF(ISNUMBER(T19),IF(T19+1&lt;=$BC19,T19+1,""),IF(AND(COUNT($C19:T19)&lt;$BC19,U$7=$BA19),1,""))</f>
        <v>10</v>
      </c>
      <c r="V19" s="25">
        <f>IF(ISNUMBER(U19),IF(U19+1&lt;=$BC19,U19+1,""),IF(AND(COUNT($C19:U19)&lt;$BC19,V$7=$BA19),1,""))</f>
        <v>11</v>
      </c>
      <c r="W19" s="23">
        <f>IF(ISNUMBER(V19),IF(V19+1&lt;=$BC19,V19+1,""),IF(AND(COUNT($C19:V19)&lt;$BC19,W$7=$BA19),1,""))</f>
        <v>12</v>
      </c>
      <c r="X19" s="23">
        <f>IF(ISNUMBER(W19),IF(W19+1&lt;=$BC19,W19+1,""),IF(AND(COUNT($C19:W19)&lt;$BC19,X$7=$BA19),1,""))</f>
        <v>13</v>
      </c>
      <c r="Y19" s="23">
        <f>IF(ISNUMBER(X19),IF(X19+1&lt;=$BC19,X19+1,""),IF(AND(COUNT($C19:X19)&lt;$BC19,Y$7=$BA19),1,""))</f>
        <v>14</v>
      </c>
      <c r="Z19" s="23">
        <f>IF(ISNUMBER(Y19),IF(Y19+1&lt;=$BC19,Y19+1,""),IF(AND(COUNT($C19:Y19)&lt;$BC19,Z$7=$BA19),1,""))</f>
        <v>15</v>
      </c>
      <c r="AA19" s="23">
        <f>IF(ISNUMBER(Z19),IF(Z19+1&lt;=$BC19,Z19+1,""),IF(AND(COUNT($C19:Z19)&lt;$BC19,AA$7=$BA19),1,""))</f>
        <v>16</v>
      </c>
      <c r="AB19" s="24">
        <f>IF(ISNUMBER(AA19),IF(AA19+1&lt;=$BC19,AA19+1,""),IF(AND(COUNT($C19:AA19)&lt;$BC19,AB$7=$BA19),1,""))</f>
        <v>17</v>
      </c>
      <c r="AC19" s="25">
        <f>IF(ISNUMBER(AB19),IF(AB19+1&lt;=$BC19,AB19+1,""),IF(AND(COUNT($C19:AB19)&lt;$BC19,AC$7=$BA19),1,""))</f>
        <v>18</v>
      </c>
      <c r="AD19" s="23">
        <f>IF(ISNUMBER(AC19),IF(AC19+1&lt;=$BC19,AC19+1,""),IF(AND(COUNT($C19:AC19)&lt;$BC19,AD$7=$BA19),1,""))</f>
        <v>19</v>
      </c>
      <c r="AE19" s="23">
        <f>IF(ISNUMBER(AD19),IF(AD19+1&lt;=$BC19,AD19+1,""),IF(AND(COUNT($C19:AD19)&lt;$BC19,AE$7=$BA19),1,""))</f>
        <v>20</v>
      </c>
      <c r="AF19" s="23">
        <f>IF(ISNUMBER(AE19),IF(AE19+1&lt;=$BC19,AE19+1,""),IF(AND(COUNT($C19:AE19)&lt;$BC19,AF$7=$BA19),1,""))</f>
        <v>21</v>
      </c>
      <c r="AG19" s="23">
        <f>IF(ISNUMBER(AF19),IF(AF19+1&lt;=$BC19,AF19+1,""),IF(AND(COUNT($C19:AF19)&lt;$BC19,AG$7=$BA19),1,""))</f>
        <v>22</v>
      </c>
      <c r="AH19" s="23">
        <f>IF(ISNUMBER(AG19),IF(AG19+1&lt;=$BC19,AG19+1,""),IF(AND(COUNT($C19:AG19)&lt;$BC19,AH$7=$BA19),1,""))</f>
        <v>23</v>
      </c>
      <c r="AI19" s="24">
        <f>IF(ISNUMBER(AH19),IF(AH19+1&lt;=$BC19,AH19+1,""),IF(AND(COUNT($C19:AH19)&lt;$BC19,AI$7=$BA19),1,""))</f>
        <v>24</v>
      </c>
      <c r="AJ19" s="25">
        <f>IF(ISNUMBER(AI19),IF(AI19+1&lt;=$BC19,AI19+1,""),IF(AND(COUNT($C19:AI19)&lt;$BC19,AJ$7=$BA19),1,""))</f>
        <v>25</v>
      </c>
      <c r="AK19" s="23">
        <f>IF(ISNUMBER(AJ19),IF(AJ19+1&lt;=$BC19,AJ19+1,""),IF(AND(COUNT($C19:AJ19)&lt;$BC19,AK$7=$BA19),1,""))</f>
        <v>26</v>
      </c>
      <c r="AL19" s="23">
        <f>IF(ISNUMBER(AK19),IF(AK19+1&lt;=$BC19,AK19+1,""),IF(AND(COUNT($C19:AK19)&lt;$BC19,AL$7=$BA19),1,""))</f>
        <v>27</v>
      </c>
      <c r="AM19" s="23">
        <f>IF(ISNUMBER(AL19),IF(AL19+1&lt;=$BC19,AL19+1,""),IF(AND(COUNT($C19:AL19)&lt;$BC19,AM$7=$BA19),1,""))</f>
        <v>28</v>
      </c>
      <c r="AN19" s="23">
        <f>IF(ISNUMBER(AM19),IF(AM19+1&lt;=$BC19,AM19+1,""),IF(AND(COUNT($C19:AM19)&lt;$BC19,AN$7=$BA19),1,""))</f>
        <v>29</v>
      </c>
      <c r="AO19" s="23">
        <f>IF(ISNUMBER(AN19),IF(AN19+1&lt;=$BC19,AN19+1,""),IF(AND(COUNT($C19:AN19)&lt;$BC19,AO$7=$BA19),1,""))</f>
        <v>30</v>
      </c>
      <c r="AP19" s="24" t="str">
        <f>IF(ISNUMBER(AO19),IF(AO19+1&lt;=$BC19,AO19+1,""),IF(AND(COUNT($C19:AO19)&lt;$BC19,AP$7=$BA19),1,""))</f>
        <v/>
      </c>
      <c r="AQ19" s="25" t="str">
        <f>IF(ISNUMBER(AP19),IF(AP19+1&lt;=$BC19,AP19+1,""),IF(AND(COUNT($C19:AP19)&lt;$BC19,AQ$7=$BA19),1,""))</f>
        <v/>
      </c>
      <c r="AR19" s="23" t="str">
        <f>IF(ISNUMBER(AQ19),IF(AQ19+1&lt;=$BC19,AQ19+1,""),IF(AND(COUNT($C19:AQ19)&lt;$BC19,AR$7=$BA19),1,""))</f>
        <v/>
      </c>
      <c r="AS19" s="23" t="str">
        <f>IF(ISNUMBER(AR19),IF(AR19+1&lt;=$BC19,AR19+1,""),IF(AND(COUNT($C19:AR19)&lt;$BC19,AS$7=$BA19),1,""))</f>
        <v/>
      </c>
      <c r="AT19" s="23" t="str">
        <f>IF(ISNUMBER(AS19),IF(AS19+1&lt;=$BC19,AS19+1,""),IF(AND(COUNT($C19:AS19)&lt;$BC19,AT$7=$BA19),1,""))</f>
        <v/>
      </c>
      <c r="AU19" s="23" t="str">
        <f>IF(ISNUMBER(AT19),IF(AT19+1&lt;=$BC19,AT19+1,""),IF(AND(COUNT($C19:AT19)&lt;$BC19,AU$7=$BA19),1,""))</f>
        <v/>
      </c>
      <c r="AV19" s="23" t="str">
        <f>IF(ISNUMBER(AU19),IF(AU19+1&lt;=$BC19,AU19+1,""),IF(AND(COUNT($C19:AU19)&lt;$BC19,AV$7=$BA19),1,""))</f>
        <v/>
      </c>
      <c r="AW19" s="23" t="str">
        <f>IF(ISNUMBER(AV19),IF(AV19+1&lt;=$BC19,AV19+1,""),IF(AND(COUNT($C19:AV19)&lt;$BC19,AW$7=$BA19),1,""))</f>
        <v/>
      </c>
      <c r="AZ19" s="13">
        <v>9</v>
      </c>
      <c r="BA19" s="13">
        <f t="shared" si="0"/>
        <v>5</v>
      </c>
      <c r="BB19" s="13">
        <f>WEEKDAY(DATE(IF(AZ19&lt;=3,AN1+1,$AN$5),AZ19+1,1)-1)</f>
        <v>6</v>
      </c>
      <c r="BC19" s="13">
        <f>DATE(IF(AZ19&lt;=3,AN1+1,$AN$5),AZ19+1,1)-DATE(IF(AZ19&lt;=3,AN1+1,$AN$5),AZ19,1)</f>
        <v>30</v>
      </c>
    </row>
    <row r="20" spans="2:55" ht="18.75" customHeight="1" x14ac:dyDescent="0.3">
      <c r="B20" s="20"/>
      <c r="C20" s="21">
        <f>DATE($AN$5,9,1)</f>
        <v>44805</v>
      </c>
      <c r="D20" s="21"/>
      <c r="E20" s="21"/>
      <c r="F20" s="21"/>
      <c r="G20" s="21"/>
      <c r="H20" s="22" t="str">
        <f>IFERROR(DATE(YEAR($C19),MONTH($C19),DAY(H19)),"")</f>
        <v/>
      </c>
      <c r="I20" s="23" t="str">
        <f t="shared" ref="I20:AW20" si="6">IFERROR(DATE(YEAR($C19),MONTH($C19),DAY(I19)),"")</f>
        <v/>
      </c>
      <c r="J20" s="23" t="str">
        <f t="shared" si="6"/>
        <v/>
      </c>
      <c r="K20" s="23" t="str">
        <f t="shared" si="6"/>
        <v/>
      </c>
      <c r="L20" s="23">
        <f t="shared" si="6"/>
        <v>44805</v>
      </c>
      <c r="M20" s="23">
        <f t="shared" si="6"/>
        <v>44806</v>
      </c>
      <c r="N20" s="32">
        <f t="shared" si="6"/>
        <v>44807</v>
      </c>
      <c r="O20" s="22">
        <f t="shared" si="6"/>
        <v>44808</v>
      </c>
      <c r="P20" s="23">
        <f t="shared" si="6"/>
        <v>44809</v>
      </c>
      <c r="Q20" s="23">
        <f t="shared" si="6"/>
        <v>44810</v>
      </c>
      <c r="R20" s="23">
        <f t="shared" si="6"/>
        <v>44811</v>
      </c>
      <c r="S20" s="23">
        <f t="shared" si="6"/>
        <v>44812</v>
      </c>
      <c r="T20" s="23">
        <f t="shared" si="6"/>
        <v>44813</v>
      </c>
      <c r="U20" s="32">
        <f t="shared" si="6"/>
        <v>44814</v>
      </c>
      <c r="V20" s="22">
        <f t="shared" si="6"/>
        <v>44815</v>
      </c>
      <c r="W20" s="23">
        <f t="shared" si="6"/>
        <v>44816</v>
      </c>
      <c r="X20" s="23">
        <f t="shared" si="6"/>
        <v>44817</v>
      </c>
      <c r="Y20" s="23">
        <f t="shared" si="6"/>
        <v>44818</v>
      </c>
      <c r="Z20" s="23">
        <f t="shared" si="6"/>
        <v>44819</v>
      </c>
      <c r="AA20" s="23">
        <f t="shared" si="6"/>
        <v>44820</v>
      </c>
      <c r="AB20" s="32">
        <f t="shared" si="6"/>
        <v>44821</v>
      </c>
      <c r="AC20" s="22">
        <f t="shared" si="6"/>
        <v>44822</v>
      </c>
      <c r="AD20" s="23">
        <f t="shared" si="6"/>
        <v>44823</v>
      </c>
      <c r="AE20" s="23">
        <f t="shared" si="6"/>
        <v>44824</v>
      </c>
      <c r="AF20" s="23">
        <f t="shared" si="6"/>
        <v>44825</v>
      </c>
      <c r="AG20" s="23">
        <f t="shared" si="6"/>
        <v>44826</v>
      </c>
      <c r="AH20" s="23">
        <f t="shared" si="6"/>
        <v>44827</v>
      </c>
      <c r="AI20" s="32">
        <f t="shared" si="6"/>
        <v>44828</v>
      </c>
      <c r="AJ20" s="22">
        <f t="shared" si="6"/>
        <v>44829</v>
      </c>
      <c r="AK20" s="23">
        <f t="shared" si="6"/>
        <v>44830</v>
      </c>
      <c r="AL20" s="23">
        <f t="shared" si="6"/>
        <v>44831</v>
      </c>
      <c r="AM20" s="23">
        <f t="shared" si="6"/>
        <v>44832</v>
      </c>
      <c r="AN20" s="23">
        <f t="shared" si="6"/>
        <v>44833</v>
      </c>
      <c r="AO20" s="23">
        <f t="shared" si="6"/>
        <v>44834</v>
      </c>
      <c r="AP20" s="32" t="str">
        <f t="shared" si="6"/>
        <v/>
      </c>
      <c r="AQ20" s="22" t="str">
        <f t="shared" si="6"/>
        <v/>
      </c>
      <c r="AR20" s="23" t="str">
        <f t="shared" si="6"/>
        <v/>
      </c>
      <c r="AS20" s="23" t="str">
        <f t="shared" si="6"/>
        <v/>
      </c>
      <c r="AT20" s="23" t="str">
        <f t="shared" si="6"/>
        <v/>
      </c>
      <c r="AU20" s="23" t="str">
        <f t="shared" si="6"/>
        <v/>
      </c>
      <c r="AV20" s="23" t="str">
        <f t="shared" si="6"/>
        <v/>
      </c>
      <c r="AW20" s="23" t="str">
        <f t="shared" si="6"/>
        <v/>
      </c>
      <c r="AZ20" s="13"/>
      <c r="BA20" s="13"/>
      <c r="BB20" s="13"/>
      <c r="BC20" s="13"/>
    </row>
    <row r="21" spans="2:55" ht="18.75" hidden="1" customHeight="1" x14ac:dyDescent="0.3">
      <c r="B21" s="7"/>
      <c r="C21" s="21">
        <f>DATE($AN$5,10,1)</f>
        <v>44835</v>
      </c>
      <c r="D21" s="21"/>
      <c r="E21" s="21"/>
      <c r="F21" s="21"/>
      <c r="G21" s="21"/>
      <c r="H21" s="27" t="str">
        <f>IF(ISNUMBER(C21),IF(C21+1&lt;=$BC21,C21+1,""),IF(AND(COUNT($C21:C21)&lt;$BC21,H$7=$BA21),1,""))</f>
        <v/>
      </c>
      <c r="I21" s="10" t="str">
        <f>IF(ISNUMBER(H21),IF(H21+1&lt;=$BC21,H21+1,""),IF(AND(COUNT($C21:H21)&lt;$BC21,I$7=$BA21),1,""))</f>
        <v/>
      </c>
      <c r="J21" s="10" t="str">
        <f>IF(ISNUMBER(I21),IF(I21+1&lt;=$BC21,I21+1,""),IF(AND(COUNT($C21:I21)&lt;$BC21,J$7=$BA21),1,""))</f>
        <v/>
      </c>
      <c r="K21" s="10" t="str">
        <f>IF(ISNUMBER(J21),IF(J21+1&lt;=$BC21,J21+1,""),IF(AND(COUNT($C21:J21)&lt;$BC21,K$7=$BA21),1,""))</f>
        <v/>
      </c>
      <c r="L21" s="10" t="str">
        <f>IF(ISNUMBER(K21),IF(K21+1&lt;=$BC21,K21+1,""),IF(AND(COUNT($C21:K21)&lt;$BC21,L$7=$BA21),1,""))</f>
        <v/>
      </c>
      <c r="M21" s="10" t="str">
        <f>IF(ISNUMBER(L21),IF(L21+1&lt;=$BC21,L21+1,""),IF(AND(COUNT($C21:L21)&lt;$BC21,M$7=$BA21),1,""))</f>
        <v/>
      </c>
      <c r="N21" s="11">
        <f>IF(ISNUMBER(M21),IF(M21+1&lt;=$BC21,M21+1,""),IF(AND(COUNT($C21:M21)&lt;$BC21,N$7=$BA21),1,""))</f>
        <v>1</v>
      </c>
      <c r="O21" s="28">
        <f>IF(ISNUMBER(N21),IF(N21+1&lt;=$BC21,N21+1,""),IF(AND(COUNT($C21:N21)&lt;$BC21,O$7=$BA21),1,""))</f>
        <v>2</v>
      </c>
      <c r="P21" s="10">
        <f>IF(ISNUMBER(O21),IF(O21+1&lt;=$BC21,O21+1,""),IF(AND(COUNT($C21:O21)&lt;$BC21,P$7=$BA21),1,""))</f>
        <v>3</v>
      </c>
      <c r="Q21" s="10">
        <f>IF(ISNUMBER(P21),IF(P21+1&lt;=$BC21,P21+1,""),IF(AND(COUNT($C21:P21)&lt;$BC21,Q$7=$BA21),1,""))</f>
        <v>4</v>
      </c>
      <c r="R21" s="10">
        <f>IF(ISNUMBER(Q21),IF(Q21+1&lt;=$BC21,Q21+1,""),IF(AND(COUNT($C21:Q21)&lt;$BC21,R$7=$BA21),1,""))</f>
        <v>5</v>
      </c>
      <c r="S21" s="10">
        <f>IF(ISNUMBER(R21),IF(R21+1&lt;=$BC21,R21+1,""),IF(AND(COUNT($C21:R21)&lt;$BC21,S$7=$BA21),1,""))</f>
        <v>6</v>
      </c>
      <c r="T21" s="10">
        <f>IF(ISNUMBER(S21),IF(S21+1&lt;=$BC21,S21+1,""),IF(AND(COUNT($C21:S21)&lt;$BC21,T$7=$BA21),1,""))</f>
        <v>7</v>
      </c>
      <c r="U21" s="11">
        <f>IF(ISNUMBER(T21),IF(T21+1&lt;=$BC21,T21+1,""),IF(AND(COUNT($C21:T21)&lt;$BC21,U$7=$BA21),1,""))</f>
        <v>8</v>
      </c>
      <c r="V21" s="28">
        <f>IF(ISNUMBER(U21),IF(U21+1&lt;=$BC21,U21+1,""),IF(AND(COUNT($C21:U21)&lt;$BC21,V$7=$BA21),1,""))</f>
        <v>9</v>
      </c>
      <c r="W21" s="10">
        <f>IF(ISNUMBER(V21),IF(V21+1&lt;=$BC21,V21+1,""),IF(AND(COUNT($C21:V21)&lt;$BC21,W$7=$BA21),1,""))</f>
        <v>10</v>
      </c>
      <c r="X21" s="10">
        <f>IF(ISNUMBER(W21),IF(W21+1&lt;=$BC21,W21+1,""),IF(AND(COUNT($C21:W21)&lt;$BC21,X$7=$BA21),1,""))</f>
        <v>11</v>
      </c>
      <c r="Y21" s="10">
        <f>IF(ISNUMBER(X21),IF(X21+1&lt;=$BC21,X21+1,""),IF(AND(COUNT($C21:X21)&lt;$BC21,Y$7=$BA21),1,""))</f>
        <v>12</v>
      </c>
      <c r="Z21" s="10">
        <f>IF(ISNUMBER(Y21),IF(Y21+1&lt;=$BC21,Y21+1,""),IF(AND(COUNT($C21:Y21)&lt;$BC21,Z$7=$BA21),1,""))</f>
        <v>13</v>
      </c>
      <c r="AA21" s="10">
        <f>IF(ISNUMBER(Z21),IF(Z21+1&lt;=$BC21,Z21+1,""),IF(AND(COUNT($C21:Z21)&lt;$BC21,AA$7=$BA21),1,""))</f>
        <v>14</v>
      </c>
      <c r="AB21" s="11">
        <f>IF(ISNUMBER(AA21),IF(AA21+1&lt;=$BC21,AA21+1,""),IF(AND(COUNT($C21:AA21)&lt;$BC21,AB$7=$BA21),1,""))</f>
        <v>15</v>
      </c>
      <c r="AC21" s="28">
        <f>IF(ISNUMBER(AB21),IF(AB21+1&lt;=$BC21,AB21+1,""),IF(AND(COUNT($C21:AB21)&lt;$BC21,AC$7=$BA21),1,""))</f>
        <v>16</v>
      </c>
      <c r="AD21" s="10">
        <f>IF(ISNUMBER(AC21),IF(AC21+1&lt;=$BC21,AC21+1,""),IF(AND(COUNT($C21:AC21)&lt;$BC21,AD$7=$BA21),1,""))</f>
        <v>17</v>
      </c>
      <c r="AE21" s="10">
        <f>IF(ISNUMBER(AD21),IF(AD21+1&lt;=$BC21,AD21+1,""),IF(AND(COUNT($C21:AD21)&lt;$BC21,AE$7=$BA21),1,""))</f>
        <v>18</v>
      </c>
      <c r="AF21" s="10">
        <f>IF(ISNUMBER(AE21),IF(AE21+1&lt;=$BC21,AE21+1,""),IF(AND(COUNT($C21:AE21)&lt;$BC21,AF$7=$BA21),1,""))</f>
        <v>19</v>
      </c>
      <c r="AG21" s="10">
        <f>IF(ISNUMBER(AF21),IF(AF21+1&lt;=$BC21,AF21+1,""),IF(AND(COUNT($C21:AF21)&lt;$BC21,AG$7=$BA21),1,""))</f>
        <v>20</v>
      </c>
      <c r="AH21" s="10">
        <f>IF(ISNUMBER(AG21),IF(AG21+1&lt;=$BC21,AG21+1,""),IF(AND(COUNT($C21:AG21)&lt;$BC21,AH$7=$BA21),1,""))</f>
        <v>21</v>
      </c>
      <c r="AI21" s="11">
        <f>IF(ISNUMBER(AH21),IF(AH21+1&lt;=$BC21,AH21+1,""),IF(AND(COUNT($C21:AH21)&lt;$BC21,AI$7=$BA21),1,""))</f>
        <v>22</v>
      </c>
      <c r="AJ21" s="28">
        <f>IF(ISNUMBER(AI21),IF(AI21+1&lt;=$BC21,AI21+1,""),IF(AND(COUNT($C21:AI21)&lt;$BC21,AJ$7=$BA21),1,""))</f>
        <v>23</v>
      </c>
      <c r="AK21" s="10">
        <f>IF(ISNUMBER(AJ21),IF(AJ21+1&lt;=$BC21,AJ21+1,""),IF(AND(COUNT($C21:AJ21)&lt;$BC21,AK$7=$BA21),1,""))</f>
        <v>24</v>
      </c>
      <c r="AL21" s="10">
        <f>IF(ISNUMBER(AK21),IF(AK21+1&lt;=$BC21,AK21+1,""),IF(AND(COUNT($C21:AK21)&lt;$BC21,AL$7=$BA21),1,""))</f>
        <v>25</v>
      </c>
      <c r="AM21" s="10">
        <f>IF(ISNUMBER(AL21),IF(AL21+1&lt;=$BC21,AL21+1,""),IF(AND(COUNT($C21:AL21)&lt;$BC21,AM$7=$BA21),1,""))</f>
        <v>26</v>
      </c>
      <c r="AN21" s="10">
        <f>IF(ISNUMBER(AM21),IF(AM21+1&lt;=$BC21,AM21+1,""),IF(AND(COUNT($C21:AM21)&lt;$BC21,AN$7=$BA21),1,""))</f>
        <v>27</v>
      </c>
      <c r="AO21" s="10">
        <f>IF(ISNUMBER(AN21),IF(AN21+1&lt;=$BC21,AN21+1,""),IF(AND(COUNT($C21:AN21)&lt;$BC21,AO$7=$BA21),1,""))</f>
        <v>28</v>
      </c>
      <c r="AP21" s="11">
        <f>IF(ISNUMBER(AO21),IF(AO21+1&lt;=$BC21,AO21+1,""),IF(AND(COUNT($C21:AO21)&lt;$BC21,AP$7=$BA21),1,""))</f>
        <v>29</v>
      </c>
      <c r="AQ21" s="28">
        <f>IF(ISNUMBER(AP21),IF(AP21+1&lt;=$BC21,AP21+1,""),IF(AND(COUNT($C21:AP21)&lt;$BC21,AQ$7=$BA21),1,""))</f>
        <v>30</v>
      </c>
      <c r="AR21" s="10">
        <f>IF(ISNUMBER(AQ21),IF(AQ21+1&lt;=$BC21,AQ21+1,""),IF(AND(COUNT($C21:AQ21)&lt;$BC21,AR$7=$BA21),1,""))</f>
        <v>31</v>
      </c>
      <c r="AS21" s="10" t="str">
        <f>IF(ISNUMBER(AR21),IF(AR21+1&lt;=$BC21,AR21+1,""),IF(AND(COUNT($C21:AR21)&lt;$BC21,AS$7=$BA21),1,""))</f>
        <v/>
      </c>
      <c r="AT21" s="10" t="str">
        <f>IF(ISNUMBER(AS21),IF(AS21+1&lt;=$BC21,AS21+1,""),IF(AND(COUNT($C21:AS21)&lt;$BC21,AT$7=$BA21),1,""))</f>
        <v/>
      </c>
      <c r="AU21" s="10" t="str">
        <f>IF(ISNUMBER(AT21),IF(AT21+1&lt;=$BC21,AT21+1,""),IF(AND(COUNT($C21:AT21)&lt;$BC21,AU$7=$BA21),1,""))</f>
        <v/>
      </c>
      <c r="AV21" s="10" t="str">
        <f>IF(ISNUMBER(AU21),IF(AU21+1&lt;=$BC21,AU21+1,""),IF(AND(COUNT($C21:AU21)&lt;$BC21,AV$7=$BA21),1,""))</f>
        <v/>
      </c>
      <c r="AW21" s="10" t="str">
        <f>IF(ISNUMBER(AV21),IF(AV21+1&lt;=$BC21,AV21+1,""),IF(AND(COUNT($C21:AV21)&lt;$BC21,AW$7=$BA21),1,""))</f>
        <v/>
      </c>
      <c r="AZ21" s="13">
        <v>10</v>
      </c>
      <c r="BA21" s="13">
        <f t="shared" si="0"/>
        <v>7</v>
      </c>
      <c r="BB21" s="13">
        <f>WEEKDAY(DATE(IF(AZ21&lt;=3,AN2+1,$AN$5),AZ21+1,1)-1)</f>
        <v>2</v>
      </c>
      <c r="BC21" s="13">
        <f>DATE(IF(AZ21&lt;=3,AN2+1,$AN$5),AZ21+1,1)-DATE(IF(AZ21&lt;=3,AN2+1,$AN$5),AZ21,1)</f>
        <v>31</v>
      </c>
    </row>
    <row r="22" spans="2:55" ht="18.75" customHeight="1" x14ac:dyDescent="0.3">
      <c r="B22" s="14"/>
      <c r="C22" s="15">
        <f>DATE($AN$5,10,1)</f>
        <v>44835</v>
      </c>
      <c r="D22" s="15"/>
      <c r="E22" s="15"/>
      <c r="F22" s="15"/>
      <c r="G22" s="15"/>
      <c r="H22" s="16" t="str">
        <f>IFERROR(DATE(YEAR($C21),MONTH($C21),DAY(H21)),"")</f>
        <v/>
      </c>
      <c r="I22" s="17" t="str">
        <f t="shared" ref="I22:AW22" si="7">IFERROR(DATE(YEAR($C21),MONTH($C21),DAY(I21)),"")</f>
        <v/>
      </c>
      <c r="J22" s="17" t="str">
        <f t="shared" si="7"/>
        <v/>
      </c>
      <c r="K22" s="17" t="str">
        <f t="shared" si="7"/>
        <v/>
      </c>
      <c r="L22" s="17" t="str">
        <f t="shared" si="7"/>
        <v/>
      </c>
      <c r="M22" s="17" t="str">
        <f t="shared" si="7"/>
        <v/>
      </c>
      <c r="N22" s="30">
        <f t="shared" si="7"/>
        <v>44835</v>
      </c>
      <c r="O22" s="16">
        <f t="shared" si="7"/>
        <v>44836</v>
      </c>
      <c r="P22" s="17">
        <f t="shared" si="7"/>
        <v>44837</v>
      </c>
      <c r="Q22" s="17">
        <f t="shared" si="7"/>
        <v>44838</v>
      </c>
      <c r="R22" s="17">
        <f t="shared" si="7"/>
        <v>44839</v>
      </c>
      <c r="S22" s="17">
        <f t="shared" si="7"/>
        <v>44840</v>
      </c>
      <c r="T22" s="17">
        <f t="shared" si="7"/>
        <v>44841</v>
      </c>
      <c r="U22" s="30">
        <f t="shared" si="7"/>
        <v>44842</v>
      </c>
      <c r="V22" s="16">
        <f t="shared" si="7"/>
        <v>44843</v>
      </c>
      <c r="W22" s="17">
        <f t="shared" si="7"/>
        <v>44844</v>
      </c>
      <c r="X22" s="17">
        <f t="shared" si="7"/>
        <v>44845</v>
      </c>
      <c r="Y22" s="17">
        <f t="shared" si="7"/>
        <v>44846</v>
      </c>
      <c r="Z22" s="17">
        <f t="shared" si="7"/>
        <v>44847</v>
      </c>
      <c r="AA22" s="17">
        <f t="shared" si="7"/>
        <v>44848</v>
      </c>
      <c r="AB22" s="30">
        <f t="shared" si="7"/>
        <v>44849</v>
      </c>
      <c r="AC22" s="16">
        <f t="shared" si="7"/>
        <v>44850</v>
      </c>
      <c r="AD22" s="17">
        <f t="shared" si="7"/>
        <v>44851</v>
      </c>
      <c r="AE22" s="17">
        <f t="shared" si="7"/>
        <v>44852</v>
      </c>
      <c r="AF22" s="17">
        <f t="shared" si="7"/>
        <v>44853</v>
      </c>
      <c r="AG22" s="17">
        <f t="shared" si="7"/>
        <v>44854</v>
      </c>
      <c r="AH22" s="17">
        <f t="shared" si="7"/>
        <v>44855</v>
      </c>
      <c r="AI22" s="30">
        <f t="shared" si="7"/>
        <v>44856</v>
      </c>
      <c r="AJ22" s="16">
        <f t="shared" si="7"/>
        <v>44857</v>
      </c>
      <c r="AK22" s="17">
        <f t="shared" si="7"/>
        <v>44858</v>
      </c>
      <c r="AL22" s="17">
        <f t="shared" si="7"/>
        <v>44859</v>
      </c>
      <c r="AM22" s="17">
        <f t="shared" si="7"/>
        <v>44860</v>
      </c>
      <c r="AN22" s="17">
        <f t="shared" si="7"/>
        <v>44861</v>
      </c>
      <c r="AO22" s="17">
        <f t="shared" si="7"/>
        <v>44862</v>
      </c>
      <c r="AP22" s="30">
        <f t="shared" si="7"/>
        <v>44863</v>
      </c>
      <c r="AQ22" s="16">
        <f t="shared" si="7"/>
        <v>44864</v>
      </c>
      <c r="AR22" s="17">
        <f t="shared" si="7"/>
        <v>44865</v>
      </c>
      <c r="AS22" s="17" t="str">
        <f t="shared" si="7"/>
        <v/>
      </c>
      <c r="AT22" s="17" t="str">
        <f t="shared" si="7"/>
        <v/>
      </c>
      <c r="AU22" s="17" t="str">
        <f t="shared" si="7"/>
        <v/>
      </c>
      <c r="AV22" s="17" t="str">
        <f t="shared" si="7"/>
        <v/>
      </c>
      <c r="AW22" s="17" t="str">
        <f t="shared" si="7"/>
        <v/>
      </c>
      <c r="AZ22" s="13"/>
      <c r="BA22" s="13"/>
      <c r="BB22" s="13"/>
      <c r="BC22" s="13"/>
    </row>
    <row r="23" spans="2:55" ht="18.75" hidden="1" customHeight="1" x14ac:dyDescent="0.3">
      <c r="B23" s="20"/>
      <c r="C23" s="33">
        <f>DATE($AN$5,11,1)</f>
        <v>44866</v>
      </c>
      <c r="D23" s="33"/>
      <c r="E23" s="33"/>
      <c r="F23" s="33"/>
      <c r="G23" s="33"/>
      <c r="H23" s="22" t="str">
        <f>IF(ISNUMBER(C23),IF(C23+1&lt;=$BC23,C23+1,""),IF(AND(COUNT($C23:C23)&lt;$BC23,H$7=$BA23),1,""))</f>
        <v/>
      </c>
      <c r="I23" s="23" t="str">
        <f>IF(ISNUMBER(H23),IF(H23+1&lt;=$BC23,H23+1,""),IF(AND(COUNT($C23:H23)&lt;$BC23,I$7=$BA23),1,""))</f>
        <v/>
      </c>
      <c r="J23" s="23">
        <f>IF(ISNUMBER(I23),IF(I23+1&lt;=$BC23,I23+1,""),IF(AND(COUNT($C23:I23)&lt;$BC23,J$7=$BA23),1,""))</f>
        <v>1</v>
      </c>
      <c r="K23" s="23">
        <f>IF(ISNUMBER(J23),IF(J23+1&lt;=$BC23,J23+1,""),IF(AND(COUNT($C23:J23)&lt;$BC23,K$7=$BA23),1,""))</f>
        <v>2</v>
      </c>
      <c r="L23" s="23">
        <f>IF(ISNUMBER(K23),IF(K23+1&lt;=$BC23,K23+1,""),IF(AND(COUNT($C23:K23)&lt;$BC23,L$7=$BA23),1,""))</f>
        <v>3</v>
      </c>
      <c r="M23" s="23">
        <f>IF(ISNUMBER(L23),IF(L23+1&lt;=$BC23,L23+1,""),IF(AND(COUNT($C23:L23)&lt;$BC23,M$7=$BA23),1,""))</f>
        <v>4</v>
      </c>
      <c r="N23" s="24">
        <f>IF(ISNUMBER(M23),IF(M23+1&lt;=$BC23,M23+1,""),IF(AND(COUNT($C23:M23)&lt;$BC23,N$7=$BA23),1,""))</f>
        <v>5</v>
      </c>
      <c r="O23" s="25">
        <f>IF(ISNUMBER(N23),IF(N23+1&lt;=$BC23,N23+1,""),IF(AND(COUNT($C23:N23)&lt;$BC23,O$7=$BA23),1,""))</f>
        <v>6</v>
      </c>
      <c r="P23" s="23">
        <f>IF(ISNUMBER(O23),IF(O23+1&lt;=$BC23,O23+1,""),IF(AND(COUNT($C23:O23)&lt;$BC23,P$7=$BA23),1,""))</f>
        <v>7</v>
      </c>
      <c r="Q23" s="23">
        <f>IF(ISNUMBER(P23),IF(P23+1&lt;=$BC23,P23+1,""),IF(AND(COUNT($C23:P23)&lt;$BC23,Q$7=$BA23),1,""))</f>
        <v>8</v>
      </c>
      <c r="R23" s="23">
        <f>IF(ISNUMBER(Q23),IF(Q23+1&lt;=$BC23,Q23+1,""),IF(AND(COUNT($C23:Q23)&lt;$BC23,R$7=$BA23),1,""))</f>
        <v>9</v>
      </c>
      <c r="S23" s="23">
        <f>IF(ISNUMBER(R23),IF(R23+1&lt;=$BC23,R23+1,""),IF(AND(COUNT($C23:R23)&lt;$BC23,S$7=$BA23),1,""))</f>
        <v>10</v>
      </c>
      <c r="T23" s="23">
        <f>IF(ISNUMBER(S23),IF(S23+1&lt;=$BC23,S23+1,""),IF(AND(COUNT($C23:S23)&lt;$BC23,T$7=$BA23),1,""))</f>
        <v>11</v>
      </c>
      <c r="U23" s="24">
        <f>IF(ISNUMBER(T23),IF(T23+1&lt;=$BC23,T23+1,""),IF(AND(COUNT($C23:T23)&lt;$BC23,U$7=$BA23),1,""))</f>
        <v>12</v>
      </c>
      <c r="V23" s="25">
        <f>IF(ISNUMBER(U23),IF(U23+1&lt;=$BC23,U23+1,""),IF(AND(COUNT($C23:U23)&lt;$BC23,V$7=$BA23),1,""))</f>
        <v>13</v>
      </c>
      <c r="W23" s="23">
        <f>IF(ISNUMBER(V23),IF(V23+1&lt;=$BC23,V23+1,""),IF(AND(COUNT($C23:V23)&lt;$BC23,W$7=$BA23),1,""))</f>
        <v>14</v>
      </c>
      <c r="X23" s="23">
        <f>IF(ISNUMBER(W23),IF(W23+1&lt;=$BC23,W23+1,""),IF(AND(COUNT($C23:W23)&lt;$BC23,X$7=$BA23),1,""))</f>
        <v>15</v>
      </c>
      <c r="Y23" s="23">
        <f>IF(ISNUMBER(X23),IF(X23+1&lt;=$BC23,X23+1,""),IF(AND(COUNT($C23:X23)&lt;$BC23,Y$7=$BA23),1,""))</f>
        <v>16</v>
      </c>
      <c r="Z23" s="23">
        <f>IF(ISNUMBER(Y23),IF(Y23+1&lt;=$BC23,Y23+1,""),IF(AND(COUNT($C23:Y23)&lt;$BC23,Z$7=$BA23),1,""))</f>
        <v>17</v>
      </c>
      <c r="AA23" s="23">
        <f>IF(ISNUMBER(Z23),IF(Z23+1&lt;=$BC23,Z23+1,""),IF(AND(COUNT($C23:Z23)&lt;$BC23,AA$7=$BA23),1,""))</f>
        <v>18</v>
      </c>
      <c r="AB23" s="24">
        <f>IF(ISNUMBER(AA23),IF(AA23+1&lt;=$BC23,AA23+1,""),IF(AND(COUNT($C23:AA23)&lt;$BC23,AB$7=$BA23),1,""))</f>
        <v>19</v>
      </c>
      <c r="AC23" s="25">
        <f>IF(ISNUMBER(AB23),IF(AB23+1&lt;=$BC23,AB23+1,""),IF(AND(COUNT($C23:AB23)&lt;$BC23,AC$7=$BA23),1,""))</f>
        <v>20</v>
      </c>
      <c r="AD23" s="23">
        <f>IF(ISNUMBER(AC23),IF(AC23+1&lt;=$BC23,AC23+1,""),IF(AND(COUNT($C23:AC23)&lt;$BC23,AD$7=$BA23),1,""))</f>
        <v>21</v>
      </c>
      <c r="AE23" s="23">
        <f>IF(ISNUMBER(AD23),IF(AD23+1&lt;=$BC23,AD23+1,""),IF(AND(COUNT($C23:AD23)&lt;$BC23,AE$7=$BA23),1,""))</f>
        <v>22</v>
      </c>
      <c r="AF23" s="23">
        <f>IF(ISNUMBER(AE23),IF(AE23+1&lt;=$BC23,AE23+1,""),IF(AND(COUNT($C23:AE23)&lt;$BC23,AF$7=$BA23),1,""))</f>
        <v>23</v>
      </c>
      <c r="AG23" s="23">
        <f>IF(ISNUMBER(AF23),IF(AF23+1&lt;=$BC23,AF23+1,""),IF(AND(COUNT($C23:AF23)&lt;$BC23,AG$7=$BA23),1,""))</f>
        <v>24</v>
      </c>
      <c r="AH23" s="23">
        <f>IF(ISNUMBER(AG23),IF(AG23+1&lt;=$BC23,AG23+1,""),IF(AND(COUNT($C23:AG23)&lt;$BC23,AH$7=$BA23),1,""))</f>
        <v>25</v>
      </c>
      <c r="AI23" s="24">
        <f>IF(ISNUMBER(AH23),IF(AH23+1&lt;=$BC23,AH23+1,""),IF(AND(COUNT($C23:AH23)&lt;$BC23,AI$7=$BA23),1,""))</f>
        <v>26</v>
      </c>
      <c r="AJ23" s="25">
        <f>IF(ISNUMBER(AI23),IF(AI23+1&lt;=$BC23,AI23+1,""),IF(AND(COUNT($C23:AI23)&lt;$BC23,AJ$7=$BA23),1,""))</f>
        <v>27</v>
      </c>
      <c r="AK23" s="23">
        <f>IF(ISNUMBER(AJ23),IF(AJ23+1&lt;=$BC23,AJ23+1,""),IF(AND(COUNT($C23:AJ23)&lt;$BC23,AK$7=$BA23),1,""))</f>
        <v>28</v>
      </c>
      <c r="AL23" s="23">
        <f>IF(ISNUMBER(AK23),IF(AK23+1&lt;=$BC23,AK23+1,""),IF(AND(COUNT($C23:AK23)&lt;$BC23,AL$7=$BA23),1,""))</f>
        <v>29</v>
      </c>
      <c r="AM23" s="23">
        <f>IF(ISNUMBER(AL23),IF(AL23+1&lt;=$BC23,AL23+1,""),IF(AND(COUNT($C23:AL23)&lt;$BC23,AM$7=$BA23),1,""))</f>
        <v>30</v>
      </c>
      <c r="AN23" s="23" t="str">
        <f>IF(ISNUMBER(AM23),IF(AM23+1&lt;=$BC23,AM23+1,""),IF(AND(COUNT($C23:AM23)&lt;$BC23,AN$7=$BA23),1,""))</f>
        <v/>
      </c>
      <c r="AO23" s="23" t="str">
        <f>IF(ISNUMBER(AN23),IF(AN23+1&lt;=$BC23,AN23+1,""),IF(AND(COUNT($C23:AN23)&lt;$BC23,AO$7=$BA23),1,""))</f>
        <v/>
      </c>
      <c r="AP23" s="24" t="str">
        <f>IF(ISNUMBER(AO23),IF(AO23+1&lt;=$BC23,AO23+1,""),IF(AND(COUNT($C23:AO23)&lt;$BC23,AP$7=$BA23),1,""))</f>
        <v/>
      </c>
      <c r="AQ23" s="25" t="str">
        <f>IF(ISNUMBER(AP23),IF(AP23+1&lt;=$BC23,AP23+1,""),IF(AND(COUNT($C23:AP23)&lt;$BC23,AQ$7=$BA23),1,""))</f>
        <v/>
      </c>
      <c r="AR23" s="23" t="str">
        <f>IF(ISNUMBER(AQ23),IF(AQ23+1&lt;=$BC23,AQ23+1,""),IF(AND(COUNT($C23:AQ23)&lt;$BC23,AR$7=$BA23),1,""))</f>
        <v/>
      </c>
      <c r="AS23" s="23" t="str">
        <f>IF(ISNUMBER(AR23),IF(AR23+1&lt;=$BC23,AR23+1,""),IF(AND(COUNT($C23:AR23)&lt;$BC23,AS$7=$BA23),1,""))</f>
        <v/>
      </c>
      <c r="AT23" s="23" t="str">
        <f>IF(ISNUMBER(AS23),IF(AS23+1&lt;=$BC23,AS23+1,""),IF(AND(COUNT($C23:AS23)&lt;$BC23,AT$7=$BA23),1,""))</f>
        <v/>
      </c>
      <c r="AU23" s="23" t="str">
        <f>IF(ISNUMBER(AT23),IF(AT23+1&lt;=$BC23,AT23+1,""),IF(AND(COUNT($C23:AT23)&lt;$BC23,AU$7=$BA23),1,""))</f>
        <v/>
      </c>
      <c r="AV23" s="23" t="str">
        <f>IF(ISNUMBER(AU23),IF(AU23+1&lt;=$BC23,AU23+1,""),IF(AND(COUNT($C23:AU23)&lt;$BC23,AV$7=$BA23),1,""))</f>
        <v/>
      </c>
      <c r="AW23" s="23" t="str">
        <f>IF(ISNUMBER(AV23),IF(AV23+1&lt;=$BC23,AV23+1,""),IF(AND(COUNT($C23:AV23)&lt;$BC23,AW$7=$BA23),1,""))</f>
        <v/>
      </c>
      <c r="AZ23" s="13">
        <v>11</v>
      </c>
      <c r="BA23" s="13">
        <f t="shared" si="0"/>
        <v>3</v>
      </c>
      <c r="BB23" s="13">
        <f>WEEKDAY(DATE(IF(AZ23&lt;=3,AN3+1,$AN$5),AZ23+1,1)-1)</f>
        <v>4</v>
      </c>
      <c r="BC23" s="13">
        <f>DATE(IF(AZ23&lt;=3,AN3+1,$AN$5),AZ23+1,1)-DATE(IF(AZ23&lt;=3,AN3+1,$AN$5),AZ23,1)</f>
        <v>30</v>
      </c>
    </row>
    <row r="24" spans="2:55" ht="18.75" customHeight="1" x14ac:dyDescent="0.3">
      <c r="B24" s="34"/>
      <c r="C24" s="35">
        <f>DATE($AN$5,11,1)</f>
        <v>44866</v>
      </c>
      <c r="D24" s="35"/>
      <c r="E24" s="35"/>
      <c r="F24" s="35"/>
      <c r="G24" s="35"/>
      <c r="H24" s="36" t="str">
        <f>IFERROR(DATE(YEAR($C23),MONTH($C23),DAY(H23)),"")</f>
        <v/>
      </c>
      <c r="I24" s="37" t="str">
        <f t="shared" ref="I24:AW24" si="8">IFERROR(DATE(YEAR($C23),MONTH($C23),DAY(I23)),"")</f>
        <v/>
      </c>
      <c r="J24" s="37">
        <f t="shared" si="8"/>
        <v>44866</v>
      </c>
      <c r="K24" s="37">
        <f t="shared" si="8"/>
        <v>44867</v>
      </c>
      <c r="L24" s="37">
        <f t="shared" si="8"/>
        <v>44868</v>
      </c>
      <c r="M24" s="37">
        <f t="shared" si="8"/>
        <v>44869</v>
      </c>
      <c r="N24" s="38">
        <f t="shared" si="8"/>
        <v>44870</v>
      </c>
      <c r="O24" s="36">
        <f t="shared" si="8"/>
        <v>44871</v>
      </c>
      <c r="P24" s="37">
        <f t="shared" si="8"/>
        <v>44872</v>
      </c>
      <c r="Q24" s="37">
        <f t="shared" si="8"/>
        <v>44873</v>
      </c>
      <c r="R24" s="37">
        <f t="shared" si="8"/>
        <v>44874</v>
      </c>
      <c r="S24" s="37">
        <f t="shared" si="8"/>
        <v>44875</v>
      </c>
      <c r="T24" s="37">
        <f t="shared" si="8"/>
        <v>44876</v>
      </c>
      <c r="U24" s="38">
        <f t="shared" si="8"/>
        <v>44877</v>
      </c>
      <c r="V24" s="36">
        <f t="shared" si="8"/>
        <v>44878</v>
      </c>
      <c r="W24" s="37">
        <f t="shared" si="8"/>
        <v>44879</v>
      </c>
      <c r="X24" s="37">
        <f t="shared" si="8"/>
        <v>44880</v>
      </c>
      <c r="Y24" s="37">
        <f t="shared" si="8"/>
        <v>44881</v>
      </c>
      <c r="Z24" s="37">
        <f t="shared" si="8"/>
        <v>44882</v>
      </c>
      <c r="AA24" s="37">
        <f t="shared" si="8"/>
        <v>44883</v>
      </c>
      <c r="AB24" s="38">
        <f t="shared" si="8"/>
        <v>44884</v>
      </c>
      <c r="AC24" s="36">
        <f t="shared" si="8"/>
        <v>44885</v>
      </c>
      <c r="AD24" s="37">
        <f t="shared" si="8"/>
        <v>44886</v>
      </c>
      <c r="AE24" s="37">
        <f t="shared" si="8"/>
        <v>44887</v>
      </c>
      <c r="AF24" s="37">
        <f t="shared" si="8"/>
        <v>44888</v>
      </c>
      <c r="AG24" s="37">
        <f t="shared" si="8"/>
        <v>44889</v>
      </c>
      <c r="AH24" s="37">
        <f t="shared" si="8"/>
        <v>44890</v>
      </c>
      <c r="AI24" s="38">
        <f t="shared" si="8"/>
        <v>44891</v>
      </c>
      <c r="AJ24" s="36">
        <f t="shared" si="8"/>
        <v>44892</v>
      </c>
      <c r="AK24" s="37">
        <f t="shared" si="8"/>
        <v>44893</v>
      </c>
      <c r="AL24" s="37">
        <f t="shared" si="8"/>
        <v>44894</v>
      </c>
      <c r="AM24" s="37">
        <f t="shared" si="8"/>
        <v>44895</v>
      </c>
      <c r="AN24" s="37" t="str">
        <f t="shared" si="8"/>
        <v/>
      </c>
      <c r="AO24" s="37" t="str">
        <f t="shared" si="8"/>
        <v/>
      </c>
      <c r="AP24" s="38" t="str">
        <f t="shared" si="8"/>
        <v/>
      </c>
      <c r="AQ24" s="36" t="str">
        <f t="shared" si="8"/>
        <v/>
      </c>
      <c r="AR24" s="37" t="str">
        <f t="shared" si="8"/>
        <v/>
      </c>
      <c r="AS24" s="37" t="str">
        <f t="shared" si="8"/>
        <v/>
      </c>
      <c r="AT24" s="37" t="str">
        <f t="shared" si="8"/>
        <v/>
      </c>
      <c r="AU24" s="37" t="str">
        <f t="shared" si="8"/>
        <v/>
      </c>
      <c r="AV24" s="37" t="str">
        <f t="shared" si="8"/>
        <v/>
      </c>
      <c r="AW24" s="37" t="str">
        <f t="shared" si="8"/>
        <v/>
      </c>
      <c r="AZ24" s="13"/>
      <c r="BA24" s="13"/>
      <c r="BB24" s="13"/>
      <c r="BC24" s="13"/>
    </row>
    <row r="25" spans="2:55" ht="18.75" hidden="1" customHeight="1" x14ac:dyDescent="0.3">
      <c r="B25" s="39"/>
      <c r="C25" s="40">
        <f>DATE($AN$5,12,1)</f>
        <v>44896</v>
      </c>
      <c r="D25" s="40"/>
      <c r="E25" s="40"/>
      <c r="F25" s="40"/>
      <c r="G25" s="40"/>
      <c r="H25" s="41" t="str">
        <f>IF(ISNUMBER(C25),IF(C25+1&lt;=$BC25,C25+1,""),IF(AND(COUNT($C25:C25)&lt;$BC25,H$7=$BA25),1,""))</f>
        <v/>
      </c>
      <c r="I25" s="42" t="str">
        <f>IF(ISNUMBER(H25),IF(H25+1&lt;=$BC25,H25+1,""),IF(AND(COUNT($C25:H25)&lt;$BC25,I$7=$BA25),1,""))</f>
        <v/>
      </c>
      <c r="J25" s="42" t="str">
        <f>IF(ISNUMBER(I25),IF(I25+1&lt;=$BC25,I25+1,""),IF(AND(COUNT($C25:I25)&lt;$BC25,J$7=$BA25),1,""))</f>
        <v/>
      </c>
      <c r="K25" s="42" t="str">
        <f>IF(ISNUMBER(J25),IF(J25+1&lt;=$BC25,J25+1,""),IF(AND(COUNT($C25:J25)&lt;$BC25,K$7=$BA25),1,""))</f>
        <v/>
      </c>
      <c r="L25" s="42">
        <f>IF(ISNUMBER(K25),IF(K25+1&lt;=$BC25,K25+1,""),IF(AND(COUNT($C25:K25)&lt;$BC25,L$7=$BA25),1,""))</f>
        <v>1</v>
      </c>
      <c r="M25" s="42">
        <f>IF(ISNUMBER(L25),IF(L25+1&lt;=$BC25,L25+1,""),IF(AND(COUNT($C25:L25)&lt;$BC25,M$7=$BA25),1,""))</f>
        <v>2</v>
      </c>
      <c r="N25" s="43">
        <f>IF(ISNUMBER(M25),IF(M25+1&lt;=$BC25,M25+1,""),IF(AND(COUNT($C25:M25)&lt;$BC25,N$7=$BA25),1,""))</f>
        <v>3</v>
      </c>
      <c r="O25" s="44">
        <f>IF(ISNUMBER(N25),IF(N25+1&lt;=$BC25,N25+1,""),IF(AND(COUNT($C25:N25)&lt;$BC25,O$7=$BA25),1,""))</f>
        <v>4</v>
      </c>
      <c r="P25" s="42">
        <f>IF(ISNUMBER(O25),IF(O25+1&lt;=$BC25,O25+1,""),IF(AND(COUNT($C25:O25)&lt;$BC25,P$7=$BA25),1,""))</f>
        <v>5</v>
      </c>
      <c r="Q25" s="42">
        <f>IF(ISNUMBER(P25),IF(P25+1&lt;=$BC25,P25+1,""),IF(AND(COUNT($C25:P25)&lt;$BC25,Q$7=$BA25),1,""))</f>
        <v>6</v>
      </c>
      <c r="R25" s="42">
        <f>IF(ISNUMBER(Q25),IF(Q25+1&lt;=$BC25,Q25+1,""),IF(AND(COUNT($C25:Q25)&lt;$BC25,R$7=$BA25),1,""))</f>
        <v>7</v>
      </c>
      <c r="S25" s="42">
        <f>IF(ISNUMBER(R25),IF(R25+1&lt;=$BC25,R25+1,""),IF(AND(COUNT($C25:R25)&lt;$BC25,S$7=$BA25),1,""))</f>
        <v>8</v>
      </c>
      <c r="T25" s="42">
        <f>IF(ISNUMBER(S25),IF(S25+1&lt;=$BC25,S25+1,""),IF(AND(COUNT($C25:S25)&lt;$BC25,T$7=$BA25),1,""))</f>
        <v>9</v>
      </c>
      <c r="U25" s="43">
        <f>IF(ISNUMBER(T25),IF(T25+1&lt;=$BC25,T25+1,""),IF(AND(COUNT($C25:T25)&lt;$BC25,U$7=$BA25),1,""))</f>
        <v>10</v>
      </c>
      <c r="V25" s="44">
        <f>IF(ISNUMBER(U25),IF(U25+1&lt;=$BC25,U25+1,""),IF(AND(COUNT($C25:U25)&lt;$BC25,V$7=$BA25),1,""))</f>
        <v>11</v>
      </c>
      <c r="W25" s="42">
        <f>IF(ISNUMBER(V25),IF(V25+1&lt;=$BC25,V25+1,""),IF(AND(COUNT($C25:V25)&lt;$BC25,W$7=$BA25),1,""))</f>
        <v>12</v>
      </c>
      <c r="X25" s="42">
        <f>IF(ISNUMBER(W25),IF(W25+1&lt;=$BC25,W25+1,""),IF(AND(COUNT($C25:W25)&lt;$BC25,X$7=$BA25),1,""))</f>
        <v>13</v>
      </c>
      <c r="Y25" s="42">
        <f>IF(ISNUMBER(X25),IF(X25+1&lt;=$BC25,X25+1,""),IF(AND(COUNT($C25:X25)&lt;$BC25,Y$7=$BA25),1,""))</f>
        <v>14</v>
      </c>
      <c r="Z25" s="42">
        <f>IF(ISNUMBER(Y25),IF(Y25+1&lt;=$BC25,Y25+1,""),IF(AND(COUNT($C25:Y25)&lt;$BC25,Z$7=$BA25),1,""))</f>
        <v>15</v>
      </c>
      <c r="AA25" s="42">
        <f>IF(ISNUMBER(Z25),IF(Z25+1&lt;=$BC25,Z25+1,""),IF(AND(COUNT($C25:Z25)&lt;$BC25,AA$7=$BA25),1,""))</f>
        <v>16</v>
      </c>
      <c r="AB25" s="43">
        <f>IF(ISNUMBER(AA25),IF(AA25+1&lt;=$BC25,AA25+1,""),IF(AND(COUNT($C25:AA25)&lt;$BC25,AB$7=$BA25),1,""))</f>
        <v>17</v>
      </c>
      <c r="AC25" s="44">
        <f>IF(ISNUMBER(AB25),IF(AB25+1&lt;=$BC25,AB25+1,""),IF(AND(COUNT($C25:AB25)&lt;$BC25,AC$7=$BA25),1,""))</f>
        <v>18</v>
      </c>
      <c r="AD25" s="42">
        <f>IF(ISNUMBER(AC25),IF(AC25+1&lt;=$BC25,AC25+1,""),IF(AND(COUNT($C25:AC25)&lt;$BC25,AD$7=$BA25),1,""))</f>
        <v>19</v>
      </c>
      <c r="AE25" s="42">
        <f>IF(ISNUMBER(AD25),IF(AD25+1&lt;=$BC25,AD25+1,""),IF(AND(COUNT($C25:AD25)&lt;$BC25,AE$7=$BA25),1,""))</f>
        <v>20</v>
      </c>
      <c r="AF25" s="42">
        <f>IF(ISNUMBER(AE25),IF(AE25+1&lt;=$BC25,AE25+1,""),IF(AND(COUNT($C25:AE25)&lt;$BC25,AF$7=$BA25),1,""))</f>
        <v>21</v>
      </c>
      <c r="AG25" s="42">
        <f>IF(ISNUMBER(AF25),IF(AF25+1&lt;=$BC25,AF25+1,""),IF(AND(COUNT($C25:AF25)&lt;$BC25,AG$7=$BA25),1,""))</f>
        <v>22</v>
      </c>
      <c r="AH25" s="42">
        <f>IF(ISNUMBER(AG25),IF(AG25+1&lt;=$BC25,AG25+1,""),IF(AND(COUNT($C25:AG25)&lt;$BC25,AH$7=$BA25),1,""))</f>
        <v>23</v>
      </c>
      <c r="AI25" s="43">
        <f>IF(ISNUMBER(AH25),IF(AH25+1&lt;=$BC25,AH25+1,""),IF(AND(COUNT($C25:AH25)&lt;$BC25,AI$7=$BA25),1,""))</f>
        <v>24</v>
      </c>
      <c r="AJ25" s="44">
        <f>IF(ISNUMBER(AI25),IF(AI25+1&lt;=$BC25,AI25+1,""),IF(AND(COUNT($C25:AI25)&lt;$BC25,AJ$7=$BA25),1,""))</f>
        <v>25</v>
      </c>
      <c r="AK25" s="42">
        <f>IF(ISNUMBER(AJ25),IF(AJ25+1&lt;=$BC25,AJ25+1,""),IF(AND(COUNT($C25:AJ25)&lt;$BC25,AK$7=$BA25),1,""))</f>
        <v>26</v>
      </c>
      <c r="AL25" s="42">
        <f>IF(ISNUMBER(AK25),IF(AK25+1&lt;=$BC25,AK25+1,""),IF(AND(COUNT($C25:AK25)&lt;$BC25,AL$7=$BA25),1,""))</f>
        <v>27</v>
      </c>
      <c r="AM25" s="42">
        <f>IF(ISNUMBER(AL25),IF(AL25+1&lt;=$BC25,AL25+1,""),IF(AND(COUNT($C25:AL25)&lt;$BC25,AM$7=$BA25),1,""))</f>
        <v>28</v>
      </c>
      <c r="AN25" s="42">
        <f>IF(ISNUMBER(AM25),IF(AM25+1&lt;=$BC25,AM25+1,""),IF(AND(COUNT($C25:AM25)&lt;$BC25,AN$7=$BA25),1,""))</f>
        <v>29</v>
      </c>
      <c r="AO25" s="42">
        <f>IF(ISNUMBER(AN25),IF(AN25+1&lt;=$BC25,AN25+1,""),IF(AND(COUNT($C25:AN25)&lt;$BC25,AO$7=$BA25),1,""))</f>
        <v>30</v>
      </c>
      <c r="AP25" s="43">
        <f>IF(ISNUMBER(AO25),IF(AO25+1&lt;=$BC25,AO25+1,""),IF(AND(COUNT($C25:AO25)&lt;$BC25,AP$7=$BA25),1,""))</f>
        <v>31</v>
      </c>
      <c r="AQ25" s="44" t="str">
        <f>IF(ISNUMBER(AP25),IF(AP25+1&lt;=$BC25,AP25+1,""),IF(AND(COUNT($C25:AP25)&lt;$BC25,AQ$7=$BA25),1,""))</f>
        <v/>
      </c>
      <c r="AR25" s="42" t="str">
        <f>IF(ISNUMBER(AQ25),IF(AQ25+1&lt;=$BC25,AQ25+1,""),IF(AND(COUNT($C25:AQ25)&lt;$BC25,AR$7=$BA25),1,""))</f>
        <v/>
      </c>
      <c r="AS25" s="42" t="str">
        <f>IF(ISNUMBER(AR25),IF(AR25+1&lt;=$BC25,AR25+1,""),IF(AND(COUNT($C25:AR25)&lt;$BC25,AS$7=$BA25),1,""))</f>
        <v/>
      </c>
      <c r="AT25" s="42" t="str">
        <f>IF(ISNUMBER(AS25),IF(AS25+1&lt;=$BC25,AS25+1,""),IF(AND(COUNT($C25:AS25)&lt;$BC25,AT$7=$BA25),1,""))</f>
        <v/>
      </c>
      <c r="AU25" s="42" t="str">
        <f>IF(ISNUMBER(AT25),IF(AT25+1&lt;=$BC25,AT25+1,""),IF(AND(COUNT($C25:AT25)&lt;$BC25,AU$7=$BA25),1,""))</f>
        <v/>
      </c>
      <c r="AV25" s="42" t="str">
        <f>IF(ISNUMBER(AU25),IF(AU25+1&lt;=$BC25,AU25+1,""),IF(AND(COUNT($C25:AU25)&lt;$BC25,AV$7=$BA25),1,""))</f>
        <v/>
      </c>
      <c r="AW25" s="42" t="str">
        <f>IF(ISNUMBER(AV25),IF(AV25+1&lt;=$BC25,AV25+1,""),IF(AND(COUNT($C25:AV25)&lt;$BC25,AW$7=$BA25),1,""))</f>
        <v/>
      </c>
      <c r="AZ25" s="13">
        <v>12</v>
      </c>
      <c r="BA25" s="13">
        <f t="shared" si="0"/>
        <v>5</v>
      </c>
      <c r="BB25" s="13">
        <f>WEEKDAY(DATE(IF(AZ25&lt;=3,AN4+1,$AN$5),AZ25+1,1)-1)</f>
        <v>7</v>
      </c>
      <c r="BC25" s="13">
        <f>DATE(IF(AZ25&lt;=3,AN4+1,$AN$5),AZ25+1,1)-DATE(IF(AZ25&lt;=3,AN4+1,$AN$5),AZ25,1)</f>
        <v>31</v>
      </c>
    </row>
    <row r="26" spans="2:55" ht="18.75" customHeight="1" x14ac:dyDescent="0.3">
      <c r="B26" s="45"/>
      <c r="C26" s="46">
        <f>DATE($AN$5,12,1)</f>
        <v>44896</v>
      </c>
      <c r="D26" s="46"/>
      <c r="E26" s="46"/>
      <c r="F26" s="46"/>
      <c r="G26" s="47"/>
      <c r="H26" s="48" t="str">
        <f>IFERROR(DATE(YEAR($C25),MONTH($C25),DAY(H25)),"")</f>
        <v/>
      </c>
      <c r="I26" s="49" t="str">
        <f t="shared" ref="I26:AW26" si="9">IFERROR(DATE(YEAR($C25),MONTH($C25),DAY(I25)),"")</f>
        <v/>
      </c>
      <c r="J26" s="49" t="str">
        <f t="shared" si="9"/>
        <v/>
      </c>
      <c r="K26" s="49" t="str">
        <f t="shared" si="9"/>
        <v/>
      </c>
      <c r="L26" s="49">
        <f t="shared" si="9"/>
        <v>44896</v>
      </c>
      <c r="M26" s="49">
        <f t="shared" si="9"/>
        <v>44897</v>
      </c>
      <c r="N26" s="50">
        <f t="shared" si="9"/>
        <v>44898</v>
      </c>
      <c r="O26" s="48">
        <f t="shared" si="9"/>
        <v>44899</v>
      </c>
      <c r="P26" s="49">
        <f t="shared" si="9"/>
        <v>44900</v>
      </c>
      <c r="Q26" s="49">
        <f t="shared" si="9"/>
        <v>44901</v>
      </c>
      <c r="R26" s="49">
        <f t="shared" si="9"/>
        <v>44902</v>
      </c>
      <c r="S26" s="49">
        <f t="shared" si="9"/>
        <v>44903</v>
      </c>
      <c r="T26" s="49">
        <f t="shared" si="9"/>
        <v>44904</v>
      </c>
      <c r="U26" s="50">
        <f t="shared" si="9"/>
        <v>44905</v>
      </c>
      <c r="V26" s="48">
        <f t="shared" si="9"/>
        <v>44906</v>
      </c>
      <c r="W26" s="49">
        <f t="shared" si="9"/>
        <v>44907</v>
      </c>
      <c r="X26" s="49">
        <f t="shared" si="9"/>
        <v>44908</v>
      </c>
      <c r="Y26" s="49">
        <f t="shared" si="9"/>
        <v>44909</v>
      </c>
      <c r="Z26" s="49">
        <f t="shared" si="9"/>
        <v>44910</v>
      </c>
      <c r="AA26" s="49">
        <f t="shared" si="9"/>
        <v>44911</v>
      </c>
      <c r="AB26" s="50">
        <f t="shared" si="9"/>
        <v>44912</v>
      </c>
      <c r="AC26" s="48">
        <f t="shared" si="9"/>
        <v>44913</v>
      </c>
      <c r="AD26" s="49">
        <f t="shared" si="9"/>
        <v>44914</v>
      </c>
      <c r="AE26" s="49">
        <f t="shared" si="9"/>
        <v>44915</v>
      </c>
      <c r="AF26" s="49">
        <f t="shared" si="9"/>
        <v>44916</v>
      </c>
      <c r="AG26" s="49">
        <f t="shared" si="9"/>
        <v>44917</v>
      </c>
      <c r="AH26" s="49">
        <f t="shared" si="9"/>
        <v>44918</v>
      </c>
      <c r="AI26" s="50">
        <f t="shared" si="9"/>
        <v>44919</v>
      </c>
      <c r="AJ26" s="48">
        <f t="shared" si="9"/>
        <v>44920</v>
      </c>
      <c r="AK26" s="49">
        <f t="shared" si="9"/>
        <v>44921</v>
      </c>
      <c r="AL26" s="49">
        <f t="shared" si="9"/>
        <v>44922</v>
      </c>
      <c r="AM26" s="49">
        <f t="shared" si="9"/>
        <v>44923</v>
      </c>
      <c r="AN26" s="49">
        <f t="shared" si="9"/>
        <v>44924</v>
      </c>
      <c r="AO26" s="49">
        <f t="shared" si="9"/>
        <v>44925</v>
      </c>
      <c r="AP26" s="50">
        <f t="shared" si="9"/>
        <v>44926</v>
      </c>
      <c r="AQ26" s="48" t="str">
        <f t="shared" si="9"/>
        <v/>
      </c>
      <c r="AR26" s="49" t="str">
        <f t="shared" si="9"/>
        <v/>
      </c>
      <c r="AS26" s="49" t="str">
        <f t="shared" si="9"/>
        <v/>
      </c>
      <c r="AT26" s="49" t="str">
        <f t="shared" si="9"/>
        <v/>
      </c>
      <c r="AU26" s="49" t="str">
        <f t="shared" si="9"/>
        <v/>
      </c>
      <c r="AV26" s="49" t="str">
        <f t="shared" si="9"/>
        <v/>
      </c>
      <c r="AW26" s="49" t="str">
        <f t="shared" si="9"/>
        <v/>
      </c>
      <c r="AZ26" s="13"/>
      <c r="BA26" s="13"/>
      <c r="BB26" s="13"/>
      <c r="BC26" s="13"/>
    </row>
    <row r="27" spans="2:55" ht="18.75" hidden="1" customHeight="1" x14ac:dyDescent="0.3">
      <c r="B27" s="51"/>
      <c r="C27" s="35">
        <f>DATE($AN$5,13,1)</f>
        <v>44927</v>
      </c>
      <c r="D27" s="35"/>
      <c r="E27" s="35"/>
      <c r="F27" s="35"/>
      <c r="G27" s="35"/>
      <c r="H27" s="52" t="str">
        <f>IF(ISNUMBER(C27),IF(C27+1&lt;=$BC27,C27+1,""),IF(AND(COUNT($C27:C27)&lt;$BC27,H$7=$BA27),1,""))</f>
        <v/>
      </c>
      <c r="I27" s="53" t="str">
        <f>IF(ISNUMBER(H27),IF(H27+1&lt;=$BC27,H27+1,""),IF(AND(COUNT($C27:H27)&lt;$BC27,I$7=$BA27),1,""))</f>
        <v/>
      </c>
      <c r="J27" s="53" t="str">
        <f>IF(ISNUMBER(I27),IF(I27+1&lt;=$BC27,I27+1,""),IF(AND(COUNT($C27:I27)&lt;$BC27,J$7=$BA27),1,""))</f>
        <v/>
      </c>
      <c r="K27" s="53" t="str">
        <f>IF(ISNUMBER(J27),IF(J27+1&lt;=$BC27,J27+1,""),IF(AND(COUNT($C27:J27)&lt;$BC27,K$7=$BA27),1,""))</f>
        <v/>
      </c>
      <c r="L27" s="53" t="str">
        <f>IF(ISNUMBER(K27),IF(K27+1&lt;=$BC27,K27+1,""),IF(AND(COUNT($C27:K27)&lt;$BC27,L$7=$BA27),1,""))</f>
        <v/>
      </c>
      <c r="M27" s="53" t="str">
        <f>IF(ISNUMBER(L27),IF(L27+1&lt;=$BC27,L27+1,""),IF(AND(COUNT($C27:L27)&lt;$BC27,M$7=$BA27),1,""))</f>
        <v/>
      </c>
      <c r="N27" s="54" t="str">
        <f>IF(ISNUMBER(M27),IF(M27+1&lt;=$BC27,M27+1,""),IF(AND(COUNT($C27:M27)&lt;$BC27,N$7=$BA27),1,""))</f>
        <v/>
      </c>
      <c r="O27" s="55">
        <f>IF(ISNUMBER(N27),IF(N27+1&lt;=$BC27,N27+1,""),IF(AND(COUNT($C27:N27)&lt;$BC27,O$7=$BA27),1,""))</f>
        <v>1</v>
      </c>
      <c r="P27" s="53">
        <f>IF(ISNUMBER(O27),IF(O27+1&lt;=$BC27,O27+1,""),IF(AND(COUNT($C27:O27)&lt;$BC27,P$7=$BA27),1,""))</f>
        <v>2</v>
      </c>
      <c r="Q27" s="53">
        <f>IF(ISNUMBER(P27),IF(P27+1&lt;=$BC27,P27+1,""),IF(AND(COUNT($C27:P27)&lt;$BC27,Q$7=$BA27),1,""))</f>
        <v>3</v>
      </c>
      <c r="R27" s="53">
        <f>IF(ISNUMBER(Q27),IF(Q27+1&lt;=$BC27,Q27+1,""),IF(AND(COUNT($C27:Q27)&lt;$BC27,R$7=$BA27),1,""))</f>
        <v>4</v>
      </c>
      <c r="S27" s="53">
        <f>IF(ISNUMBER(R27),IF(R27+1&lt;=$BC27,R27+1,""),IF(AND(COUNT($C27:R27)&lt;$BC27,S$7=$BA27),1,""))</f>
        <v>5</v>
      </c>
      <c r="T27" s="53">
        <f>IF(ISNUMBER(S27),IF(S27+1&lt;=$BC27,S27+1,""),IF(AND(COUNT($C27:S27)&lt;$BC27,T$7=$BA27),1,""))</f>
        <v>6</v>
      </c>
      <c r="U27" s="54">
        <f>IF(ISNUMBER(T27),IF(T27+1&lt;=$BC27,T27+1,""),IF(AND(COUNT($C27:T27)&lt;$BC27,U$7=$BA27),1,""))</f>
        <v>7</v>
      </c>
      <c r="V27" s="55">
        <f>IF(ISNUMBER(U27),IF(U27+1&lt;=$BC27,U27+1,""),IF(AND(COUNT($C27:U27)&lt;$BC27,V$7=$BA27),1,""))</f>
        <v>8</v>
      </c>
      <c r="W27" s="53">
        <f>IF(ISNUMBER(V27),IF(V27+1&lt;=$BC27,V27+1,""),IF(AND(COUNT($C27:V27)&lt;$BC27,W$7=$BA27),1,""))</f>
        <v>9</v>
      </c>
      <c r="X27" s="53">
        <f>IF(ISNUMBER(W27),IF(W27+1&lt;=$BC27,W27+1,""),IF(AND(COUNT($C27:W27)&lt;$BC27,X$7=$BA27),1,""))</f>
        <v>10</v>
      </c>
      <c r="Y27" s="53">
        <f>IF(ISNUMBER(X27),IF(X27+1&lt;=$BC27,X27+1,""),IF(AND(COUNT($C27:X27)&lt;$BC27,Y$7=$BA27),1,""))</f>
        <v>11</v>
      </c>
      <c r="Z27" s="53">
        <f>IF(ISNUMBER(Y27),IF(Y27+1&lt;=$BC27,Y27+1,""),IF(AND(COUNT($C27:Y27)&lt;$BC27,Z$7=$BA27),1,""))</f>
        <v>12</v>
      </c>
      <c r="AA27" s="53">
        <f>IF(ISNUMBER(Z27),IF(Z27+1&lt;=$BC27,Z27+1,""),IF(AND(COUNT($C27:Z27)&lt;$BC27,AA$7=$BA27),1,""))</f>
        <v>13</v>
      </c>
      <c r="AB27" s="54">
        <f>IF(ISNUMBER(AA27),IF(AA27+1&lt;=$BC27,AA27+1,""),IF(AND(COUNT($C27:AA27)&lt;$BC27,AB$7=$BA27),1,""))</f>
        <v>14</v>
      </c>
      <c r="AC27" s="55">
        <f>IF(ISNUMBER(AB27),IF(AB27+1&lt;=$BC27,AB27+1,""),IF(AND(COUNT($C27:AB27)&lt;$BC27,AC$7=$BA27),1,""))</f>
        <v>15</v>
      </c>
      <c r="AD27" s="53">
        <f>IF(ISNUMBER(AC27),IF(AC27+1&lt;=$BC27,AC27+1,""),IF(AND(COUNT($C27:AC27)&lt;$BC27,AD$7=$BA27),1,""))</f>
        <v>16</v>
      </c>
      <c r="AE27" s="53">
        <f>IF(ISNUMBER(AD27),IF(AD27+1&lt;=$BC27,AD27+1,""),IF(AND(COUNT($C27:AD27)&lt;$BC27,AE$7=$BA27),1,""))</f>
        <v>17</v>
      </c>
      <c r="AF27" s="53">
        <f>IF(ISNUMBER(AE27),IF(AE27+1&lt;=$BC27,AE27+1,""),IF(AND(COUNT($C27:AE27)&lt;$BC27,AF$7=$BA27),1,""))</f>
        <v>18</v>
      </c>
      <c r="AG27" s="53">
        <f>IF(ISNUMBER(AF27),IF(AF27+1&lt;=$BC27,AF27+1,""),IF(AND(COUNT($C27:AF27)&lt;$BC27,AG$7=$BA27),1,""))</f>
        <v>19</v>
      </c>
      <c r="AH27" s="53">
        <f>IF(ISNUMBER(AG27),IF(AG27+1&lt;=$BC27,AG27+1,""),IF(AND(COUNT($C27:AG27)&lt;$BC27,AH$7=$BA27),1,""))</f>
        <v>20</v>
      </c>
      <c r="AI27" s="54">
        <f>IF(ISNUMBER(AH27),IF(AH27+1&lt;=$BC27,AH27+1,""),IF(AND(COUNT($C27:AH27)&lt;$BC27,AI$7=$BA27),1,""))</f>
        <v>21</v>
      </c>
      <c r="AJ27" s="55">
        <f>IF(ISNUMBER(AI27),IF(AI27+1&lt;=$BC27,AI27+1,""),IF(AND(COUNT($C27:AI27)&lt;$BC27,AJ$7=$BA27),1,""))</f>
        <v>22</v>
      </c>
      <c r="AK27" s="53">
        <f>IF(ISNUMBER(AJ27),IF(AJ27+1&lt;=$BC27,AJ27+1,""),IF(AND(COUNT($C27:AJ27)&lt;$BC27,AK$7=$BA27),1,""))</f>
        <v>23</v>
      </c>
      <c r="AL27" s="53">
        <f>IF(ISNUMBER(AK27),IF(AK27+1&lt;=$BC27,AK27+1,""),IF(AND(COUNT($C27:AK27)&lt;$BC27,AL$7=$BA27),1,""))</f>
        <v>24</v>
      </c>
      <c r="AM27" s="53">
        <f>IF(ISNUMBER(AL27),IF(AL27+1&lt;=$BC27,AL27+1,""),IF(AND(COUNT($C27:AL27)&lt;$BC27,AM$7=$BA27),1,""))</f>
        <v>25</v>
      </c>
      <c r="AN27" s="53">
        <f>IF(ISNUMBER(AM27),IF(AM27+1&lt;=$BC27,AM27+1,""),IF(AND(COUNT($C27:AM27)&lt;$BC27,AN$7=$BA27),1,""))</f>
        <v>26</v>
      </c>
      <c r="AO27" s="53">
        <f>IF(ISNUMBER(AN27),IF(AN27+1&lt;=$BC27,AN27+1,""),IF(AND(COUNT($C27:AN27)&lt;$BC27,AO$7=$BA27),1,""))</f>
        <v>27</v>
      </c>
      <c r="AP27" s="54">
        <f>IF(ISNUMBER(AO27),IF(AO27+1&lt;=$BC27,AO27+1,""),IF(AND(COUNT($C27:AO27)&lt;$BC27,AP$7=$BA27),1,""))</f>
        <v>28</v>
      </c>
      <c r="AQ27" s="55">
        <f>IF(ISNUMBER(AP27),IF(AP27+1&lt;=$BC27,AP27+1,""),IF(AND(COUNT($C27:AP27)&lt;$BC27,AQ$7=$BA27),1,""))</f>
        <v>29</v>
      </c>
      <c r="AR27" s="53">
        <f>IF(ISNUMBER(AQ27),IF(AQ27+1&lt;=$BC27,AQ27+1,""),IF(AND(COUNT($C27:AQ27)&lt;$BC27,AR$7=$BA27),1,""))</f>
        <v>30</v>
      </c>
      <c r="AS27" s="53">
        <f>IF(ISNUMBER(AR27),IF(AR27+1&lt;=$BC27,AR27+1,""),IF(AND(COUNT($C27:AR27)&lt;$BC27,AS$7=$BA27),1,""))</f>
        <v>31</v>
      </c>
      <c r="AT27" s="53" t="str">
        <f>IF(ISNUMBER(AS27),IF(AS27+1&lt;=$BC27,AS27+1,""),IF(AND(COUNT($C27:AS27)&lt;$BC27,AT$7=$BA27),1,""))</f>
        <v/>
      </c>
      <c r="AU27" s="53" t="str">
        <f>IF(ISNUMBER(AT27),IF(AT27+1&lt;=$BC27,AT27+1,""),IF(AND(COUNT($C27:AT27)&lt;$BC27,AU$7=$BA27),1,""))</f>
        <v/>
      </c>
      <c r="AV27" s="53" t="str">
        <f>IF(ISNUMBER(AU27),IF(AU27+1&lt;=$BC27,AU27+1,""),IF(AND(COUNT($C27:AU27)&lt;$BC27,AV$7=$BA27),1,""))</f>
        <v/>
      </c>
      <c r="AW27" s="53" t="str">
        <f>IF(ISNUMBER(AV27),IF(AV27+1&lt;=$BC27,AV27+1,""),IF(AND(COUNT($C27:AV27)&lt;$BC27,AW$7=$BA27),1,""))</f>
        <v/>
      </c>
      <c r="AZ27" s="13">
        <v>1</v>
      </c>
      <c r="BA27" s="13">
        <f>WEEKDAY(DATE(IF(AZ27&lt;=3,$AN$5+1,$AN$5),AZ27,1))</f>
        <v>1</v>
      </c>
      <c r="BB27" s="13">
        <f>WEEKDAY(DATE(IF(AZ27&lt;=3,AN5+1,$AN$5),AZ27+1,1)-1)</f>
        <v>3</v>
      </c>
      <c r="BC27" s="13">
        <f>DATE(IF(AZ27&lt;=3,AN5+1,$AN$5),AZ27+1,1)-DATE(IF(AZ27&lt;=3,AN5+1,$AN$5),AZ27,1)</f>
        <v>31</v>
      </c>
    </row>
    <row r="28" spans="2:55" ht="18.75" customHeight="1" x14ac:dyDescent="0.3">
      <c r="B28" s="56"/>
      <c r="C28" s="57">
        <f>DATE($AN$5,13,1)</f>
        <v>44927</v>
      </c>
      <c r="D28" s="57"/>
      <c r="E28" s="57"/>
      <c r="F28" s="57"/>
      <c r="G28" s="57"/>
      <c r="H28" s="58" t="str">
        <f>IFERROR(DATE(YEAR($C27),MONTH($C27),DAY(H27)),"")</f>
        <v/>
      </c>
      <c r="I28" s="59" t="str">
        <f t="shared" ref="I28:AW28" si="10">IFERROR(DATE(YEAR($C27),MONTH($C27),DAY(I27)),"")</f>
        <v/>
      </c>
      <c r="J28" s="59" t="str">
        <f t="shared" si="10"/>
        <v/>
      </c>
      <c r="K28" s="59" t="str">
        <f t="shared" si="10"/>
        <v/>
      </c>
      <c r="L28" s="59" t="str">
        <f t="shared" si="10"/>
        <v/>
      </c>
      <c r="M28" s="59" t="str">
        <f t="shared" si="10"/>
        <v/>
      </c>
      <c r="N28" s="60" t="str">
        <f t="shared" si="10"/>
        <v/>
      </c>
      <c r="O28" s="58">
        <f t="shared" si="10"/>
        <v>44927</v>
      </c>
      <c r="P28" s="59">
        <f t="shared" si="10"/>
        <v>44928</v>
      </c>
      <c r="Q28" s="59">
        <f t="shared" si="10"/>
        <v>44929</v>
      </c>
      <c r="R28" s="59">
        <f t="shared" si="10"/>
        <v>44930</v>
      </c>
      <c r="S28" s="59">
        <f t="shared" si="10"/>
        <v>44931</v>
      </c>
      <c r="T28" s="59">
        <f t="shared" si="10"/>
        <v>44932</v>
      </c>
      <c r="U28" s="60">
        <f t="shared" si="10"/>
        <v>44933</v>
      </c>
      <c r="V28" s="58">
        <f t="shared" si="10"/>
        <v>44934</v>
      </c>
      <c r="W28" s="59">
        <f t="shared" si="10"/>
        <v>44935</v>
      </c>
      <c r="X28" s="59">
        <f t="shared" si="10"/>
        <v>44936</v>
      </c>
      <c r="Y28" s="59">
        <f t="shared" si="10"/>
        <v>44937</v>
      </c>
      <c r="Z28" s="59">
        <f t="shared" si="10"/>
        <v>44938</v>
      </c>
      <c r="AA28" s="59">
        <f t="shared" si="10"/>
        <v>44939</v>
      </c>
      <c r="AB28" s="60">
        <f t="shared" si="10"/>
        <v>44940</v>
      </c>
      <c r="AC28" s="58">
        <f t="shared" si="10"/>
        <v>44941</v>
      </c>
      <c r="AD28" s="59">
        <f t="shared" si="10"/>
        <v>44942</v>
      </c>
      <c r="AE28" s="59">
        <f t="shared" si="10"/>
        <v>44943</v>
      </c>
      <c r="AF28" s="59">
        <f t="shared" si="10"/>
        <v>44944</v>
      </c>
      <c r="AG28" s="59">
        <f t="shared" si="10"/>
        <v>44945</v>
      </c>
      <c r="AH28" s="59">
        <f t="shared" si="10"/>
        <v>44946</v>
      </c>
      <c r="AI28" s="60">
        <f t="shared" si="10"/>
        <v>44947</v>
      </c>
      <c r="AJ28" s="58">
        <f t="shared" si="10"/>
        <v>44948</v>
      </c>
      <c r="AK28" s="59">
        <f t="shared" si="10"/>
        <v>44949</v>
      </c>
      <c r="AL28" s="59">
        <f t="shared" si="10"/>
        <v>44950</v>
      </c>
      <c r="AM28" s="59">
        <f t="shared" si="10"/>
        <v>44951</v>
      </c>
      <c r="AN28" s="59">
        <f t="shared" si="10"/>
        <v>44952</v>
      </c>
      <c r="AO28" s="59">
        <f t="shared" si="10"/>
        <v>44953</v>
      </c>
      <c r="AP28" s="60">
        <f t="shared" si="10"/>
        <v>44954</v>
      </c>
      <c r="AQ28" s="58">
        <f t="shared" si="10"/>
        <v>44955</v>
      </c>
      <c r="AR28" s="59">
        <f t="shared" si="10"/>
        <v>44956</v>
      </c>
      <c r="AS28" s="59">
        <f t="shared" si="10"/>
        <v>44957</v>
      </c>
      <c r="AT28" s="59" t="str">
        <f t="shared" si="10"/>
        <v/>
      </c>
      <c r="AU28" s="59" t="str">
        <f t="shared" si="10"/>
        <v/>
      </c>
      <c r="AV28" s="59" t="str">
        <f t="shared" si="10"/>
        <v/>
      </c>
      <c r="AW28" s="59" t="str">
        <f t="shared" si="10"/>
        <v/>
      </c>
      <c r="AZ28" s="13"/>
      <c r="BA28" s="13"/>
      <c r="BB28" s="13"/>
      <c r="BC28" s="13"/>
    </row>
    <row r="29" spans="2:55" ht="18.75" hidden="1" customHeight="1" x14ac:dyDescent="0.3">
      <c r="B29" s="7"/>
      <c r="C29" s="21">
        <f>DATE($AN$5,14,1)</f>
        <v>44958</v>
      </c>
      <c r="D29" s="21"/>
      <c r="E29" s="21"/>
      <c r="F29" s="21"/>
      <c r="G29" s="21"/>
      <c r="H29" s="27" t="str">
        <f>IF(ISNUMBER(C29),IF(C29+1&lt;=$BC29,C29+1,""),IF(AND(COUNT($C29:C29)&lt;$BC29,H$7=$BA29),1,""))</f>
        <v/>
      </c>
      <c r="I29" s="10" t="str">
        <f>IF(ISNUMBER(H29),IF(H29+1&lt;=$BC29,H29+1,""),IF(AND(COUNT($C29:H29)&lt;$BC29,I$7=$BA29),1,""))</f>
        <v/>
      </c>
      <c r="J29" s="10" t="str">
        <f>IF(ISNUMBER(I29),IF(I29+1&lt;=$BC29,I29+1,""),IF(AND(COUNT($C29:I29)&lt;$BC29,J$7=$BA29),1,""))</f>
        <v/>
      </c>
      <c r="K29" s="10">
        <f>IF(ISNUMBER(J29),IF(J29+1&lt;=$BC29,J29+1,""),IF(AND(COUNT($C29:J29)&lt;$BC29,K$7=$BA29),1,""))</f>
        <v>1</v>
      </c>
      <c r="L29" s="10">
        <f>IF(ISNUMBER(K29),IF(K29+1&lt;=$BC29,K29+1,""),IF(AND(COUNT($C29:K29)&lt;$BC29,L$7=$BA29),1,""))</f>
        <v>2</v>
      </c>
      <c r="M29" s="10">
        <f>IF(ISNUMBER(L29),IF(L29+1&lt;=$BC29,L29+1,""),IF(AND(COUNT($C29:L29)&lt;$BC29,M$7=$BA29),1,""))</f>
        <v>3</v>
      </c>
      <c r="N29" s="11">
        <f>IF(ISNUMBER(M29),IF(M29+1&lt;=$BC29,M29+1,""),IF(AND(COUNT($C29:M29)&lt;$BC29,N$7=$BA29),1,""))</f>
        <v>4</v>
      </c>
      <c r="O29" s="28">
        <f>IF(ISNUMBER(N29),IF(N29+1&lt;=$BC29,N29+1,""),IF(AND(COUNT($C29:N29)&lt;$BC29,O$7=$BA29),1,""))</f>
        <v>5</v>
      </c>
      <c r="P29" s="10">
        <f>IF(ISNUMBER(O29),IF(O29+1&lt;=$BC29,O29+1,""),IF(AND(COUNT($C29:O29)&lt;$BC29,P$7=$BA29),1,""))</f>
        <v>6</v>
      </c>
      <c r="Q29" s="10">
        <f>IF(ISNUMBER(P29),IF(P29+1&lt;=$BC29,P29+1,""),IF(AND(COUNT($C29:P29)&lt;$BC29,Q$7=$BA29),1,""))</f>
        <v>7</v>
      </c>
      <c r="R29" s="10">
        <f>IF(ISNUMBER(Q29),IF(Q29+1&lt;=$BC29,Q29+1,""),IF(AND(COUNT($C29:Q29)&lt;$BC29,R$7=$BA29),1,""))</f>
        <v>8</v>
      </c>
      <c r="S29" s="10">
        <f>IF(ISNUMBER(R29),IF(R29+1&lt;=$BC29,R29+1,""),IF(AND(COUNT($C29:R29)&lt;$BC29,S$7=$BA29),1,""))</f>
        <v>9</v>
      </c>
      <c r="T29" s="10">
        <f>IF(ISNUMBER(S29),IF(S29+1&lt;=$BC29,S29+1,""),IF(AND(COUNT($C29:S29)&lt;$BC29,T$7=$BA29),1,""))</f>
        <v>10</v>
      </c>
      <c r="U29" s="11">
        <f>IF(ISNUMBER(T29),IF(T29+1&lt;=$BC29,T29+1,""),IF(AND(COUNT($C29:T29)&lt;$BC29,U$7=$BA29),1,""))</f>
        <v>11</v>
      </c>
      <c r="V29" s="28">
        <f>IF(ISNUMBER(U29),IF(U29+1&lt;=$BC29,U29+1,""),IF(AND(COUNT($C29:U29)&lt;$BC29,V$7=$BA29),1,""))</f>
        <v>12</v>
      </c>
      <c r="W29" s="10">
        <f>IF(ISNUMBER(V29),IF(V29+1&lt;=$BC29,V29+1,""),IF(AND(COUNT($C29:V29)&lt;$BC29,W$7=$BA29),1,""))</f>
        <v>13</v>
      </c>
      <c r="X29" s="10">
        <f>IF(ISNUMBER(W29),IF(W29+1&lt;=$BC29,W29+1,""),IF(AND(COUNT($C29:W29)&lt;$BC29,X$7=$BA29),1,""))</f>
        <v>14</v>
      </c>
      <c r="Y29" s="10">
        <f>IF(ISNUMBER(X29),IF(X29+1&lt;=$BC29,X29+1,""),IF(AND(COUNT($C29:X29)&lt;$BC29,Y$7=$BA29),1,""))</f>
        <v>15</v>
      </c>
      <c r="Z29" s="10">
        <f>IF(ISNUMBER(Y29),IF(Y29+1&lt;=$BC29,Y29+1,""),IF(AND(COUNT($C29:Y29)&lt;$BC29,Z$7=$BA29),1,""))</f>
        <v>16</v>
      </c>
      <c r="AA29" s="10">
        <f>IF(ISNUMBER(Z29),IF(Z29+1&lt;=$BC29,Z29+1,""),IF(AND(COUNT($C29:Z29)&lt;$BC29,AA$7=$BA29),1,""))</f>
        <v>17</v>
      </c>
      <c r="AB29" s="11">
        <f>IF(ISNUMBER(AA29),IF(AA29+1&lt;=$BC29,AA29+1,""),IF(AND(COUNT($C29:AA29)&lt;$BC29,AB$7=$BA29),1,""))</f>
        <v>18</v>
      </c>
      <c r="AC29" s="28">
        <f>IF(ISNUMBER(AB29),IF(AB29+1&lt;=$BC29,AB29+1,""),IF(AND(COUNT($C29:AB29)&lt;$BC29,AC$7=$BA29),1,""))</f>
        <v>19</v>
      </c>
      <c r="AD29" s="10">
        <f>IF(ISNUMBER(AC29),IF(AC29+1&lt;=$BC29,AC29+1,""),IF(AND(COUNT($C29:AC29)&lt;$BC29,AD$7=$BA29),1,""))</f>
        <v>20</v>
      </c>
      <c r="AE29" s="10">
        <f>IF(ISNUMBER(AD29),IF(AD29+1&lt;=$BC29,AD29+1,""),IF(AND(COUNT($C29:AD29)&lt;$BC29,AE$7=$BA29),1,""))</f>
        <v>21</v>
      </c>
      <c r="AF29" s="10">
        <f>IF(ISNUMBER(AE29),IF(AE29+1&lt;=$BC29,AE29+1,""),IF(AND(COUNT($C29:AE29)&lt;$BC29,AF$7=$BA29),1,""))</f>
        <v>22</v>
      </c>
      <c r="AG29" s="10">
        <f>IF(ISNUMBER(AF29),IF(AF29+1&lt;=$BC29,AF29+1,""),IF(AND(COUNT($C29:AF29)&lt;$BC29,AG$7=$BA29),1,""))</f>
        <v>23</v>
      </c>
      <c r="AH29" s="10">
        <f>IF(ISNUMBER(AG29),IF(AG29+1&lt;=$BC29,AG29+1,""),IF(AND(COUNT($C29:AG29)&lt;$BC29,AH$7=$BA29),1,""))</f>
        <v>24</v>
      </c>
      <c r="AI29" s="11">
        <f>IF(ISNUMBER(AH29),IF(AH29+1&lt;=$BC29,AH29+1,""),IF(AND(COUNT($C29:AH29)&lt;$BC29,AI$7=$BA29),1,""))</f>
        <v>25</v>
      </c>
      <c r="AJ29" s="28">
        <f>IF(ISNUMBER(AI29),IF(AI29+1&lt;=$BC29,AI29+1,""),IF(AND(COUNT($C29:AI29)&lt;$BC29,AJ$7=$BA29),1,""))</f>
        <v>26</v>
      </c>
      <c r="AK29" s="10">
        <f>IF(ISNUMBER(AJ29),IF(AJ29+1&lt;=$BC29,AJ29+1,""),IF(AND(COUNT($C29:AJ29)&lt;$BC29,AK$7=$BA29),1,""))</f>
        <v>27</v>
      </c>
      <c r="AL29" s="10">
        <f>IF(ISNUMBER(AK29),IF(AK29+1&lt;=$BC29,AK29+1,""),IF(AND(COUNT($C29:AK29)&lt;$BC29,AL$7=$BA29),1,""))</f>
        <v>28</v>
      </c>
      <c r="AM29" s="10" t="str">
        <f>IF(ISNUMBER(AL29),IF(AL29+1&lt;=$BC29,AL29+1,""),IF(AND(COUNT($C29:AL29)&lt;$BC29,AM$7=$BA29),1,""))</f>
        <v/>
      </c>
      <c r="AN29" s="10" t="str">
        <f>IF(ISNUMBER(AM29),IF(AM29+1&lt;=$BC29,AM29+1,""),IF(AND(COUNT($C29:AM29)&lt;$BC29,AN$7=$BA29),1,""))</f>
        <v/>
      </c>
      <c r="AO29" s="10" t="str">
        <f>IF(ISNUMBER(AN29),IF(AN29+1&lt;=$BC29,AN29+1,""),IF(AND(COUNT($C29:AN29)&lt;$BC29,AO$7=$BA29),1,""))</f>
        <v/>
      </c>
      <c r="AP29" s="11" t="str">
        <f>IF(ISNUMBER(AO29),IF(AO29+1&lt;=$BC29,AO29+1,""),IF(AND(COUNT($C29:AO29)&lt;$BC29,AP$7=$BA29),1,""))</f>
        <v/>
      </c>
      <c r="AQ29" s="28" t="str">
        <f>IF(ISNUMBER(AP29),IF(AP29+1&lt;=$BC29,AP29+1,""),IF(AND(COUNT($C29:AP29)&lt;$BC29,AQ$7=$BA29),1,""))</f>
        <v/>
      </c>
      <c r="AR29" s="10" t="str">
        <f>IF(ISNUMBER(AQ29),IF(AQ29+1&lt;=$BC29,AQ29+1,""),IF(AND(COUNT($C29:AQ29)&lt;$BC29,AR$7=$BA29),1,""))</f>
        <v/>
      </c>
      <c r="AS29" s="10" t="str">
        <f>IF(ISNUMBER(AR29),IF(AR29+1&lt;=$BC29,AR29+1,""),IF(AND(COUNT($C29:AR29)&lt;$BC29,AS$7=$BA29),1,""))</f>
        <v/>
      </c>
      <c r="AT29" s="10" t="str">
        <f>IF(ISNUMBER(AS29),IF(AS29+1&lt;=$BC29,AS29+1,""),IF(AND(COUNT($C29:AS29)&lt;$BC29,AT$7=$BA29),1,""))</f>
        <v/>
      </c>
      <c r="AU29" s="10" t="str">
        <f>IF(ISNUMBER(AT29),IF(AT29+1&lt;=$BC29,AT29+1,""),IF(AND(COUNT($C29:AT29)&lt;$BC29,AU$7=$BA29),1,""))</f>
        <v/>
      </c>
      <c r="AV29" s="10" t="str">
        <f>IF(ISNUMBER(AU29),IF(AU29+1&lt;=$BC29,AU29+1,""),IF(AND(COUNT($C29:AU29)&lt;$BC29,AV$7=$BA29),1,""))</f>
        <v/>
      </c>
      <c r="AW29" s="10" t="str">
        <f>IF(ISNUMBER(AV29),IF(AV29+1&lt;=$BC29,AV29+1,""),IF(AND(COUNT($C29:AV29)&lt;$BC29,AW$7=$BA29),1,""))</f>
        <v/>
      </c>
      <c r="AZ29" s="13">
        <v>2</v>
      </c>
      <c r="BA29" s="13">
        <f t="shared" ref="BA29:BA31" si="11">WEEKDAY(DATE(IF(AZ29&lt;=3,$AN$5+1,$AN$5),AZ29,1))</f>
        <v>4</v>
      </c>
      <c r="BB29" s="13">
        <f>WEEKDAY(DATE(IF(AZ29&lt;=3,AN6+1,$AN$5),AZ29+1,1)-1)</f>
        <v>5</v>
      </c>
      <c r="BC29" s="13">
        <f>DATE(IF(AZ29&lt;=3,AN6+1,$AN$5),AZ29+1,1)-DATE(IF(AZ29&lt;=3,AN6+1,$AN$5),AZ29,1)</f>
        <v>28</v>
      </c>
    </row>
    <row r="30" spans="2:55" ht="18.75" customHeight="1" x14ac:dyDescent="0.3">
      <c r="B30" s="61"/>
      <c r="C30" s="15">
        <f>DATE($AN$5,14,1)</f>
        <v>44958</v>
      </c>
      <c r="D30" s="15"/>
      <c r="E30" s="15"/>
      <c r="F30" s="15"/>
      <c r="G30" s="15"/>
      <c r="H30" s="48" t="str">
        <f>IFERROR(DATE(YEAR($C29),MONTH($C29),DAY(H29)),"")</f>
        <v/>
      </c>
      <c r="I30" s="49" t="str">
        <f t="shared" ref="I30:AW30" si="12">IFERROR(DATE(YEAR($C29),MONTH($C29),DAY(I29)),"")</f>
        <v/>
      </c>
      <c r="J30" s="49" t="str">
        <f t="shared" si="12"/>
        <v/>
      </c>
      <c r="K30" s="49">
        <f t="shared" si="12"/>
        <v>44958</v>
      </c>
      <c r="L30" s="49">
        <f t="shared" si="12"/>
        <v>44959</v>
      </c>
      <c r="M30" s="49">
        <f t="shared" si="12"/>
        <v>44960</v>
      </c>
      <c r="N30" s="50">
        <f t="shared" si="12"/>
        <v>44961</v>
      </c>
      <c r="O30" s="48">
        <f t="shared" si="12"/>
        <v>44962</v>
      </c>
      <c r="P30" s="49">
        <f t="shared" si="12"/>
        <v>44963</v>
      </c>
      <c r="Q30" s="49">
        <f t="shared" si="12"/>
        <v>44964</v>
      </c>
      <c r="R30" s="49">
        <f t="shared" si="12"/>
        <v>44965</v>
      </c>
      <c r="S30" s="49">
        <f t="shared" si="12"/>
        <v>44966</v>
      </c>
      <c r="T30" s="49">
        <f t="shared" si="12"/>
        <v>44967</v>
      </c>
      <c r="U30" s="50">
        <f t="shared" si="12"/>
        <v>44968</v>
      </c>
      <c r="V30" s="48">
        <f t="shared" si="12"/>
        <v>44969</v>
      </c>
      <c r="W30" s="49">
        <f t="shared" si="12"/>
        <v>44970</v>
      </c>
      <c r="X30" s="49">
        <f t="shared" si="12"/>
        <v>44971</v>
      </c>
      <c r="Y30" s="49">
        <f t="shared" si="12"/>
        <v>44972</v>
      </c>
      <c r="Z30" s="49">
        <f t="shared" si="12"/>
        <v>44973</v>
      </c>
      <c r="AA30" s="49">
        <f t="shared" si="12"/>
        <v>44974</v>
      </c>
      <c r="AB30" s="50">
        <f t="shared" si="12"/>
        <v>44975</v>
      </c>
      <c r="AC30" s="48">
        <f t="shared" si="12"/>
        <v>44976</v>
      </c>
      <c r="AD30" s="49">
        <f t="shared" si="12"/>
        <v>44977</v>
      </c>
      <c r="AE30" s="49">
        <f t="shared" si="12"/>
        <v>44978</v>
      </c>
      <c r="AF30" s="49">
        <f t="shared" si="12"/>
        <v>44979</v>
      </c>
      <c r="AG30" s="49">
        <f t="shared" si="12"/>
        <v>44980</v>
      </c>
      <c r="AH30" s="49">
        <f t="shared" si="12"/>
        <v>44981</v>
      </c>
      <c r="AI30" s="50">
        <f t="shared" si="12"/>
        <v>44982</v>
      </c>
      <c r="AJ30" s="48">
        <f t="shared" si="12"/>
        <v>44983</v>
      </c>
      <c r="AK30" s="49">
        <f t="shared" si="12"/>
        <v>44984</v>
      </c>
      <c r="AL30" s="49">
        <f t="shared" si="12"/>
        <v>44985</v>
      </c>
      <c r="AM30" s="49" t="str">
        <f t="shared" si="12"/>
        <v/>
      </c>
      <c r="AN30" s="49" t="str">
        <f t="shared" si="12"/>
        <v/>
      </c>
      <c r="AO30" s="49" t="str">
        <f t="shared" si="12"/>
        <v/>
      </c>
      <c r="AP30" s="50" t="str">
        <f t="shared" si="12"/>
        <v/>
      </c>
      <c r="AQ30" s="48" t="str">
        <f t="shared" si="12"/>
        <v/>
      </c>
      <c r="AR30" s="49" t="str">
        <f t="shared" si="12"/>
        <v/>
      </c>
      <c r="AS30" s="49" t="str">
        <f t="shared" si="12"/>
        <v/>
      </c>
      <c r="AT30" s="49" t="str">
        <f t="shared" si="12"/>
        <v/>
      </c>
      <c r="AU30" s="49" t="str">
        <f t="shared" si="12"/>
        <v/>
      </c>
      <c r="AV30" s="49" t="str">
        <f t="shared" si="12"/>
        <v/>
      </c>
      <c r="AW30" s="49" t="str">
        <f t="shared" si="12"/>
        <v/>
      </c>
      <c r="AZ30" s="13"/>
      <c r="BA30" s="13"/>
      <c r="BB30" s="13"/>
      <c r="BC30" s="13"/>
    </row>
    <row r="31" spans="2:55" ht="18.75" hidden="1" customHeight="1" x14ac:dyDescent="0.3">
      <c r="B31" s="51"/>
      <c r="C31" s="21">
        <f>DATE($AN$5,15,1)</f>
        <v>44986</v>
      </c>
      <c r="D31" s="21"/>
      <c r="E31" s="21"/>
      <c r="F31" s="21"/>
      <c r="G31" s="21"/>
      <c r="H31" s="22" t="str">
        <f>IF(ISNUMBER(C31),IF(C31+1&lt;=$BC31,C31+1,""),IF(AND(COUNT($C31:C31)&lt;$BC31,H$7=$BA31),1,""))</f>
        <v/>
      </c>
      <c r="I31" s="23" t="str">
        <f>IF(ISNUMBER(H31),IF(H31+1&lt;=$BC31,H31+1,""),IF(AND(COUNT($C31:H31)&lt;$BC31,I$7=$BA31),1,""))</f>
        <v/>
      </c>
      <c r="J31" s="23" t="str">
        <f>IF(ISNUMBER(I31),IF(I31+1&lt;=$BC31,I31+1,""),IF(AND(COUNT($C31:I31)&lt;$BC31,J$7=$BA31),1,""))</f>
        <v/>
      </c>
      <c r="K31" s="23">
        <f>IF(ISNUMBER(J31),IF(J31+1&lt;=$BC31,J31+1,""),IF(AND(COUNT($C31:J31)&lt;$BC31,K$7=$BA31),1,""))</f>
        <v>1</v>
      </c>
      <c r="L31" s="23">
        <f>IF(ISNUMBER(K31),IF(K31+1&lt;=$BC31,K31+1,""),IF(AND(COUNT($C31:K31)&lt;$BC31,L$7=$BA31),1,""))</f>
        <v>2</v>
      </c>
      <c r="M31" s="23">
        <f>IF(ISNUMBER(L31),IF(L31+1&lt;=$BC31,L31+1,""),IF(AND(COUNT($C31:L31)&lt;$BC31,M$7=$BA31),1,""))</f>
        <v>3</v>
      </c>
      <c r="N31" s="24">
        <f>IF(ISNUMBER(M31),IF(M31+1&lt;=$BC31,M31+1,""),IF(AND(COUNT($C31:M31)&lt;$BC31,N$7=$BA31),1,""))</f>
        <v>4</v>
      </c>
      <c r="O31" s="25">
        <f>IF(ISNUMBER(N31),IF(N31+1&lt;=$BC31,N31+1,""),IF(AND(COUNT($C31:N31)&lt;$BC31,O$7=$BA31),1,""))</f>
        <v>5</v>
      </c>
      <c r="P31" s="23">
        <f>IF(ISNUMBER(O31),IF(O31+1&lt;=$BC31,O31+1,""),IF(AND(COUNT($C31:O31)&lt;$BC31,P$7=$BA31),1,""))</f>
        <v>6</v>
      </c>
      <c r="Q31" s="23">
        <f>IF(ISNUMBER(P31),IF(P31+1&lt;=$BC31,P31+1,""),IF(AND(COUNT($C31:P31)&lt;$BC31,Q$7=$BA31),1,""))</f>
        <v>7</v>
      </c>
      <c r="R31" s="23">
        <f>IF(ISNUMBER(Q31),IF(Q31+1&lt;=$BC31,Q31+1,""),IF(AND(COUNT($C31:Q31)&lt;$BC31,R$7=$BA31),1,""))</f>
        <v>8</v>
      </c>
      <c r="S31" s="23">
        <f>IF(ISNUMBER(R31),IF(R31+1&lt;=$BC31,R31+1,""),IF(AND(COUNT($C31:R31)&lt;$BC31,S$7=$BA31),1,""))</f>
        <v>9</v>
      </c>
      <c r="T31" s="23">
        <f>IF(ISNUMBER(S31),IF(S31+1&lt;=$BC31,S31+1,""),IF(AND(COUNT($C31:S31)&lt;$BC31,T$7=$BA31),1,""))</f>
        <v>10</v>
      </c>
      <c r="U31" s="24">
        <f>IF(ISNUMBER(T31),IF(T31+1&lt;=$BC31,T31+1,""),IF(AND(COUNT($C31:T31)&lt;$BC31,U$7=$BA31),1,""))</f>
        <v>11</v>
      </c>
      <c r="V31" s="25">
        <f>IF(ISNUMBER(U31),IF(U31+1&lt;=$BC31,U31+1,""),IF(AND(COUNT($C31:U31)&lt;$BC31,V$7=$BA31),1,""))</f>
        <v>12</v>
      </c>
      <c r="W31" s="23">
        <f>IF(ISNUMBER(V31),IF(V31+1&lt;=$BC31,V31+1,""),IF(AND(COUNT($C31:V31)&lt;$BC31,W$7=$BA31),1,""))</f>
        <v>13</v>
      </c>
      <c r="X31" s="23">
        <f>IF(ISNUMBER(W31),IF(W31+1&lt;=$BC31,W31+1,""),IF(AND(COUNT($C31:W31)&lt;$BC31,X$7=$BA31),1,""))</f>
        <v>14</v>
      </c>
      <c r="Y31" s="23">
        <f>IF(ISNUMBER(X31),IF(X31+1&lt;=$BC31,X31+1,""),IF(AND(COUNT($C31:X31)&lt;$BC31,Y$7=$BA31),1,""))</f>
        <v>15</v>
      </c>
      <c r="Z31" s="23">
        <f>IF(ISNUMBER(Y31),IF(Y31+1&lt;=$BC31,Y31+1,""),IF(AND(COUNT($C31:Y31)&lt;$BC31,Z$7=$BA31),1,""))</f>
        <v>16</v>
      </c>
      <c r="AA31" s="23">
        <f>IF(ISNUMBER(Z31),IF(Z31+1&lt;=$BC31,Z31+1,""),IF(AND(COUNT($C31:Z31)&lt;$BC31,AA$7=$BA31),1,""))</f>
        <v>17</v>
      </c>
      <c r="AB31" s="24">
        <f>IF(ISNUMBER(AA31),IF(AA31+1&lt;=$BC31,AA31+1,""),IF(AND(COUNT($C31:AA31)&lt;$BC31,AB$7=$BA31),1,""))</f>
        <v>18</v>
      </c>
      <c r="AC31" s="25">
        <f>IF(ISNUMBER(AB31),IF(AB31+1&lt;=$BC31,AB31+1,""),IF(AND(COUNT($C31:AB31)&lt;$BC31,AC$7=$BA31),1,""))</f>
        <v>19</v>
      </c>
      <c r="AD31" s="23">
        <f>IF(ISNUMBER(AC31),IF(AC31+1&lt;=$BC31,AC31+1,""),IF(AND(COUNT($C31:AC31)&lt;$BC31,AD$7=$BA31),1,""))</f>
        <v>20</v>
      </c>
      <c r="AE31" s="23">
        <f>IF(ISNUMBER(AD31),IF(AD31+1&lt;=$BC31,AD31+1,""),IF(AND(COUNT($C31:AD31)&lt;$BC31,AE$7=$BA31),1,""))</f>
        <v>21</v>
      </c>
      <c r="AF31" s="23">
        <f>IF(ISNUMBER(AE31),IF(AE31+1&lt;=$BC31,AE31+1,""),IF(AND(COUNT($C31:AE31)&lt;$BC31,AF$7=$BA31),1,""))</f>
        <v>22</v>
      </c>
      <c r="AG31" s="23">
        <f>IF(ISNUMBER(AF31),IF(AF31+1&lt;=$BC31,AF31+1,""),IF(AND(COUNT($C31:AF31)&lt;$BC31,AG$7=$BA31),1,""))</f>
        <v>23</v>
      </c>
      <c r="AH31" s="23">
        <f>IF(ISNUMBER(AG31),IF(AG31+1&lt;=$BC31,AG31+1,""),IF(AND(COUNT($C31:AG31)&lt;$BC31,AH$7=$BA31),1,""))</f>
        <v>24</v>
      </c>
      <c r="AI31" s="24">
        <f>IF(ISNUMBER(AH31),IF(AH31+1&lt;=$BC31,AH31+1,""),IF(AND(COUNT($C31:AH31)&lt;$BC31,AI$7=$BA31),1,""))</f>
        <v>25</v>
      </c>
      <c r="AJ31" s="25">
        <f>IF(ISNUMBER(AI31),IF(AI31+1&lt;=$BC31,AI31+1,""),IF(AND(COUNT($C31:AI31)&lt;$BC31,AJ$7=$BA31),1,""))</f>
        <v>26</v>
      </c>
      <c r="AK31" s="23">
        <f>IF(ISNUMBER(AJ31),IF(AJ31+1&lt;=$BC31,AJ31+1,""),IF(AND(COUNT($C31:AJ31)&lt;$BC31,AK$7=$BA31),1,""))</f>
        <v>27</v>
      </c>
      <c r="AL31" s="23">
        <f>IF(ISNUMBER(AK31),IF(AK31+1&lt;=$BC31,AK31+1,""),IF(AND(COUNT($C31:AK31)&lt;$BC31,AL$7=$BA31),1,""))</f>
        <v>28</v>
      </c>
      <c r="AM31" s="23">
        <f>IF(ISNUMBER(AL31),IF(AL31+1&lt;=$BC31,AL31+1,""),IF(AND(COUNT($C31:AL31)&lt;$BC31,AM$7=$BA31),1,""))</f>
        <v>29</v>
      </c>
      <c r="AN31" s="23">
        <f>IF(ISNUMBER(AM31),IF(AM31+1&lt;=$BC31,AM31+1,""),IF(AND(COUNT($C31:AM31)&lt;$BC31,AN$7=$BA31),1,""))</f>
        <v>30</v>
      </c>
      <c r="AO31" s="23">
        <f>IF(ISNUMBER(AN31),IF(AN31+1&lt;=$BC31,AN31+1,""),IF(AND(COUNT($C31:AN31)&lt;$BC31,AO$7=$BA31),1,""))</f>
        <v>31</v>
      </c>
      <c r="AP31" s="24" t="str">
        <f>IF(ISNUMBER(AO31),IF(AO31+1&lt;=$BC31,AO31+1,""),IF(AND(COUNT($C31:AO31)&lt;$BC31,AP$7=$BA31),1,""))</f>
        <v/>
      </c>
      <c r="AQ31" s="25" t="str">
        <f>IF(ISNUMBER(AP31),IF(AP31+1&lt;=$BC31,AP31+1,""),IF(AND(COUNT($C31:AP31)&lt;$BC31,AQ$7=$BA31),1,""))</f>
        <v/>
      </c>
      <c r="AR31" s="23" t="str">
        <f>IF(ISNUMBER(AQ31),IF(AQ31+1&lt;=$BC31,AQ31+1,""),IF(AND(COUNT($C31:AQ31)&lt;$BC31,AR$7=$BA31),1,""))</f>
        <v/>
      </c>
      <c r="AS31" s="23" t="str">
        <f>IF(ISNUMBER(AR31),IF(AR31+1&lt;=$BC31,AR31+1,""),IF(AND(COUNT($C31:AR31)&lt;$BC31,AS$7=$BA31),1,""))</f>
        <v/>
      </c>
      <c r="AT31" s="23" t="str">
        <f>IF(ISNUMBER(AS31),IF(AS31+1&lt;=$BC31,AS31+1,""),IF(AND(COUNT($C31:AS31)&lt;$BC31,AT$7=$BA31),1,""))</f>
        <v/>
      </c>
      <c r="AU31" s="23" t="str">
        <f>IF(ISNUMBER(AT31),IF(AT31+1&lt;=$BC31,AT31+1,""),IF(AND(COUNT($C31:AT31)&lt;$BC31,AU$7=$BA31),1,""))</f>
        <v/>
      </c>
      <c r="AV31" s="23" t="str">
        <f>IF(ISNUMBER(AU31),IF(AU31+1&lt;=$BC31,AU31+1,""),IF(AND(COUNT($C31:AU31)&lt;$BC31,AV$7=$BA31),1,""))</f>
        <v/>
      </c>
      <c r="AW31" s="23" t="str">
        <f>IF(ISNUMBER(AV31),IF(AV31+1&lt;=$BC31,AV31+1,""),IF(AND(COUNT($C31:AV31)&lt;$BC31,AW$7=$BA31),1,""))</f>
        <v/>
      </c>
      <c r="AZ31" s="13">
        <v>3</v>
      </c>
      <c r="BA31" s="13">
        <f t="shared" si="11"/>
        <v>4</v>
      </c>
      <c r="BB31" s="13">
        <f>WEEKDAY(DATE(IF(AZ31&lt;=3,AN7+1,$AN$5),AZ31+1,1)-1)</f>
        <v>7</v>
      </c>
      <c r="BC31" s="13">
        <f>DATE(IF(AZ31&lt;=3,AN7+1,$AN$5),AZ31+1,1)-DATE(IF(AZ31&lt;=3,AN7+1,$AN$5),AZ31,1)</f>
        <v>31</v>
      </c>
    </row>
    <row r="32" spans="2:55" ht="18.75" customHeight="1" x14ac:dyDescent="0.3">
      <c r="B32" s="51"/>
      <c r="C32" s="33">
        <f>DATE($AN$5,15,1)</f>
        <v>44986</v>
      </c>
      <c r="D32" s="33"/>
      <c r="E32" s="33"/>
      <c r="F32" s="33"/>
      <c r="G32" s="33"/>
      <c r="H32" s="36" t="str">
        <f>IFERROR(DATE(YEAR($C31),MONTH($C31),DAY(H31)),"")</f>
        <v/>
      </c>
      <c r="I32" s="37" t="str">
        <f t="shared" ref="I32:AW32" si="13">IFERROR(DATE(YEAR($C31),MONTH($C31),DAY(I31)),"")</f>
        <v/>
      </c>
      <c r="J32" s="37" t="str">
        <f t="shared" si="13"/>
        <v/>
      </c>
      <c r="K32" s="37">
        <f t="shared" si="13"/>
        <v>44986</v>
      </c>
      <c r="L32" s="37">
        <f t="shared" si="13"/>
        <v>44987</v>
      </c>
      <c r="M32" s="37">
        <f t="shared" si="13"/>
        <v>44988</v>
      </c>
      <c r="N32" s="38">
        <f t="shared" si="13"/>
        <v>44989</v>
      </c>
      <c r="O32" s="36">
        <f t="shared" si="13"/>
        <v>44990</v>
      </c>
      <c r="P32" s="37">
        <f t="shared" si="13"/>
        <v>44991</v>
      </c>
      <c r="Q32" s="37">
        <f t="shared" si="13"/>
        <v>44992</v>
      </c>
      <c r="R32" s="37">
        <f t="shared" si="13"/>
        <v>44993</v>
      </c>
      <c r="S32" s="37">
        <f t="shared" si="13"/>
        <v>44994</v>
      </c>
      <c r="T32" s="37">
        <f t="shared" si="13"/>
        <v>44995</v>
      </c>
      <c r="U32" s="38">
        <f t="shared" si="13"/>
        <v>44996</v>
      </c>
      <c r="V32" s="36">
        <f t="shared" si="13"/>
        <v>44997</v>
      </c>
      <c r="W32" s="37">
        <f t="shared" si="13"/>
        <v>44998</v>
      </c>
      <c r="X32" s="37">
        <f t="shared" si="13"/>
        <v>44999</v>
      </c>
      <c r="Y32" s="37">
        <f t="shared" si="13"/>
        <v>45000</v>
      </c>
      <c r="Z32" s="37">
        <f t="shared" si="13"/>
        <v>45001</v>
      </c>
      <c r="AA32" s="37">
        <f t="shared" si="13"/>
        <v>45002</v>
      </c>
      <c r="AB32" s="38">
        <f t="shared" si="13"/>
        <v>45003</v>
      </c>
      <c r="AC32" s="36">
        <f t="shared" si="13"/>
        <v>45004</v>
      </c>
      <c r="AD32" s="37">
        <f t="shared" si="13"/>
        <v>45005</v>
      </c>
      <c r="AE32" s="37">
        <f t="shared" si="13"/>
        <v>45006</v>
      </c>
      <c r="AF32" s="37">
        <f t="shared" si="13"/>
        <v>45007</v>
      </c>
      <c r="AG32" s="37">
        <f t="shared" si="13"/>
        <v>45008</v>
      </c>
      <c r="AH32" s="37">
        <f t="shared" si="13"/>
        <v>45009</v>
      </c>
      <c r="AI32" s="38">
        <f t="shared" si="13"/>
        <v>45010</v>
      </c>
      <c r="AJ32" s="36">
        <f t="shared" si="13"/>
        <v>45011</v>
      </c>
      <c r="AK32" s="37">
        <f t="shared" si="13"/>
        <v>45012</v>
      </c>
      <c r="AL32" s="37">
        <f t="shared" si="13"/>
        <v>45013</v>
      </c>
      <c r="AM32" s="37">
        <f t="shared" si="13"/>
        <v>45014</v>
      </c>
      <c r="AN32" s="37">
        <f t="shared" si="13"/>
        <v>45015</v>
      </c>
      <c r="AO32" s="37">
        <f t="shared" si="13"/>
        <v>45016</v>
      </c>
      <c r="AP32" s="38" t="str">
        <f t="shared" si="13"/>
        <v/>
      </c>
      <c r="AQ32" s="36" t="str">
        <f t="shared" si="13"/>
        <v/>
      </c>
      <c r="AR32" s="37" t="str">
        <f t="shared" si="13"/>
        <v/>
      </c>
      <c r="AS32" s="37" t="str">
        <f t="shared" si="13"/>
        <v/>
      </c>
      <c r="AT32" s="37" t="str">
        <f t="shared" si="13"/>
        <v/>
      </c>
      <c r="AU32" s="37" t="str">
        <f t="shared" si="13"/>
        <v/>
      </c>
      <c r="AV32" s="37" t="str">
        <f t="shared" si="13"/>
        <v/>
      </c>
      <c r="AW32" s="37" t="str">
        <f t="shared" si="13"/>
        <v/>
      </c>
      <c r="AZ32" s="13"/>
      <c r="BA32" s="13"/>
      <c r="BB32" s="13"/>
      <c r="BC32" s="13"/>
    </row>
    <row r="33" spans="2:53" ht="5.25" customHeight="1" x14ac:dyDescent="0.3">
      <c r="B33" s="114"/>
      <c r="C33" s="115"/>
      <c r="D33" s="115"/>
      <c r="E33" s="115"/>
      <c r="F33" s="115"/>
      <c r="G33" s="115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7"/>
      <c r="BA33" s="5"/>
    </row>
    <row r="34" spans="2:53" ht="31.5" customHeight="1" x14ac:dyDescent="0.3">
      <c r="C34" s="62" t="s">
        <v>25</v>
      </c>
      <c r="D34" s="63"/>
      <c r="E34" s="63"/>
      <c r="F34" s="63"/>
      <c r="G34" s="63"/>
      <c r="H34" s="64"/>
      <c r="I34" s="64"/>
      <c r="J34" s="64"/>
      <c r="K34" s="64"/>
      <c r="L34" s="64"/>
      <c r="M34" s="64"/>
      <c r="N34" s="64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</row>
    <row r="35" spans="2:53" ht="4.5" customHeight="1" x14ac:dyDescent="0.3"/>
    <row r="36" spans="2:53" x14ac:dyDescent="0.2">
      <c r="D36" s="66" t="s">
        <v>15</v>
      </c>
      <c r="E36" s="66"/>
      <c r="F36" s="66"/>
      <c r="G36" s="66"/>
      <c r="H36" s="67"/>
      <c r="I36" s="68"/>
      <c r="J36" s="67"/>
      <c r="L36" s="66" t="s">
        <v>16</v>
      </c>
      <c r="M36" s="66"/>
      <c r="N36" s="66"/>
      <c r="O36" s="66"/>
      <c r="P36" s="69"/>
      <c r="Q36" s="68"/>
      <c r="R36" s="67"/>
      <c r="S36" s="67"/>
      <c r="T36" s="66" t="s">
        <v>12</v>
      </c>
      <c r="U36" s="66"/>
      <c r="V36" s="66"/>
      <c r="W36" s="66"/>
      <c r="X36" s="69"/>
      <c r="Y36" s="68"/>
      <c r="Z36" s="67"/>
      <c r="AA36" s="66" t="s">
        <v>22</v>
      </c>
      <c r="AB36" s="66"/>
      <c r="AC36" s="66"/>
      <c r="AD36" s="66"/>
      <c r="AE36" s="66"/>
      <c r="AF36" s="66"/>
      <c r="AG36" s="68"/>
      <c r="AI36" s="66" t="s">
        <v>13</v>
      </c>
      <c r="AJ36" s="66"/>
      <c r="AK36" s="66"/>
      <c r="AL36" s="66"/>
      <c r="AM36" s="66"/>
      <c r="AN36" s="66"/>
      <c r="AO36" s="68"/>
      <c r="AR36" s="66" t="s">
        <v>14</v>
      </c>
      <c r="AS36" s="66"/>
      <c r="AT36" s="66"/>
      <c r="AU36" s="66"/>
      <c r="AW36" s="70"/>
    </row>
    <row r="37" spans="2:53" ht="7.5" customHeight="1" x14ac:dyDescent="0.3">
      <c r="I37" s="71"/>
      <c r="Q37" s="71"/>
      <c r="Y37" s="71"/>
      <c r="AG37" s="71"/>
      <c r="AO37" s="71"/>
    </row>
    <row r="38" spans="2:53" x14ac:dyDescent="0.3">
      <c r="D38" s="118">
        <f>SUMIFS(tblLeave[Days],tblLeave[Employee Name],valSelEmployee,tblLeave[Start Date],"&gt;="&amp;DATE($AN$5,1,1),tblLeave[End Date],"&lt;"&amp;DATE($AN$5+1,1,1))</f>
        <v>0</v>
      </c>
      <c r="E38" s="118"/>
      <c r="F38" s="118"/>
      <c r="G38" s="118"/>
      <c r="I38" s="71"/>
      <c r="L38" s="118">
        <f>NETWORKDAYS(DATE($AN$5,1,1),EDATE(DATE($AN$5,1,1),12)-1)</f>
        <v>260</v>
      </c>
      <c r="M38" s="118"/>
      <c r="N38" s="118"/>
      <c r="O38" s="118"/>
      <c r="Q38" s="71"/>
      <c r="T38" s="72">
        <f>SUMIFS(tblLeave[Days],tblLeave[Employee Name],valSelEmployee,tblLeave[Start Date],"&gt;="&amp;DATE($AN$5,1,1),tblLeave[End Date],"&lt;"&amp;DATE($AN$5+1,1,1),tblLeave[Type of Leave],Settings!$D$4)</f>
        <v>0</v>
      </c>
      <c r="U38" s="72"/>
      <c r="V38" s="72"/>
      <c r="W38" s="72"/>
      <c r="Y38" s="71"/>
      <c r="AB38" s="73">
        <f>SUMIFS(tblLeave[Days],tblLeave[Employee Name],valSelEmployee,tblLeave[Start Date],"&gt;="&amp;DATE($AN$5,1,1),tblLeave[End Date],"&lt;"&amp;DATE($AN$5+1,1,1),tblLeave[Type of Leave],Settings!$D$5)</f>
        <v>0</v>
      </c>
      <c r="AC38" s="73"/>
      <c r="AD38" s="73"/>
      <c r="AE38" s="73"/>
      <c r="AG38" s="71"/>
      <c r="AJ38" s="74">
        <f>SUMIFS(tblLeave[Days],tblLeave[Employee Name],valSelEmployee,tblLeave[Start Date],"&gt;="&amp;DATE($AN$5,1,1),tblLeave[End Date],"&lt;"&amp;DATE($AN$5+1,1,1),tblLeave[Type of Leave],Settings!$D$6)</f>
        <v>0</v>
      </c>
      <c r="AK38" s="74"/>
      <c r="AL38" s="74"/>
      <c r="AM38" s="74"/>
      <c r="AO38" s="71"/>
      <c r="AR38" s="75">
        <f>SUMIFS(tblLeave[Days],tblLeave[Employee Name],valSelEmployee,tblLeave[Start Date],"&gt;="&amp;DATE($AN$5,1,1),tblLeave[End Date],"&lt;"&amp;DATE($AN$5+1,1,1),tblLeave[Type of Leave],Settings!$D$7)</f>
        <v>0</v>
      </c>
      <c r="AS38" s="75"/>
      <c r="AT38" s="75"/>
      <c r="AU38" s="75"/>
    </row>
    <row r="39" spans="2:53" x14ac:dyDescent="0.3">
      <c r="D39" s="118"/>
      <c r="E39" s="118"/>
      <c r="F39" s="118"/>
      <c r="G39" s="118"/>
      <c r="I39" s="71"/>
      <c r="L39" s="118"/>
      <c r="M39" s="118"/>
      <c r="N39" s="118"/>
      <c r="O39" s="118"/>
      <c r="Q39" s="71"/>
      <c r="T39" s="72"/>
      <c r="U39" s="72"/>
      <c r="V39" s="72"/>
      <c r="W39" s="72"/>
      <c r="Y39" s="71"/>
      <c r="AB39" s="73"/>
      <c r="AC39" s="73"/>
      <c r="AD39" s="73"/>
      <c r="AE39" s="73"/>
      <c r="AG39" s="71"/>
      <c r="AJ39" s="74"/>
      <c r="AK39" s="74"/>
      <c r="AL39" s="74"/>
      <c r="AM39" s="74"/>
      <c r="AO39" s="71"/>
      <c r="AR39" s="75"/>
      <c r="AS39" s="75"/>
      <c r="AT39" s="75"/>
      <c r="AU39" s="75"/>
    </row>
    <row r="40" spans="2:53" x14ac:dyDescent="0.2">
      <c r="D40" s="118"/>
      <c r="E40" s="118"/>
      <c r="F40" s="118"/>
      <c r="G40" s="118"/>
      <c r="I40" s="71"/>
      <c r="L40" s="118"/>
      <c r="M40" s="118"/>
      <c r="N40" s="118"/>
      <c r="O40" s="118"/>
      <c r="Q40" s="71"/>
      <c r="T40" s="72"/>
      <c r="U40" s="72"/>
      <c r="V40" s="72"/>
      <c r="W40" s="72"/>
      <c r="Y40" s="71"/>
      <c r="AB40" s="73"/>
      <c r="AC40" s="73"/>
      <c r="AD40" s="73"/>
      <c r="AE40" s="73"/>
      <c r="AG40" s="71"/>
      <c r="AJ40" s="74"/>
      <c r="AK40" s="74"/>
      <c r="AL40" s="74"/>
      <c r="AM40" s="74"/>
      <c r="AO40" s="71"/>
      <c r="AR40" s="75"/>
      <c r="AS40" s="75"/>
      <c r="AT40" s="75"/>
      <c r="AU40" s="75"/>
      <c r="AX40" s="76"/>
      <c r="AY40" s="77"/>
    </row>
    <row r="41" spans="2:53" ht="7.5" customHeight="1" x14ac:dyDescent="0.3">
      <c r="I41" s="71"/>
      <c r="Q41" s="71"/>
      <c r="Y41" s="71"/>
      <c r="AG41" s="71"/>
      <c r="AO41" s="71"/>
    </row>
    <row r="42" spans="2:53" ht="15" customHeight="1" x14ac:dyDescent="0.2">
      <c r="D42" s="78">
        <f>SUMIFS(tblLeave[Days],tblLeave[Employee Name],valSelEmployee,tblLeave[Start Date],"&gt;="&amp;DATE($AN$5-1,1,1),tblLeave[End Date],"&lt;"&amp;DATE($AN$5,1,1))</f>
        <v>0</v>
      </c>
      <c r="E42" s="78"/>
      <c r="F42" s="78"/>
      <c r="G42" s="78"/>
      <c r="H42" s="79"/>
      <c r="I42" s="80"/>
      <c r="J42" s="79"/>
      <c r="K42" s="79"/>
      <c r="L42" s="81">
        <f>NETWORKDAYS(DATE($AN$5-1,1,1),EDATE(DATE($AN$5-1,1,1),12)-1)</f>
        <v>261</v>
      </c>
      <c r="M42" s="81"/>
      <c r="N42" s="81"/>
      <c r="O42" s="81"/>
      <c r="P42" s="82"/>
      <c r="Q42" s="80"/>
      <c r="R42" s="79"/>
      <c r="S42" s="79"/>
      <c r="T42" s="81">
        <f>SUMIFS(tblLeave[Days],tblLeave[Employee Name],valSelEmployee,tblLeave[Start Date],"&gt;="&amp;DATE($AN$5-1,1,1),tblLeave[End Date],"&lt;"&amp;DATE($AN$5,1,1),tblLeave[Type of Leave],Settings!$D$4)</f>
        <v>0</v>
      </c>
      <c r="U42" s="81"/>
      <c r="V42" s="81"/>
      <c r="W42" s="81"/>
      <c r="X42" s="82"/>
      <c r="Y42" s="80"/>
      <c r="Z42" s="79"/>
      <c r="AA42" s="79"/>
      <c r="AB42" s="81">
        <f>SUMIFS(tblLeave[Days],tblLeave[Employee Name],valSelEmployee,tblLeave[Start Date],"&gt;="&amp;DATE($AN$5-1,1,1),tblLeave[End Date],"&lt;"&amp;DATE($AN$5,1,1),tblLeave[Type of Leave],Settings!$D$5)</f>
        <v>0</v>
      </c>
      <c r="AC42" s="81"/>
      <c r="AD42" s="81"/>
      <c r="AE42" s="81"/>
      <c r="AF42" s="82"/>
      <c r="AG42" s="80"/>
      <c r="AH42" s="79"/>
      <c r="AI42" s="79"/>
      <c r="AJ42" s="81">
        <f>SUMIFS(tblLeave[Days],tblLeave[Employee Name],valSelEmployee,tblLeave[Start Date],"&gt;="&amp;DATE($AN$5-1,1,1),tblLeave[End Date],"&lt;"&amp;DATE($AN$5,1,1),tblLeave[Type of Leave],Settings!$D$6)</f>
        <v>0</v>
      </c>
      <c r="AK42" s="81"/>
      <c r="AL42" s="81"/>
      <c r="AM42" s="81"/>
      <c r="AN42" s="82"/>
      <c r="AO42" s="80"/>
      <c r="AP42" s="79"/>
      <c r="AQ42" s="79"/>
      <c r="AR42" s="81">
        <f>SUMIFS(tblLeave[Days],tblLeave[Employee Name],valSelEmployee,tblLeave[Start Date],"&gt;="&amp;DATE($AN$5-1,1,1),tblLeave[End Date],"&lt;"&amp;DATE($AN$5,1,1),tblLeave[Type of Leave],Settings!$D$7)</f>
        <v>0</v>
      </c>
      <c r="AS42" s="81"/>
      <c r="AT42" s="81"/>
      <c r="AU42" s="81"/>
      <c r="AW42" s="83"/>
      <c r="AX42" s="76"/>
      <c r="AY42" s="77"/>
    </row>
    <row r="43" spans="2:53" x14ac:dyDescent="0.2">
      <c r="D43" s="84" t="str">
        <f>IFERROR(IF(D38&gt;D42,"UP ", "DOWN ")&amp;TEXT(D38/D42-1,"0%;0%"),"")</f>
        <v/>
      </c>
      <c r="E43" s="84"/>
      <c r="F43" s="84"/>
      <c r="G43" s="84"/>
      <c r="H43" s="79"/>
      <c r="I43" s="68"/>
      <c r="J43" s="79"/>
      <c r="K43" s="79"/>
      <c r="L43" s="84" t="str">
        <f>IFERROR(IF(L38&gt;L42,"UP ", "DOWN ")&amp;TEXT(L38/L42-1,"0%;0%"),"")</f>
        <v>DOWN 0%</v>
      </c>
      <c r="M43" s="84"/>
      <c r="N43" s="84"/>
      <c r="O43" s="84"/>
      <c r="P43" s="85"/>
      <c r="Q43" s="68"/>
      <c r="R43" s="86"/>
      <c r="S43" s="79"/>
      <c r="T43" s="84" t="str">
        <f>IFERROR(IF(T38&gt;T42,"UP ", "DOWN ")&amp;TEXT(T38/T42-1,"0%;0%"),"")</f>
        <v/>
      </c>
      <c r="U43" s="84"/>
      <c r="V43" s="84"/>
      <c r="W43" s="84"/>
      <c r="X43" s="85"/>
      <c r="Y43" s="68"/>
      <c r="Z43" s="79"/>
      <c r="AA43" s="79"/>
      <c r="AB43" s="84" t="str">
        <f>IFERROR(IF(AB38&gt;AB42,"UP ", "DOWN ")&amp;TEXT(AB38/AB42-1,"0%;0%"),"")</f>
        <v/>
      </c>
      <c r="AC43" s="84"/>
      <c r="AD43" s="84"/>
      <c r="AE43" s="84"/>
      <c r="AF43" s="85"/>
      <c r="AG43" s="68"/>
      <c r="AH43" s="79"/>
      <c r="AI43" s="79"/>
      <c r="AJ43" s="84" t="str">
        <f>IFERROR(IF(AJ38&gt;AJ42,"UP ", "DOWN ")&amp;TEXT(AJ38/AJ42-1,"0%;0%"),"")</f>
        <v/>
      </c>
      <c r="AK43" s="84"/>
      <c r="AL43" s="84"/>
      <c r="AM43" s="84"/>
      <c r="AN43" s="85"/>
      <c r="AO43" s="68"/>
      <c r="AP43" s="79"/>
      <c r="AQ43" s="79"/>
      <c r="AR43" s="84" t="str">
        <f>IFERROR(IF(AR38&gt;AR42,"UP ", "DOWN ")&amp;TEXT(AR38/AR42-1,"0%;0%"),"")</f>
        <v/>
      </c>
      <c r="AS43" s="84"/>
      <c r="AT43" s="84"/>
      <c r="AU43" s="84"/>
      <c r="AV43" s="87"/>
      <c r="AW43" s="88"/>
    </row>
    <row r="44" spans="2:53" ht="7.5" customHeight="1" x14ac:dyDescent="0.3"/>
    <row r="45" spans="2:53" x14ac:dyDescent="0.3"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</row>
    <row r="46" spans="2:53" ht="13.5" customHeight="1" x14ac:dyDescent="0.3">
      <c r="C46" s="90"/>
      <c r="D46" s="90"/>
      <c r="E46" s="90"/>
      <c r="F46" s="90"/>
      <c r="G46" s="90"/>
      <c r="T46" s="91" t="s">
        <v>45</v>
      </c>
      <c r="U46" s="91"/>
      <c r="V46" s="91"/>
      <c r="W46" s="91"/>
      <c r="X46" s="91"/>
      <c r="Y46" s="92"/>
      <c r="Z46" s="93" t="s">
        <v>46</v>
      </c>
      <c r="AA46" s="91"/>
      <c r="AB46" s="91"/>
      <c r="AC46" s="91"/>
      <c r="AD46" s="91"/>
      <c r="AE46" s="91"/>
      <c r="AF46" s="91"/>
      <c r="AG46" s="94"/>
      <c r="AH46" s="95"/>
      <c r="AJ46" s="91" t="s">
        <v>47</v>
      </c>
      <c r="AK46" s="91"/>
      <c r="AL46" s="91"/>
      <c r="AM46" s="91"/>
      <c r="AN46" s="91"/>
      <c r="AO46" s="92"/>
      <c r="AR46" s="91" t="s">
        <v>48</v>
      </c>
      <c r="AS46" s="91"/>
      <c r="AT46" s="91"/>
      <c r="AU46" s="91"/>
      <c r="AV46" s="96"/>
      <c r="AW46" s="96"/>
    </row>
    <row r="47" spans="2:53" x14ac:dyDescent="0.3">
      <c r="Y47" s="92"/>
      <c r="Z47" s="97"/>
      <c r="AG47" s="92"/>
      <c r="AO47" s="92"/>
    </row>
    <row r="48" spans="2:53" ht="13.5" customHeight="1" x14ac:dyDescent="0.3">
      <c r="T48" s="98">
        <f>SUMIFS(tblLeave[Days],tblLeave[Employee Name],valSelEmployee,tblLeave[Start Date],"&gt;="&amp;DATE($AN$5,1,1),tblLeave[End Date],"&lt;"&amp;DATE($AN$5+1,1,1),tblLeave[Type of Leave],Settings!$D$8)</f>
        <v>0</v>
      </c>
      <c r="U48" s="98"/>
      <c r="V48" s="98"/>
      <c r="W48" s="98"/>
      <c r="Y48" s="92"/>
      <c r="Z48" s="97"/>
      <c r="AB48" s="99">
        <f>SUMIFS(tblLeave[Days],tblLeave[Employee Name],valSelEmployee,tblLeave[Start Date],"&gt;="&amp;DATE($AN$5,1,1),tblLeave[End Date],"&lt;"&amp;DATE($AN$5+1,1,1),tblLeave[Type of Leave],Settings!$D$9)</f>
        <v>0</v>
      </c>
      <c r="AC48" s="99"/>
      <c r="AD48" s="99"/>
      <c r="AE48" s="99"/>
      <c r="AG48" s="92"/>
      <c r="AJ48" s="100">
        <f>SUMIFS(tblLeave[Days],tblLeave[Employee Name],valSelEmployee,tblLeave[Start Date],"&gt;="&amp;DATE($AN$5,1,1),tblLeave[End Date],"&lt;"&amp;DATE($AN$5+1,1,1),tblLeave[Type of Leave],Settings!$D$10)</f>
        <v>0</v>
      </c>
      <c r="AK48" s="100"/>
      <c r="AL48" s="100"/>
      <c r="AM48" s="100"/>
      <c r="AO48" s="92"/>
      <c r="AR48" s="101">
        <f>SUMIFS(tblLeave[Days],tblLeave[Employee Name],valSelEmployee,tblLeave[Start Date],"&gt;="&amp;DATE($AN$5,1,1),tblLeave[End Date],"&lt;"&amp;DATE($AN$5+1,1,1),tblLeave[Type of Leave],Settings!$D$11)</f>
        <v>0</v>
      </c>
      <c r="AS48" s="101"/>
      <c r="AT48" s="101"/>
      <c r="AU48" s="101"/>
    </row>
    <row r="49" spans="3:47" ht="13.5" customHeight="1" x14ac:dyDescent="0.3">
      <c r="T49" s="98"/>
      <c r="U49" s="98"/>
      <c r="V49" s="98"/>
      <c r="W49" s="98"/>
      <c r="Y49" s="92"/>
      <c r="Z49" s="97"/>
      <c r="AB49" s="99"/>
      <c r="AC49" s="99"/>
      <c r="AD49" s="99"/>
      <c r="AE49" s="99"/>
      <c r="AG49" s="92"/>
      <c r="AJ49" s="100"/>
      <c r="AK49" s="100"/>
      <c r="AL49" s="100"/>
      <c r="AM49" s="100"/>
      <c r="AO49" s="92"/>
      <c r="AR49" s="101"/>
      <c r="AS49" s="101"/>
      <c r="AT49" s="101"/>
      <c r="AU49" s="101"/>
    </row>
    <row r="50" spans="3:47" ht="13.5" customHeight="1" x14ac:dyDescent="0.3">
      <c r="T50" s="98"/>
      <c r="U50" s="98"/>
      <c r="V50" s="98"/>
      <c r="W50" s="98"/>
      <c r="Y50" s="92"/>
      <c r="Z50" s="97"/>
      <c r="AB50" s="99"/>
      <c r="AC50" s="99"/>
      <c r="AD50" s="99"/>
      <c r="AE50" s="99"/>
      <c r="AG50" s="92"/>
      <c r="AJ50" s="100"/>
      <c r="AK50" s="100"/>
      <c r="AL50" s="100"/>
      <c r="AM50" s="100"/>
      <c r="AO50" s="102"/>
      <c r="AR50" s="101"/>
      <c r="AS50" s="101"/>
      <c r="AT50" s="101"/>
      <c r="AU50" s="101"/>
    </row>
    <row r="51" spans="3:47" x14ac:dyDescent="0.3">
      <c r="Y51" s="92"/>
      <c r="Z51" s="97"/>
      <c r="AG51" s="92"/>
      <c r="AO51" s="92"/>
    </row>
    <row r="52" spans="3:47" x14ac:dyDescent="0.3">
      <c r="T52" s="81">
        <f>SUMIFS(tblLeave[Days],tblLeave[Employee Name],valSelEmployee,tblLeave[Start Date],"&gt;="&amp;DATE($AN$5-1,1,1),tblLeave[End Date],"&lt;"&amp;DATE($AN$5,1,1),tblLeave[Type of Leave],Settings!$D$4)</f>
        <v>0</v>
      </c>
      <c r="U52" s="81"/>
      <c r="V52" s="81"/>
      <c r="W52" s="81"/>
      <c r="X52" s="103"/>
      <c r="Y52" s="92"/>
      <c r="Z52" s="97"/>
      <c r="AB52" s="81">
        <f>SUMIFS(tblLeave[Days],tblLeave[Employee Name],valSelEmployee,tblLeave[Start Date],"&gt;="&amp;DATE($AN$5-1,1,1),tblLeave[End Date],"&lt;"&amp;DATE($AN$5,1,1),tblLeave[Type of Leave],Settings!$D$5)</f>
        <v>0</v>
      </c>
      <c r="AC52" s="81"/>
      <c r="AD52" s="81"/>
      <c r="AE52" s="81"/>
      <c r="AF52" s="103"/>
      <c r="AG52" s="92"/>
      <c r="AJ52" s="81">
        <f>SUMIFS(tblLeave[Days],tblLeave[Employee Name],valSelEmployee,tblLeave[Start Date],"&gt;="&amp;DATE($AN$5-1,1,1),tblLeave[End Date],"&lt;"&amp;DATE($AN$5,1,1),tblLeave[Type of Leave],Settings!$D$6)</f>
        <v>0</v>
      </c>
      <c r="AK52" s="81"/>
      <c r="AL52" s="81"/>
      <c r="AM52" s="81"/>
      <c r="AN52" s="103"/>
      <c r="AO52" s="92"/>
      <c r="AR52" s="81">
        <f>SUMIFS(tblLeave[Days],tblLeave[Employee Name],valSelEmployee,tblLeave[Start Date],"&gt;="&amp;DATE($AN$5-1,1,1),tblLeave[End Date],"&lt;"&amp;DATE($AN$5,1,1),tblLeave[Type of Leave],Settings!$D$7)</f>
        <v>0</v>
      </c>
      <c r="AS52" s="81"/>
      <c r="AT52" s="81"/>
      <c r="AU52" s="81"/>
    </row>
    <row r="53" spans="3:47" x14ac:dyDescent="0.3">
      <c r="T53" s="84" t="str">
        <f>IFERROR(IF(T48&gt;T52,"UP ", "DOWN ")&amp;TEXT(T48/T52-1,"0%;0%"),"")</f>
        <v/>
      </c>
      <c r="U53" s="84"/>
      <c r="V53" s="84"/>
      <c r="W53" s="84"/>
      <c r="X53" s="104"/>
      <c r="AB53" s="84" t="str">
        <f>IFERROR(IF(AB48&gt;AB52,"UP ", "DOWN ")&amp;TEXT(AB48/AB52-1,"0%;0%"),"")</f>
        <v/>
      </c>
      <c r="AC53" s="84"/>
      <c r="AD53" s="84"/>
      <c r="AE53" s="84"/>
      <c r="AF53" s="104"/>
      <c r="AJ53" s="84" t="str">
        <f>IFERROR(IF(AJ48&gt;AJ52,"UP ", "DOWN ")&amp;TEXT(AJ48/AJ52-1,"0%;0%"),"")</f>
        <v/>
      </c>
      <c r="AK53" s="84"/>
      <c r="AL53" s="84"/>
      <c r="AM53" s="84"/>
      <c r="AN53" s="104"/>
      <c r="AR53" s="84" t="str">
        <f>IFERROR(IF(AR48&gt;AR52,"UP ", "DOWN ")&amp;TEXT(AR48/AR52-1,"0%;0%"),"")</f>
        <v/>
      </c>
      <c r="AS53" s="84"/>
      <c r="AT53" s="84"/>
      <c r="AU53" s="84"/>
    </row>
    <row r="57" spans="3:47" x14ac:dyDescent="0.3">
      <c r="C57" s="5"/>
      <c r="D57" s="5"/>
      <c r="E57" s="5"/>
    </row>
  </sheetData>
  <mergeCells count="69">
    <mergeCell ref="B2:AC6"/>
    <mergeCell ref="AN3:AW4"/>
    <mergeCell ref="AN5:AW6"/>
    <mergeCell ref="AR42:AU42"/>
    <mergeCell ref="AR43:AU43"/>
    <mergeCell ref="AJ42:AM42"/>
    <mergeCell ref="AJ43:AM43"/>
    <mergeCell ref="AR38:AU40"/>
    <mergeCell ref="AJ38:AM40"/>
    <mergeCell ref="AE3:AM4"/>
    <mergeCell ref="AE5:AM6"/>
    <mergeCell ref="AR36:AU36"/>
    <mergeCell ref="AI36:AN36"/>
    <mergeCell ref="D42:G42"/>
    <mergeCell ref="D43:G43"/>
    <mergeCell ref="AB42:AE42"/>
    <mergeCell ref="T46:X46"/>
    <mergeCell ref="T48:W50"/>
    <mergeCell ref="D36:G36"/>
    <mergeCell ref="L36:O36"/>
    <mergeCell ref="Z46:AG46"/>
    <mergeCell ref="L38:O40"/>
    <mergeCell ref="D38:G40"/>
    <mergeCell ref="AB38:AE40"/>
    <mergeCell ref="T38:W40"/>
    <mergeCell ref="AA36:AF36"/>
    <mergeCell ref="T36:W36"/>
    <mergeCell ref="AB43:AE43"/>
    <mergeCell ref="T42:W42"/>
    <mergeCell ref="T43:W43"/>
    <mergeCell ref="L42:O42"/>
    <mergeCell ref="L43:O43"/>
    <mergeCell ref="AJ46:AN46"/>
    <mergeCell ref="AR46:AU46"/>
    <mergeCell ref="AB48:AE50"/>
    <mergeCell ref="AJ48:AM50"/>
    <mergeCell ref="AR48:AU50"/>
    <mergeCell ref="C9:G9"/>
    <mergeCell ref="C11:G11"/>
    <mergeCell ref="C13:G13"/>
    <mergeCell ref="C15:G15"/>
    <mergeCell ref="C17:G17"/>
    <mergeCell ref="C10:G10"/>
    <mergeCell ref="C12:G12"/>
    <mergeCell ref="C14:G14"/>
    <mergeCell ref="C16:G16"/>
    <mergeCell ref="C32:G32"/>
    <mergeCell ref="C18:G18"/>
    <mergeCell ref="C20:G20"/>
    <mergeCell ref="C22:G22"/>
    <mergeCell ref="C24:G24"/>
    <mergeCell ref="C26:G26"/>
    <mergeCell ref="C29:G29"/>
    <mergeCell ref="C31:G31"/>
    <mergeCell ref="C19:G19"/>
    <mergeCell ref="C21:G21"/>
    <mergeCell ref="C23:G23"/>
    <mergeCell ref="C25:G25"/>
    <mergeCell ref="C27:G27"/>
    <mergeCell ref="C28:G28"/>
    <mergeCell ref="C30:G30"/>
    <mergeCell ref="AR52:AU52"/>
    <mergeCell ref="AR53:AU53"/>
    <mergeCell ref="T52:W52"/>
    <mergeCell ref="T53:W53"/>
    <mergeCell ref="AB52:AE52"/>
    <mergeCell ref="AB53:AE53"/>
    <mergeCell ref="AJ52:AM52"/>
    <mergeCell ref="AJ53:AM53"/>
  </mergeCells>
  <conditionalFormatting sqref="H10:AW32">
    <cfRule type="expression" dxfId="27" priority="6">
      <formula>MONTH(H10)&lt;&gt;MONTH($C10)</formula>
    </cfRule>
    <cfRule type="expression" dxfId="24" priority="9">
      <formula>OR(H$8="S", COUNTIF(lstHolidays, H10)&gt;0)</formula>
    </cfRule>
  </conditionalFormatting>
  <conditionalFormatting sqref="AB43 AJ43 AR43">
    <cfRule type="beginsWith" dxfId="21" priority="25" operator="beginsWith" text="UP">
      <formula>LEFT(AB43,LEN("UP"))="UP"</formula>
    </cfRule>
  </conditionalFormatting>
  <conditionalFormatting sqref="AB53">
    <cfRule type="beginsWith" dxfId="20" priority="3" operator="beginsWith" text="UP">
      <formula>LEFT(AB53,LEN("UP"))="UP"</formula>
    </cfRule>
  </conditionalFormatting>
  <conditionalFormatting sqref="AJ53">
    <cfRule type="beginsWith" dxfId="19" priority="2" operator="beginsWith" text="UP">
      <formula>LEFT(AJ53,LEN("UP"))="UP"</formula>
    </cfRule>
  </conditionalFormatting>
  <conditionalFormatting sqref="AR53">
    <cfRule type="beginsWith" dxfId="18" priority="1" operator="beginsWith" text="UP">
      <formula>LEFT(AR53,LEN("UP"))="UP"</formula>
    </cfRule>
  </conditionalFormatting>
  <dataValidations count="2">
    <dataValidation type="list" allowBlank="1" showInputMessage="1" showErrorMessage="1" sqref="AN3" xr:uid="{00000000-0002-0000-0000-000000000000}">
      <formula1>lstEmployees</formula1>
    </dataValidation>
    <dataValidation type="list" errorStyle="information" allowBlank="1" showInputMessage="1" errorTitle="Unknown year" error="Please" sqref="AN5:AW6" xr:uid="{00000000-0002-0000-0000-000001000000}">
      <formula1>"2020,2021,2022,2023,2024,2025,2026,2027,2028,2029,2030"</formula1>
    </dataValidation>
  </dataValidations>
  <printOptions horizontalCentered="1"/>
  <pageMargins left="0.7" right="0.7" top="0.75" bottom="0.75" header="0.3" footer="0.3"/>
  <pageSetup scale="72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B34F24A2-9ACF-4253-9B9E-1840E03706C8}">
            <xm:f>(MONTH(H10)=MONTH($C10))*(COUNTIFS(lstEmpNames,valSelEmployee,lstSdates,"&lt;="&amp;H10,lstEDates,"&gt;="&amp;H10,lstHTypes,Settings!$D$5)&gt;0)</xm:f>
            <x14:dxf>
              <fill>
                <patternFill>
                  <bgColor theme="8"/>
                </patternFill>
              </fill>
            </x14:dxf>
          </x14:cfRule>
          <x14:cfRule type="expression" priority="5" id="{97ADEBD5-31B5-4BAF-B39F-A8CE1D695C89}">
            <xm:f>(MONTH(H10)=MONTH($C10))*(COUNTIFS(lstEmpNames,valSelEmployee,lstSdates,"&lt;="&amp;H10,lstEDates,"&gt;="&amp;H10,lstHTypes,Settings!$D$4)&gt;0)</xm:f>
            <x14:dxf>
              <fill>
                <patternFill>
                  <bgColor theme="4"/>
                </patternFill>
              </fill>
            </x14:dxf>
          </x14:cfRule>
          <x14:cfRule type="expression" priority="7" id="{71776CE7-6269-4B48-ACA2-58D8DDC991EE}">
            <xm:f>(MONTH(H10)=MONTH($C10))*(COUNTIFS(lstEmpNames,valSelEmployee,lstSdates,"&lt;="&amp;H10,lstEDates,"&gt;="&amp;H10,lstHTypes,Settings!$D$9)&gt;0)</xm:f>
            <x14:dxf>
              <fill>
                <patternFill>
                  <bgColor rgb="FF0070C0"/>
                </patternFill>
              </fill>
            </x14:dxf>
          </x14:cfRule>
          <x14:cfRule type="expression" priority="8" id="{3932A720-144B-4459-ADDB-343901B95ACB}">
            <xm:f>(MONTH(H10)=MONTH($C10))*(COUNTIFS(lstEmpNames,valSelEmployee,lstSdates,"&lt;="&amp;H10,lstEDates,"&gt;="&amp;H10,lstHTypes,Settings!$D$11)&gt;0)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13" id="{09A51F32-0902-45EF-A25E-08FC55B48AF8}">
            <xm:f>(MONTH(H10)=MONTH($C10))*(COUNTIFS(lstEmpNames,valSelEmployee,lstSdates,"&lt;="&amp;H10,lstEDates,"&gt;="&amp;H10,lstHTypes,Settings!$D$8)&gt;0)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18" id="{37C4D788-F67B-49C2-86F8-A1A32741E521}">
            <xm:f>(MONTH(H10)=MONTH($C10))*(COUNTIFS(lstEmpNames,valSelEmployee,lstSdates,"&lt;="&amp;H10,lstEDates,"&gt;="&amp;H10,lstHTypes,Settings!$D$10)&gt;0)</xm:f>
            <x14:dxf>
              <fill>
                <patternFill>
                  <bgColor theme="9" tint="0.79998168889431442"/>
                </patternFill>
              </fill>
            </x14:dxf>
          </x14:cfRule>
          <xm:sqref>H10:AW32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C00000"/>
    <pageSetUpPr autoPageBreaks="0" fitToPage="1"/>
  </sheetPr>
  <dimension ref="B1:F26"/>
  <sheetViews>
    <sheetView showGridLines="0" workbookViewId="0">
      <selection activeCell="K6" sqref="K6"/>
    </sheetView>
  </sheetViews>
  <sheetFormatPr defaultRowHeight="18.75" customHeight="1" x14ac:dyDescent="0.3"/>
  <cols>
    <col min="1" max="1" width="3.42578125" style="1" customWidth="1"/>
    <col min="2" max="2" width="25.7109375" style="1" customWidth="1"/>
    <col min="3" max="4" width="17.28515625" style="1" customWidth="1"/>
    <col min="5" max="5" width="18.42578125" style="1" customWidth="1"/>
    <col min="6" max="6" width="12.28515625" style="1" customWidth="1"/>
    <col min="7" max="16384" width="9.140625" style="1"/>
  </cols>
  <sheetData>
    <row r="1" spans="2:6" ht="53.25" customHeight="1" x14ac:dyDescent="0.3"/>
    <row r="2" spans="2:6" ht="13.5" customHeight="1" x14ac:dyDescent="0.3">
      <c r="B2" s="119"/>
      <c r="C2" s="119"/>
      <c r="D2" s="119"/>
      <c r="E2" s="119"/>
      <c r="F2" s="119"/>
    </row>
    <row r="3" spans="2:6" ht="18.75" customHeight="1" x14ac:dyDescent="0.3">
      <c r="B3" s="124" t="s">
        <v>0</v>
      </c>
      <c r="C3" s="124" t="s">
        <v>10</v>
      </c>
      <c r="D3" s="124" t="s">
        <v>11</v>
      </c>
      <c r="E3" s="124" t="s">
        <v>24</v>
      </c>
      <c r="F3" s="125" t="s">
        <v>18</v>
      </c>
    </row>
    <row r="4" spans="2:6" ht="18.75" customHeight="1" x14ac:dyDescent="0.3">
      <c r="B4" s="120" t="s">
        <v>55</v>
      </c>
      <c r="C4" s="121">
        <v>42464</v>
      </c>
      <c r="D4" s="121">
        <v>42480</v>
      </c>
      <c r="E4" s="120" t="s">
        <v>3</v>
      </c>
      <c r="F4" s="122">
        <f>NETWORKDAYS(tblLeave[[#This Row],[Start Date]],tblLeave[[#This Row],[End Date]])</f>
        <v>13</v>
      </c>
    </row>
    <row r="5" spans="2:6" ht="18.75" customHeight="1" x14ac:dyDescent="0.3">
      <c r="B5" s="120"/>
      <c r="C5" s="121"/>
      <c r="D5" s="121"/>
      <c r="E5" s="120"/>
      <c r="F5" s="122">
        <f>NETWORKDAYS(tblLeave[[#This Row],[Start Date]],tblLeave[[#This Row],[End Date]])</f>
        <v>0</v>
      </c>
    </row>
    <row r="6" spans="2:6" ht="18.75" customHeight="1" x14ac:dyDescent="0.3">
      <c r="B6" s="120"/>
      <c r="C6" s="121"/>
      <c r="D6" s="121"/>
      <c r="E6" s="120"/>
      <c r="F6" s="122">
        <f>NETWORKDAYS(tblLeave[[#This Row],[Start Date]],tblLeave[[#This Row],[End Date]])</f>
        <v>0</v>
      </c>
    </row>
    <row r="7" spans="2:6" ht="18.75" customHeight="1" x14ac:dyDescent="0.3">
      <c r="B7" s="120"/>
      <c r="C7" s="121"/>
      <c r="D7" s="121"/>
      <c r="E7" s="120"/>
      <c r="F7" s="122">
        <f>NETWORKDAYS(tblLeave[[#This Row],[Start Date]],tblLeave[[#This Row],[End Date]])</f>
        <v>0</v>
      </c>
    </row>
    <row r="8" spans="2:6" ht="18.75" customHeight="1" x14ac:dyDescent="0.3">
      <c r="B8" s="120"/>
      <c r="C8" s="121"/>
      <c r="D8" s="121"/>
      <c r="E8" s="120"/>
      <c r="F8" s="122">
        <f>NETWORKDAYS(tblLeave[[#This Row],[Start Date]],tblLeave[[#This Row],[End Date]])</f>
        <v>0</v>
      </c>
    </row>
    <row r="9" spans="2:6" ht="18.75" customHeight="1" x14ac:dyDescent="0.3">
      <c r="B9" s="120"/>
      <c r="C9" s="121"/>
      <c r="D9" s="121"/>
      <c r="E9" s="120"/>
      <c r="F9" s="122">
        <f>NETWORKDAYS(tblLeave[[#This Row],[Start Date]],tblLeave[[#This Row],[End Date]])</f>
        <v>0</v>
      </c>
    </row>
    <row r="10" spans="2:6" ht="18.75" customHeight="1" x14ac:dyDescent="0.3">
      <c r="B10" s="120"/>
      <c r="C10" s="121"/>
      <c r="D10" s="121"/>
      <c r="E10" s="120"/>
      <c r="F10" s="122">
        <f>NETWORKDAYS(tblLeave[[#This Row],[Start Date]],tblLeave[[#This Row],[End Date]])</f>
        <v>0</v>
      </c>
    </row>
    <row r="11" spans="2:6" ht="18.75" customHeight="1" x14ac:dyDescent="0.3">
      <c r="B11" s="120"/>
      <c r="C11" s="121"/>
      <c r="D11" s="121"/>
      <c r="E11" s="120"/>
      <c r="F11" s="122">
        <f>NETWORKDAYS(tblLeave[[#This Row],[Start Date]],tblLeave[[#This Row],[End Date]])</f>
        <v>0</v>
      </c>
    </row>
    <row r="12" spans="2:6" ht="18.75" customHeight="1" x14ac:dyDescent="0.3">
      <c r="B12" s="120"/>
      <c r="C12" s="121"/>
      <c r="D12" s="121"/>
      <c r="E12" s="120"/>
      <c r="F12" s="122">
        <f>NETWORKDAYS(tblLeave[[#This Row],[Start Date]],tblLeave[[#This Row],[End Date]])</f>
        <v>0</v>
      </c>
    </row>
    <row r="13" spans="2:6" ht="18.75" customHeight="1" x14ac:dyDescent="0.3">
      <c r="B13" s="120"/>
      <c r="C13" s="121"/>
      <c r="D13" s="121"/>
      <c r="E13" s="120"/>
      <c r="F13" s="122">
        <f>NETWORKDAYS(tblLeave[[#This Row],[Start Date]],tblLeave[[#This Row],[End Date]])</f>
        <v>0</v>
      </c>
    </row>
    <row r="14" spans="2:6" ht="18.75" customHeight="1" x14ac:dyDescent="0.3">
      <c r="B14" s="120"/>
      <c r="C14" s="121"/>
      <c r="D14" s="121"/>
      <c r="E14" s="120"/>
      <c r="F14" s="122">
        <f>NETWORKDAYS(tblLeave[[#This Row],[Start Date]],tblLeave[[#This Row],[End Date]])</f>
        <v>0</v>
      </c>
    </row>
    <row r="15" spans="2:6" ht="18.75" customHeight="1" x14ac:dyDescent="0.3">
      <c r="B15" s="120"/>
      <c r="C15" s="121"/>
      <c r="D15" s="121"/>
      <c r="E15" s="120"/>
      <c r="F15" s="122">
        <f>NETWORKDAYS(tblLeave[[#This Row],[Start Date]],tblLeave[[#This Row],[End Date]])</f>
        <v>0</v>
      </c>
    </row>
    <row r="16" spans="2:6" ht="18.75" customHeight="1" x14ac:dyDescent="0.3">
      <c r="B16" s="120"/>
      <c r="C16" s="121"/>
      <c r="D16" s="121"/>
      <c r="E16" s="120"/>
      <c r="F16" s="122">
        <f>NETWORKDAYS(tblLeave[[#This Row],[Start Date]],tblLeave[[#This Row],[End Date]])</f>
        <v>0</v>
      </c>
    </row>
    <row r="17" spans="2:6" ht="18.75" customHeight="1" x14ac:dyDescent="0.3">
      <c r="B17" s="120"/>
      <c r="C17" s="121"/>
      <c r="D17" s="121"/>
      <c r="E17" s="120"/>
      <c r="F17" s="122">
        <f>NETWORKDAYS(tblLeave[[#This Row],[Start Date]],tblLeave[[#This Row],[End Date]])</f>
        <v>0</v>
      </c>
    </row>
    <row r="18" spans="2:6" ht="18.75" customHeight="1" x14ac:dyDescent="0.3">
      <c r="B18" s="120"/>
      <c r="C18" s="121"/>
      <c r="D18" s="121"/>
      <c r="E18" s="120"/>
      <c r="F18" s="122">
        <f>NETWORKDAYS(tblLeave[[#This Row],[Start Date]],tblLeave[[#This Row],[End Date]])</f>
        <v>0</v>
      </c>
    </row>
    <row r="19" spans="2:6" ht="18.75" customHeight="1" x14ac:dyDescent="0.3">
      <c r="B19" s="120"/>
      <c r="C19" s="121"/>
      <c r="D19" s="121"/>
      <c r="E19" s="120"/>
      <c r="F19" s="122">
        <f>NETWORKDAYS(tblLeave[[#This Row],[Start Date]],tblLeave[[#This Row],[End Date]])</f>
        <v>0</v>
      </c>
    </row>
    <row r="20" spans="2:6" ht="18.75" customHeight="1" x14ac:dyDescent="0.3">
      <c r="B20" s="120"/>
      <c r="C20" s="121"/>
      <c r="D20" s="121"/>
      <c r="E20" s="120"/>
      <c r="F20" s="122">
        <f>NETWORKDAYS(tblLeave[[#This Row],[Start Date]],tblLeave[[#This Row],[End Date]])</f>
        <v>0</v>
      </c>
    </row>
    <row r="21" spans="2:6" ht="18.75" customHeight="1" x14ac:dyDescent="0.3">
      <c r="B21" s="120"/>
      <c r="C21" s="121"/>
      <c r="D21" s="121"/>
      <c r="E21" s="120"/>
      <c r="F21" s="122">
        <f>NETWORKDAYS(tblLeave[[#This Row],[Start Date]],tblLeave[[#This Row],[End Date]])</f>
        <v>0</v>
      </c>
    </row>
    <row r="22" spans="2:6" ht="18.75" customHeight="1" x14ac:dyDescent="0.3">
      <c r="B22" s="120"/>
      <c r="C22" s="121"/>
      <c r="D22" s="121"/>
      <c r="E22" s="120"/>
      <c r="F22" s="122">
        <f>NETWORKDAYS(tblLeave[[#This Row],[Start Date]],tblLeave[[#This Row],[End Date]])</f>
        <v>0</v>
      </c>
    </row>
    <row r="23" spans="2:6" ht="18.75" customHeight="1" x14ac:dyDescent="0.3">
      <c r="B23" s="120"/>
      <c r="C23" s="121"/>
      <c r="D23" s="121"/>
      <c r="E23" s="120"/>
      <c r="F23" s="122">
        <f>NETWORKDAYS(tblLeave[[#This Row],[Start Date]],tblLeave[[#This Row],[End Date]])</f>
        <v>0</v>
      </c>
    </row>
    <row r="24" spans="2:6" ht="18.75" customHeight="1" x14ac:dyDescent="0.3">
      <c r="B24" s="120"/>
      <c r="C24" s="121"/>
      <c r="D24" s="121"/>
      <c r="E24" s="120"/>
      <c r="F24" s="122">
        <f>NETWORKDAYS(tblLeave[[#This Row],[Start Date]],tblLeave[[#This Row],[End Date]])</f>
        <v>0</v>
      </c>
    </row>
    <row r="25" spans="2:6" ht="18.75" customHeight="1" x14ac:dyDescent="0.3">
      <c r="B25" s="120"/>
      <c r="C25" s="121"/>
      <c r="D25" s="121"/>
      <c r="E25" s="120"/>
      <c r="F25" s="122">
        <f>NETWORKDAYS(tblLeave[[#This Row],[Start Date]],tblLeave[[#This Row],[End Date]])</f>
        <v>0</v>
      </c>
    </row>
    <row r="26" spans="2:6" ht="18.75" customHeight="1" x14ac:dyDescent="0.3">
      <c r="B26" s="120"/>
      <c r="C26" s="121"/>
      <c r="D26" s="121"/>
      <c r="E26" s="120"/>
      <c r="F26" s="122">
        <f>NETWORKDAYS(tblLeave[[#This Row],[Start Date]],tblLeave[[#This Row],[End Date]])</f>
        <v>0</v>
      </c>
    </row>
  </sheetData>
  <dataValidations count="2">
    <dataValidation type="list" allowBlank="1" showInputMessage="1" showErrorMessage="1" sqref="E4:E26" xr:uid="{00000000-0002-0000-0100-000000000000}">
      <formula1>lstHolidayTypes</formula1>
    </dataValidation>
    <dataValidation type="list" errorStyle="information" allowBlank="1" showInputMessage="1" showErrorMessage="1" errorTitle="Unknown Employee" error="Please select an employee from the list. To modify the list, on the Settings tab, add or remove employees from the List of Employees table." sqref="B4:B741" xr:uid="{00000000-0002-0000-0100-000001000000}">
      <formula1>lstEmployees</formula1>
    </dataValidation>
  </dataValidations>
  <pageMargins left="0.7" right="0.7" top="0.75" bottom="0.75" header="0.3" footer="0.3"/>
  <pageSetup fitToHeight="0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/>
    <pageSetUpPr fitToPage="1"/>
  </sheetPr>
  <dimension ref="B1:G502"/>
  <sheetViews>
    <sheetView showGridLines="0" tabSelected="1" workbookViewId="0">
      <selection activeCell="P17" sqref="P17"/>
    </sheetView>
  </sheetViews>
  <sheetFormatPr defaultColWidth="8.85546875" defaultRowHeight="12.75" x14ac:dyDescent="0.3"/>
  <cols>
    <col min="1" max="1" width="3.42578125" style="1" customWidth="1"/>
    <col min="2" max="2" width="26.5703125" style="1" customWidth="1"/>
    <col min="3" max="3" width="3.28515625" style="1" customWidth="1"/>
    <col min="4" max="4" width="17.7109375" style="1" customWidth="1"/>
    <col min="5" max="5" width="3.28515625" style="1" customWidth="1"/>
    <col min="6" max="6" width="21.28515625" style="1" customWidth="1"/>
    <col min="7" max="7" width="22.85546875" style="1" customWidth="1"/>
    <col min="8" max="16384" width="8.85546875" style="1"/>
  </cols>
  <sheetData>
    <row r="1" spans="2:7" ht="53.25" customHeight="1" x14ac:dyDescent="0.3"/>
    <row r="2" spans="2:7" ht="13.5" customHeight="1" x14ac:dyDescent="0.3">
      <c r="B2" s="119"/>
      <c r="C2" s="119"/>
      <c r="D2" s="119"/>
      <c r="E2" s="119"/>
      <c r="F2" s="119"/>
      <c r="G2" s="119"/>
    </row>
    <row r="3" spans="2:7" ht="17.25" customHeight="1" x14ac:dyDescent="0.3">
      <c r="B3" s="123" t="s">
        <v>4</v>
      </c>
      <c r="D3" s="123" t="s">
        <v>24</v>
      </c>
      <c r="F3" s="123" t="s">
        <v>17</v>
      </c>
      <c r="G3" s="123" t="s">
        <v>19</v>
      </c>
    </row>
    <row r="4" spans="2:7" ht="17.25" customHeight="1" x14ac:dyDescent="0.3">
      <c r="B4" s="120" t="s">
        <v>54</v>
      </c>
      <c r="D4" s="126" t="s">
        <v>1</v>
      </c>
      <c r="F4" s="121">
        <v>42737</v>
      </c>
      <c r="G4" s="121" t="s">
        <v>20</v>
      </c>
    </row>
    <row r="5" spans="2:7" ht="17.25" customHeight="1" x14ac:dyDescent="0.3">
      <c r="B5" s="120" t="s">
        <v>55</v>
      </c>
      <c r="D5" s="127" t="s">
        <v>23</v>
      </c>
      <c r="F5" s="121">
        <v>42779</v>
      </c>
      <c r="G5" s="121" t="s">
        <v>29</v>
      </c>
    </row>
    <row r="6" spans="2:7" ht="17.25" customHeight="1" x14ac:dyDescent="0.3">
      <c r="B6" s="120" t="s">
        <v>56</v>
      </c>
      <c r="D6" s="128" t="s">
        <v>2</v>
      </c>
      <c r="F6" s="121" t="s">
        <v>53</v>
      </c>
      <c r="G6" s="121" t="s">
        <v>30</v>
      </c>
    </row>
    <row r="7" spans="2:7" ht="17.25" customHeight="1" x14ac:dyDescent="0.3">
      <c r="B7" s="120" t="s">
        <v>57</v>
      </c>
      <c r="D7" s="129" t="s">
        <v>3</v>
      </c>
      <c r="F7" s="121" t="s">
        <v>53</v>
      </c>
      <c r="G7" s="121" t="s">
        <v>31</v>
      </c>
    </row>
    <row r="8" spans="2:7" ht="17.25" customHeight="1" x14ac:dyDescent="0.3">
      <c r="B8" s="120" t="s">
        <v>58</v>
      </c>
      <c r="D8" s="130" t="s">
        <v>41</v>
      </c>
      <c r="F8" s="121">
        <v>42513</v>
      </c>
      <c r="G8" s="121" t="s">
        <v>32</v>
      </c>
    </row>
    <row r="9" spans="2:7" ht="17.25" customHeight="1" x14ac:dyDescent="0.3">
      <c r="B9" s="120" t="s">
        <v>59</v>
      </c>
      <c r="D9" s="131" t="s">
        <v>42</v>
      </c>
      <c r="F9" s="121">
        <v>42542</v>
      </c>
      <c r="G9" s="121" t="s">
        <v>33</v>
      </c>
    </row>
    <row r="10" spans="2:7" ht="17.25" customHeight="1" x14ac:dyDescent="0.3">
      <c r="B10" s="120" t="s">
        <v>60</v>
      </c>
      <c r="D10" s="132" t="s">
        <v>43</v>
      </c>
      <c r="F10" s="121">
        <v>42552</v>
      </c>
      <c r="G10" s="121" t="s">
        <v>34</v>
      </c>
    </row>
    <row r="11" spans="2:7" ht="17.25" customHeight="1" x14ac:dyDescent="0.3">
      <c r="B11" s="120" t="s">
        <v>61</v>
      </c>
      <c r="D11" s="133" t="s">
        <v>44</v>
      </c>
      <c r="F11" s="121">
        <v>42583</v>
      </c>
      <c r="G11" s="120" t="s">
        <v>35</v>
      </c>
    </row>
    <row r="12" spans="2:7" ht="17.25" customHeight="1" x14ac:dyDescent="0.3">
      <c r="B12" s="120" t="s">
        <v>62</v>
      </c>
      <c r="F12" s="121">
        <v>42618</v>
      </c>
      <c r="G12" s="120" t="s">
        <v>36</v>
      </c>
    </row>
    <row r="13" spans="2:7" ht="17.25" customHeight="1" x14ac:dyDescent="0.3">
      <c r="B13" s="120" t="s">
        <v>63</v>
      </c>
      <c r="F13" s="121">
        <v>42653</v>
      </c>
      <c r="G13" s="120" t="s">
        <v>37</v>
      </c>
    </row>
    <row r="14" spans="2:7" ht="17.25" customHeight="1" x14ac:dyDescent="0.3">
      <c r="B14" s="120" t="s">
        <v>64</v>
      </c>
      <c r="F14" s="121">
        <v>42685</v>
      </c>
      <c r="G14" s="120" t="s">
        <v>38</v>
      </c>
    </row>
    <row r="15" spans="2:7" ht="17.25" customHeight="1" x14ac:dyDescent="0.3">
      <c r="B15" s="120" t="s">
        <v>65</v>
      </c>
      <c r="F15" s="121">
        <v>42730</v>
      </c>
      <c r="G15" s="120" t="s">
        <v>39</v>
      </c>
    </row>
    <row r="16" spans="2:7" ht="17.25" customHeight="1" x14ac:dyDescent="0.3">
      <c r="B16" s="120" t="s">
        <v>66</v>
      </c>
      <c r="F16" s="121">
        <v>42731</v>
      </c>
      <c r="G16" s="120" t="s">
        <v>40</v>
      </c>
    </row>
    <row r="17" spans="2:2" ht="17.25" customHeight="1" x14ac:dyDescent="0.3">
      <c r="B17" s="120" t="s">
        <v>67</v>
      </c>
    </row>
    <row r="18" spans="2:2" ht="17.25" customHeight="1" x14ac:dyDescent="0.3">
      <c r="B18" s="120" t="s">
        <v>68</v>
      </c>
    </row>
    <row r="19" spans="2:2" ht="17.25" customHeight="1" x14ac:dyDescent="0.3">
      <c r="B19" s="120" t="s">
        <v>69</v>
      </c>
    </row>
    <row r="20" spans="2:2" ht="17.25" customHeight="1" x14ac:dyDescent="0.3">
      <c r="B20" s="120" t="s">
        <v>70</v>
      </c>
    </row>
    <row r="21" spans="2:2" ht="17.25" customHeight="1" x14ac:dyDescent="0.3">
      <c r="B21" s="120" t="s">
        <v>71</v>
      </c>
    </row>
    <row r="22" spans="2:2" ht="17.25" customHeight="1" x14ac:dyDescent="0.3">
      <c r="B22" s="120" t="s">
        <v>72</v>
      </c>
    </row>
    <row r="23" spans="2:2" ht="17.25" customHeight="1" x14ac:dyDescent="0.3"/>
    <row r="24" spans="2:2" ht="17.25" customHeight="1" x14ac:dyDescent="0.3"/>
    <row r="25" spans="2:2" ht="17.25" customHeight="1" x14ac:dyDescent="0.3"/>
    <row r="26" spans="2:2" ht="17.25" customHeight="1" x14ac:dyDescent="0.3"/>
    <row r="27" spans="2:2" ht="17.25" customHeight="1" x14ac:dyDescent="0.3"/>
    <row r="28" spans="2:2" ht="17.25" customHeight="1" x14ac:dyDescent="0.3"/>
    <row r="29" spans="2:2" ht="17.25" customHeight="1" x14ac:dyDescent="0.3"/>
    <row r="30" spans="2:2" ht="17.25" customHeight="1" x14ac:dyDescent="0.3"/>
    <row r="31" spans="2:2" ht="17.25" customHeight="1" x14ac:dyDescent="0.3"/>
    <row r="32" spans="2:2" ht="17.25" customHeight="1" x14ac:dyDescent="0.3"/>
    <row r="33" s="1" customFormat="1" ht="17.25" customHeight="1" x14ac:dyDescent="0.3"/>
    <row r="34" s="1" customFormat="1" ht="17.25" customHeight="1" x14ac:dyDescent="0.3"/>
    <row r="35" s="1" customFormat="1" ht="17.25" customHeight="1" x14ac:dyDescent="0.3"/>
    <row r="36" s="1" customFormat="1" ht="17.25" customHeight="1" x14ac:dyDescent="0.3"/>
    <row r="37" s="1" customFormat="1" ht="17.25" customHeight="1" x14ac:dyDescent="0.3"/>
    <row r="38" s="1" customFormat="1" ht="17.25" customHeight="1" x14ac:dyDescent="0.3"/>
    <row r="39" s="1" customFormat="1" ht="17.25" customHeight="1" x14ac:dyDescent="0.3"/>
    <row r="40" s="1" customFormat="1" ht="17.25" customHeight="1" x14ac:dyDescent="0.3"/>
    <row r="41" s="1" customFormat="1" ht="17.25" customHeight="1" x14ac:dyDescent="0.3"/>
    <row r="42" s="1" customFormat="1" ht="17.25" customHeight="1" x14ac:dyDescent="0.3"/>
    <row r="43" s="1" customFormat="1" ht="17.25" customHeight="1" x14ac:dyDescent="0.3"/>
    <row r="44" s="1" customFormat="1" ht="17.25" customHeight="1" x14ac:dyDescent="0.3"/>
    <row r="45" s="1" customFormat="1" ht="17.25" customHeight="1" x14ac:dyDescent="0.3"/>
    <row r="46" s="1" customFormat="1" ht="17.25" customHeight="1" x14ac:dyDescent="0.3"/>
    <row r="47" s="1" customFormat="1" ht="17.25" customHeight="1" x14ac:dyDescent="0.3"/>
    <row r="48" s="1" customFormat="1" ht="17.25" customHeight="1" x14ac:dyDescent="0.3"/>
    <row r="49" s="1" customFormat="1" ht="17.25" customHeight="1" x14ac:dyDescent="0.3"/>
    <row r="50" s="1" customFormat="1" ht="17.25" customHeight="1" x14ac:dyDescent="0.3"/>
    <row r="51" s="1" customFormat="1" ht="17.25" customHeight="1" x14ac:dyDescent="0.3"/>
    <row r="52" s="1" customFormat="1" ht="17.25" customHeight="1" x14ac:dyDescent="0.3"/>
    <row r="53" s="1" customFormat="1" ht="17.25" customHeight="1" x14ac:dyDescent="0.3"/>
    <row r="54" s="1" customFormat="1" ht="17.25" customHeight="1" x14ac:dyDescent="0.3"/>
    <row r="55" s="1" customFormat="1" ht="17.25" customHeight="1" x14ac:dyDescent="0.3"/>
    <row r="56" s="1" customFormat="1" ht="17.25" customHeight="1" x14ac:dyDescent="0.3"/>
    <row r="57" s="1" customFormat="1" ht="17.25" customHeight="1" x14ac:dyDescent="0.3"/>
    <row r="58" s="1" customFormat="1" ht="17.25" customHeight="1" x14ac:dyDescent="0.3"/>
    <row r="59" s="1" customFormat="1" ht="17.25" customHeight="1" x14ac:dyDescent="0.3"/>
    <row r="60" s="1" customFormat="1" ht="17.25" customHeight="1" x14ac:dyDescent="0.3"/>
    <row r="61" s="1" customFormat="1" ht="17.25" customHeight="1" x14ac:dyDescent="0.3"/>
    <row r="62" s="1" customFormat="1" ht="17.25" customHeight="1" x14ac:dyDescent="0.3"/>
    <row r="63" s="1" customFormat="1" ht="17.25" customHeight="1" x14ac:dyDescent="0.3"/>
    <row r="64" s="1" customFormat="1" ht="17.25" customHeight="1" x14ac:dyDescent="0.3"/>
    <row r="65" s="1" customFormat="1" ht="17.25" customHeight="1" x14ac:dyDescent="0.3"/>
    <row r="66" s="1" customFormat="1" ht="17.25" customHeight="1" x14ac:dyDescent="0.3"/>
    <row r="67" s="1" customFormat="1" ht="17.25" customHeight="1" x14ac:dyDescent="0.3"/>
    <row r="68" s="1" customFormat="1" ht="17.25" customHeight="1" x14ac:dyDescent="0.3"/>
    <row r="69" s="1" customFormat="1" ht="17.25" customHeight="1" x14ac:dyDescent="0.3"/>
    <row r="70" s="1" customFormat="1" ht="17.25" customHeight="1" x14ac:dyDescent="0.3"/>
    <row r="71" s="1" customFormat="1" ht="17.25" customHeight="1" x14ac:dyDescent="0.3"/>
    <row r="72" s="1" customFormat="1" ht="17.25" customHeight="1" x14ac:dyDescent="0.3"/>
    <row r="73" s="1" customFormat="1" ht="17.25" customHeight="1" x14ac:dyDescent="0.3"/>
    <row r="74" s="1" customFormat="1" ht="17.25" customHeight="1" x14ac:dyDescent="0.3"/>
    <row r="75" s="1" customFormat="1" ht="17.25" customHeight="1" x14ac:dyDescent="0.3"/>
    <row r="76" s="1" customFormat="1" ht="17.25" customHeight="1" x14ac:dyDescent="0.3"/>
    <row r="77" s="1" customFormat="1" ht="17.25" customHeight="1" x14ac:dyDescent="0.3"/>
    <row r="78" s="1" customFormat="1" ht="17.25" customHeight="1" x14ac:dyDescent="0.3"/>
    <row r="79" s="1" customFormat="1" ht="17.25" customHeight="1" x14ac:dyDescent="0.3"/>
    <row r="80" s="1" customFormat="1" ht="17.25" customHeight="1" x14ac:dyDescent="0.3"/>
    <row r="81" s="1" customFormat="1" ht="17.25" customHeight="1" x14ac:dyDescent="0.3"/>
    <row r="82" s="1" customFormat="1" ht="17.25" customHeight="1" x14ac:dyDescent="0.3"/>
    <row r="83" s="1" customFormat="1" ht="17.25" customHeight="1" x14ac:dyDescent="0.3"/>
    <row r="84" s="1" customFormat="1" ht="17.25" customHeight="1" x14ac:dyDescent="0.3"/>
    <row r="85" s="1" customFormat="1" ht="17.25" customHeight="1" x14ac:dyDescent="0.3"/>
    <row r="86" s="1" customFormat="1" ht="17.25" customHeight="1" x14ac:dyDescent="0.3"/>
    <row r="87" s="1" customFormat="1" ht="17.25" customHeight="1" x14ac:dyDescent="0.3"/>
    <row r="88" s="1" customFormat="1" ht="17.25" customHeight="1" x14ac:dyDescent="0.3"/>
    <row r="89" s="1" customFormat="1" ht="17.25" customHeight="1" x14ac:dyDescent="0.3"/>
    <row r="90" s="1" customFormat="1" ht="17.25" customHeight="1" x14ac:dyDescent="0.3"/>
    <row r="91" s="1" customFormat="1" ht="17.25" customHeight="1" x14ac:dyDescent="0.3"/>
    <row r="92" s="1" customFormat="1" ht="17.25" customHeight="1" x14ac:dyDescent="0.3"/>
    <row r="93" s="1" customFormat="1" ht="17.25" customHeight="1" x14ac:dyDescent="0.3"/>
    <row r="94" s="1" customFormat="1" ht="17.25" customHeight="1" x14ac:dyDescent="0.3"/>
    <row r="95" s="1" customFormat="1" ht="17.25" customHeight="1" x14ac:dyDescent="0.3"/>
    <row r="96" s="1" customFormat="1" ht="17.25" customHeight="1" x14ac:dyDescent="0.3"/>
    <row r="97" s="1" customFormat="1" ht="17.25" customHeight="1" x14ac:dyDescent="0.3"/>
    <row r="98" s="1" customFormat="1" ht="17.25" customHeight="1" x14ac:dyDescent="0.3"/>
    <row r="99" s="1" customFormat="1" ht="17.25" customHeight="1" x14ac:dyDescent="0.3"/>
    <row r="100" s="1" customFormat="1" ht="17.25" customHeight="1" x14ac:dyDescent="0.3"/>
    <row r="101" s="1" customFormat="1" ht="17.25" customHeight="1" x14ac:dyDescent="0.3"/>
    <row r="102" s="1" customFormat="1" ht="17.25" customHeight="1" x14ac:dyDescent="0.3"/>
    <row r="103" s="1" customFormat="1" ht="17.25" customHeight="1" x14ac:dyDescent="0.3"/>
    <row r="104" s="1" customFormat="1" ht="17.25" customHeight="1" x14ac:dyDescent="0.3"/>
    <row r="105" s="1" customFormat="1" ht="17.25" customHeight="1" x14ac:dyDescent="0.3"/>
    <row r="106" s="1" customFormat="1" ht="17.25" customHeight="1" x14ac:dyDescent="0.3"/>
    <row r="107" s="1" customFormat="1" ht="17.25" customHeight="1" x14ac:dyDescent="0.3"/>
    <row r="108" s="1" customFormat="1" ht="17.25" customHeight="1" x14ac:dyDescent="0.3"/>
    <row r="109" s="1" customFormat="1" ht="17.25" customHeight="1" x14ac:dyDescent="0.3"/>
    <row r="110" s="1" customFormat="1" ht="17.25" customHeight="1" x14ac:dyDescent="0.3"/>
    <row r="111" s="1" customFormat="1" ht="17.25" customHeight="1" x14ac:dyDescent="0.3"/>
    <row r="112" s="1" customFormat="1" ht="17.25" customHeight="1" x14ac:dyDescent="0.3"/>
    <row r="113" s="1" customFormat="1" ht="17.25" customHeight="1" x14ac:dyDescent="0.3"/>
    <row r="114" s="1" customFormat="1" ht="17.25" customHeight="1" x14ac:dyDescent="0.3"/>
    <row r="115" s="1" customFormat="1" ht="17.25" customHeight="1" x14ac:dyDescent="0.3"/>
    <row r="116" s="1" customFormat="1" ht="17.25" customHeight="1" x14ac:dyDescent="0.3"/>
    <row r="117" s="1" customFormat="1" ht="17.25" customHeight="1" x14ac:dyDescent="0.3"/>
    <row r="118" s="1" customFormat="1" ht="17.25" customHeight="1" x14ac:dyDescent="0.3"/>
    <row r="119" s="1" customFormat="1" ht="17.25" customHeight="1" x14ac:dyDescent="0.3"/>
    <row r="120" s="1" customFormat="1" ht="17.25" customHeight="1" x14ac:dyDescent="0.3"/>
    <row r="121" s="1" customFormat="1" ht="17.25" customHeight="1" x14ac:dyDescent="0.3"/>
    <row r="122" s="1" customFormat="1" ht="17.25" customHeight="1" x14ac:dyDescent="0.3"/>
    <row r="123" s="1" customFormat="1" ht="17.25" customHeight="1" x14ac:dyDescent="0.3"/>
    <row r="124" s="1" customFormat="1" ht="17.25" customHeight="1" x14ac:dyDescent="0.3"/>
    <row r="125" s="1" customFormat="1" ht="17.25" customHeight="1" x14ac:dyDescent="0.3"/>
    <row r="126" s="1" customFormat="1" ht="17.25" customHeight="1" x14ac:dyDescent="0.3"/>
    <row r="127" s="1" customFormat="1" ht="17.25" customHeight="1" x14ac:dyDescent="0.3"/>
    <row r="128" s="1" customFormat="1" ht="17.25" customHeight="1" x14ac:dyDescent="0.3"/>
    <row r="129" s="1" customFormat="1" ht="17.25" customHeight="1" x14ac:dyDescent="0.3"/>
    <row r="130" s="1" customFormat="1" ht="17.25" customHeight="1" x14ac:dyDescent="0.3"/>
    <row r="131" s="1" customFormat="1" ht="17.25" customHeight="1" x14ac:dyDescent="0.3"/>
    <row r="132" s="1" customFormat="1" ht="17.25" customHeight="1" x14ac:dyDescent="0.3"/>
    <row r="133" s="1" customFormat="1" ht="17.25" customHeight="1" x14ac:dyDescent="0.3"/>
    <row r="134" s="1" customFormat="1" ht="17.25" customHeight="1" x14ac:dyDescent="0.3"/>
    <row r="135" s="1" customFormat="1" ht="17.25" customHeight="1" x14ac:dyDescent="0.3"/>
    <row r="136" s="1" customFormat="1" ht="17.25" customHeight="1" x14ac:dyDescent="0.3"/>
    <row r="137" s="1" customFormat="1" ht="17.25" customHeight="1" x14ac:dyDescent="0.3"/>
    <row r="138" s="1" customFormat="1" ht="17.25" customHeight="1" x14ac:dyDescent="0.3"/>
    <row r="139" s="1" customFormat="1" ht="17.25" customHeight="1" x14ac:dyDescent="0.3"/>
    <row r="140" s="1" customFormat="1" ht="17.25" customHeight="1" x14ac:dyDescent="0.3"/>
    <row r="141" s="1" customFormat="1" ht="17.25" customHeight="1" x14ac:dyDescent="0.3"/>
    <row r="142" s="1" customFormat="1" ht="17.25" customHeight="1" x14ac:dyDescent="0.3"/>
    <row r="143" s="1" customFormat="1" ht="17.25" customHeight="1" x14ac:dyDescent="0.3"/>
    <row r="144" s="1" customFormat="1" ht="17.25" customHeight="1" x14ac:dyDescent="0.3"/>
    <row r="145" s="1" customFormat="1" ht="17.25" customHeight="1" x14ac:dyDescent="0.3"/>
    <row r="146" s="1" customFormat="1" ht="17.25" customHeight="1" x14ac:dyDescent="0.3"/>
    <row r="147" s="1" customFormat="1" ht="17.25" customHeight="1" x14ac:dyDescent="0.3"/>
    <row r="148" s="1" customFormat="1" ht="17.25" customHeight="1" x14ac:dyDescent="0.3"/>
    <row r="149" s="1" customFormat="1" ht="17.25" customHeight="1" x14ac:dyDescent="0.3"/>
    <row r="150" s="1" customFormat="1" ht="17.25" customHeight="1" x14ac:dyDescent="0.3"/>
    <row r="151" s="1" customFormat="1" ht="17.25" customHeight="1" x14ac:dyDescent="0.3"/>
    <row r="152" s="1" customFormat="1" ht="17.25" customHeight="1" x14ac:dyDescent="0.3"/>
    <row r="153" s="1" customFormat="1" ht="17.25" customHeight="1" x14ac:dyDescent="0.3"/>
    <row r="154" s="1" customFormat="1" ht="17.25" customHeight="1" x14ac:dyDescent="0.3"/>
    <row r="155" s="1" customFormat="1" ht="17.25" customHeight="1" x14ac:dyDescent="0.3"/>
    <row r="156" s="1" customFormat="1" ht="17.25" customHeight="1" x14ac:dyDescent="0.3"/>
    <row r="157" s="1" customFormat="1" ht="17.25" customHeight="1" x14ac:dyDescent="0.3"/>
    <row r="158" s="1" customFormat="1" ht="17.25" customHeight="1" x14ac:dyDescent="0.3"/>
    <row r="159" s="1" customFormat="1" ht="17.25" customHeight="1" x14ac:dyDescent="0.3"/>
    <row r="160" s="1" customFormat="1" ht="17.25" customHeight="1" x14ac:dyDescent="0.3"/>
    <row r="161" s="1" customFormat="1" ht="17.25" customHeight="1" x14ac:dyDescent="0.3"/>
    <row r="162" s="1" customFormat="1" ht="17.25" customHeight="1" x14ac:dyDescent="0.3"/>
    <row r="163" s="1" customFormat="1" ht="17.25" customHeight="1" x14ac:dyDescent="0.3"/>
    <row r="164" s="1" customFormat="1" ht="17.25" customHeight="1" x14ac:dyDescent="0.3"/>
    <row r="165" s="1" customFormat="1" ht="17.25" customHeight="1" x14ac:dyDescent="0.3"/>
    <row r="166" s="1" customFormat="1" ht="17.25" customHeight="1" x14ac:dyDescent="0.3"/>
    <row r="167" s="1" customFormat="1" ht="17.25" customHeight="1" x14ac:dyDescent="0.3"/>
    <row r="168" s="1" customFormat="1" ht="17.25" customHeight="1" x14ac:dyDescent="0.3"/>
    <row r="169" s="1" customFormat="1" ht="17.25" customHeight="1" x14ac:dyDescent="0.3"/>
    <row r="170" s="1" customFormat="1" ht="17.25" customHeight="1" x14ac:dyDescent="0.3"/>
    <row r="171" s="1" customFormat="1" ht="17.25" customHeight="1" x14ac:dyDescent="0.3"/>
    <row r="172" s="1" customFormat="1" ht="17.25" customHeight="1" x14ac:dyDescent="0.3"/>
    <row r="173" s="1" customFormat="1" ht="17.25" customHeight="1" x14ac:dyDescent="0.3"/>
    <row r="174" s="1" customFormat="1" ht="17.25" customHeight="1" x14ac:dyDescent="0.3"/>
    <row r="175" s="1" customFormat="1" ht="17.25" customHeight="1" x14ac:dyDescent="0.3"/>
    <row r="176" s="1" customFormat="1" ht="17.25" customHeight="1" x14ac:dyDescent="0.3"/>
    <row r="177" s="1" customFormat="1" ht="17.25" customHeight="1" x14ac:dyDescent="0.3"/>
    <row r="178" s="1" customFormat="1" ht="17.25" customHeight="1" x14ac:dyDescent="0.3"/>
    <row r="179" s="1" customFormat="1" ht="17.25" customHeight="1" x14ac:dyDescent="0.3"/>
    <row r="180" s="1" customFormat="1" ht="17.25" customHeight="1" x14ac:dyDescent="0.3"/>
    <row r="181" s="1" customFormat="1" ht="17.25" customHeight="1" x14ac:dyDescent="0.3"/>
    <row r="182" s="1" customFormat="1" ht="17.25" customHeight="1" x14ac:dyDescent="0.3"/>
    <row r="183" s="1" customFormat="1" ht="17.25" customHeight="1" x14ac:dyDescent="0.3"/>
    <row r="184" s="1" customFormat="1" ht="17.25" customHeight="1" x14ac:dyDescent="0.3"/>
    <row r="185" s="1" customFormat="1" ht="17.25" customHeight="1" x14ac:dyDescent="0.3"/>
    <row r="186" s="1" customFormat="1" ht="17.25" customHeight="1" x14ac:dyDescent="0.3"/>
    <row r="187" s="1" customFormat="1" ht="17.25" customHeight="1" x14ac:dyDescent="0.3"/>
    <row r="188" s="1" customFormat="1" ht="17.25" customHeight="1" x14ac:dyDescent="0.3"/>
    <row r="189" s="1" customFormat="1" ht="17.25" customHeight="1" x14ac:dyDescent="0.3"/>
    <row r="190" s="1" customFormat="1" ht="17.25" customHeight="1" x14ac:dyDescent="0.3"/>
    <row r="191" s="1" customFormat="1" ht="17.25" customHeight="1" x14ac:dyDescent="0.3"/>
    <row r="192" s="1" customFormat="1" ht="17.25" customHeight="1" x14ac:dyDescent="0.3"/>
    <row r="193" s="1" customFormat="1" ht="17.25" customHeight="1" x14ac:dyDescent="0.3"/>
    <row r="194" s="1" customFormat="1" ht="17.25" customHeight="1" x14ac:dyDescent="0.3"/>
    <row r="195" s="1" customFormat="1" ht="17.25" customHeight="1" x14ac:dyDescent="0.3"/>
    <row r="196" s="1" customFormat="1" ht="17.25" customHeight="1" x14ac:dyDescent="0.3"/>
    <row r="197" s="1" customFormat="1" ht="17.25" customHeight="1" x14ac:dyDescent="0.3"/>
    <row r="198" s="1" customFormat="1" ht="17.25" customHeight="1" x14ac:dyDescent="0.3"/>
    <row r="199" s="1" customFormat="1" ht="17.25" customHeight="1" x14ac:dyDescent="0.3"/>
    <row r="200" s="1" customFormat="1" ht="17.25" customHeight="1" x14ac:dyDescent="0.3"/>
    <row r="201" s="1" customFormat="1" ht="17.25" customHeight="1" x14ac:dyDescent="0.3"/>
    <row r="202" s="1" customFormat="1" ht="17.25" customHeight="1" x14ac:dyDescent="0.3"/>
    <row r="203" s="1" customFormat="1" ht="17.25" customHeight="1" x14ac:dyDescent="0.3"/>
    <row r="204" s="1" customFormat="1" ht="17.25" customHeight="1" x14ac:dyDescent="0.3"/>
    <row r="205" s="1" customFormat="1" ht="17.25" customHeight="1" x14ac:dyDescent="0.3"/>
    <row r="206" s="1" customFormat="1" ht="17.25" customHeight="1" x14ac:dyDescent="0.3"/>
    <row r="207" s="1" customFormat="1" ht="17.25" customHeight="1" x14ac:dyDescent="0.3"/>
    <row r="208" s="1" customFormat="1" ht="17.25" customHeight="1" x14ac:dyDescent="0.3"/>
    <row r="209" s="1" customFormat="1" ht="17.25" customHeight="1" x14ac:dyDescent="0.3"/>
    <row r="210" s="1" customFormat="1" ht="17.25" customHeight="1" x14ac:dyDescent="0.3"/>
    <row r="211" s="1" customFormat="1" ht="17.25" customHeight="1" x14ac:dyDescent="0.3"/>
    <row r="212" s="1" customFormat="1" ht="17.25" customHeight="1" x14ac:dyDescent="0.3"/>
    <row r="213" s="1" customFormat="1" ht="17.25" customHeight="1" x14ac:dyDescent="0.3"/>
    <row r="214" s="1" customFormat="1" ht="17.25" customHeight="1" x14ac:dyDescent="0.3"/>
    <row r="215" s="1" customFormat="1" ht="17.25" customHeight="1" x14ac:dyDescent="0.3"/>
    <row r="216" s="1" customFormat="1" ht="17.25" customHeight="1" x14ac:dyDescent="0.3"/>
    <row r="217" s="1" customFormat="1" ht="17.25" customHeight="1" x14ac:dyDescent="0.3"/>
    <row r="218" s="1" customFormat="1" ht="17.25" customHeight="1" x14ac:dyDescent="0.3"/>
    <row r="219" s="1" customFormat="1" ht="17.25" customHeight="1" x14ac:dyDescent="0.3"/>
    <row r="220" s="1" customFormat="1" ht="17.25" customHeight="1" x14ac:dyDescent="0.3"/>
    <row r="221" s="1" customFormat="1" ht="17.25" customHeight="1" x14ac:dyDescent="0.3"/>
    <row r="222" s="1" customFormat="1" ht="17.25" customHeight="1" x14ac:dyDescent="0.3"/>
    <row r="223" s="1" customFormat="1" ht="17.25" customHeight="1" x14ac:dyDescent="0.3"/>
    <row r="224" s="1" customFormat="1" ht="17.25" customHeight="1" x14ac:dyDescent="0.3"/>
    <row r="225" s="1" customFormat="1" ht="17.25" customHeight="1" x14ac:dyDescent="0.3"/>
    <row r="226" s="1" customFormat="1" ht="17.25" customHeight="1" x14ac:dyDescent="0.3"/>
    <row r="227" s="1" customFormat="1" ht="17.25" customHeight="1" x14ac:dyDescent="0.3"/>
    <row r="228" s="1" customFormat="1" ht="17.25" customHeight="1" x14ac:dyDescent="0.3"/>
    <row r="229" s="1" customFormat="1" ht="17.25" customHeight="1" x14ac:dyDescent="0.3"/>
    <row r="230" s="1" customFormat="1" ht="17.25" customHeight="1" x14ac:dyDescent="0.3"/>
    <row r="231" s="1" customFormat="1" ht="17.25" customHeight="1" x14ac:dyDescent="0.3"/>
    <row r="232" s="1" customFormat="1" ht="17.25" customHeight="1" x14ac:dyDescent="0.3"/>
    <row r="233" s="1" customFormat="1" ht="17.25" customHeight="1" x14ac:dyDescent="0.3"/>
    <row r="234" s="1" customFormat="1" ht="17.25" customHeight="1" x14ac:dyDescent="0.3"/>
    <row r="235" s="1" customFormat="1" ht="17.25" customHeight="1" x14ac:dyDescent="0.3"/>
    <row r="236" s="1" customFormat="1" ht="17.25" customHeight="1" x14ac:dyDescent="0.3"/>
    <row r="237" s="1" customFormat="1" ht="17.25" customHeight="1" x14ac:dyDescent="0.3"/>
    <row r="238" s="1" customFormat="1" ht="17.25" customHeight="1" x14ac:dyDescent="0.3"/>
    <row r="239" s="1" customFormat="1" ht="17.25" customHeight="1" x14ac:dyDescent="0.3"/>
    <row r="240" s="1" customFormat="1" ht="17.25" customHeight="1" x14ac:dyDescent="0.3"/>
    <row r="241" s="1" customFormat="1" ht="17.25" customHeight="1" x14ac:dyDescent="0.3"/>
    <row r="242" s="1" customFormat="1" ht="17.25" customHeight="1" x14ac:dyDescent="0.3"/>
    <row r="243" s="1" customFormat="1" ht="17.25" customHeight="1" x14ac:dyDescent="0.3"/>
    <row r="244" s="1" customFormat="1" ht="17.25" customHeight="1" x14ac:dyDescent="0.3"/>
    <row r="245" s="1" customFormat="1" ht="17.25" customHeight="1" x14ac:dyDescent="0.3"/>
    <row r="246" s="1" customFormat="1" ht="17.25" customHeight="1" x14ac:dyDescent="0.3"/>
    <row r="247" s="1" customFormat="1" ht="17.25" customHeight="1" x14ac:dyDescent="0.3"/>
    <row r="248" s="1" customFormat="1" ht="17.25" customHeight="1" x14ac:dyDescent="0.3"/>
    <row r="249" s="1" customFormat="1" ht="17.25" customHeight="1" x14ac:dyDescent="0.3"/>
    <row r="250" s="1" customFormat="1" ht="17.25" customHeight="1" x14ac:dyDescent="0.3"/>
    <row r="251" s="1" customFormat="1" ht="17.25" customHeight="1" x14ac:dyDescent="0.3"/>
    <row r="252" s="1" customFormat="1" ht="17.25" customHeight="1" x14ac:dyDescent="0.3"/>
    <row r="253" s="1" customFormat="1" ht="17.25" customHeight="1" x14ac:dyDescent="0.3"/>
    <row r="254" s="1" customFormat="1" ht="17.25" customHeight="1" x14ac:dyDescent="0.3"/>
    <row r="255" s="1" customFormat="1" ht="17.25" customHeight="1" x14ac:dyDescent="0.3"/>
    <row r="256" s="1" customFormat="1" ht="17.25" customHeight="1" x14ac:dyDescent="0.3"/>
    <row r="257" s="1" customFormat="1" ht="17.25" customHeight="1" x14ac:dyDescent="0.3"/>
    <row r="258" s="1" customFormat="1" ht="17.25" customHeight="1" x14ac:dyDescent="0.3"/>
    <row r="259" s="1" customFormat="1" ht="17.25" customHeight="1" x14ac:dyDescent="0.3"/>
    <row r="260" s="1" customFormat="1" ht="17.25" customHeight="1" x14ac:dyDescent="0.3"/>
    <row r="261" s="1" customFormat="1" ht="17.25" customHeight="1" x14ac:dyDescent="0.3"/>
    <row r="262" s="1" customFormat="1" ht="17.25" customHeight="1" x14ac:dyDescent="0.3"/>
    <row r="263" s="1" customFormat="1" ht="17.25" customHeight="1" x14ac:dyDescent="0.3"/>
    <row r="264" s="1" customFormat="1" ht="17.25" customHeight="1" x14ac:dyDescent="0.3"/>
    <row r="265" s="1" customFormat="1" ht="17.25" customHeight="1" x14ac:dyDescent="0.3"/>
    <row r="266" s="1" customFormat="1" ht="17.25" customHeight="1" x14ac:dyDescent="0.3"/>
    <row r="267" s="1" customFormat="1" ht="17.25" customHeight="1" x14ac:dyDescent="0.3"/>
    <row r="268" s="1" customFormat="1" ht="17.25" customHeight="1" x14ac:dyDescent="0.3"/>
    <row r="269" s="1" customFormat="1" ht="17.25" customHeight="1" x14ac:dyDescent="0.3"/>
    <row r="270" s="1" customFormat="1" ht="17.25" customHeight="1" x14ac:dyDescent="0.3"/>
    <row r="271" s="1" customFormat="1" ht="17.25" customHeight="1" x14ac:dyDescent="0.3"/>
    <row r="272" s="1" customFormat="1" ht="17.25" customHeight="1" x14ac:dyDescent="0.3"/>
    <row r="273" s="1" customFormat="1" ht="17.25" customHeight="1" x14ac:dyDescent="0.3"/>
    <row r="274" s="1" customFormat="1" ht="17.25" customHeight="1" x14ac:dyDescent="0.3"/>
    <row r="275" s="1" customFormat="1" ht="17.25" customHeight="1" x14ac:dyDescent="0.3"/>
    <row r="276" s="1" customFormat="1" ht="17.25" customHeight="1" x14ac:dyDescent="0.3"/>
    <row r="277" s="1" customFormat="1" ht="17.25" customHeight="1" x14ac:dyDescent="0.3"/>
    <row r="278" s="1" customFormat="1" ht="17.25" customHeight="1" x14ac:dyDescent="0.3"/>
    <row r="279" s="1" customFormat="1" ht="17.25" customHeight="1" x14ac:dyDescent="0.3"/>
    <row r="280" s="1" customFormat="1" ht="17.25" customHeight="1" x14ac:dyDescent="0.3"/>
    <row r="281" s="1" customFormat="1" ht="17.25" customHeight="1" x14ac:dyDescent="0.3"/>
    <row r="282" s="1" customFormat="1" ht="17.25" customHeight="1" x14ac:dyDescent="0.3"/>
    <row r="283" s="1" customFormat="1" ht="17.25" customHeight="1" x14ac:dyDescent="0.3"/>
    <row r="284" s="1" customFormat="1" ht="17.25" customHeight="1" x14ac:dyDescent="0.3"/>
    <row r="285" s="1" customFormat="1" ht="17.25" customHeight="1" x14ac:dyDescent="0.3"/>
    <row r="286" s="1" customFormat="1" ht="17.25" customHeight="1" x14ac:dyDescent="0.3"/>
    <row r="287" s="1" customFormat="1" ht="17.25" customHeight="1" x14ac:dyDescent="0.3"/>
    <row r="288" s="1" customFormat="1" ht="17.25" customHeight="1" x14ac:dyDescent="0.3"/>
    <row r="289" s="1" customFormat="1" ht="17.25" customHeight="1" x14ac:dyDescent="0.3"/>
    <row r="290" s="1" customFormat="1" ht="17.25" customHeight="1" x14ac:dyDescent="0.3"/>
    <row r="291" s="1" customFormat="1" ht="17.25" customHeight="1" x14ac:dyDescent="0.3"/>
    <row r="292" s="1" customFormat="1" ht="17.25" customHeight="1" x14ac:dyDescent="0.3"/>
    <row r="293" s="1" customFormat="1" ht="17.25" customHeight="1" x14ac:dyDescent="0.3"/>
    <row r="294" s="1" customFormat="1" ht="17.25" customHeight="1" x14ac:dyDescent="0.3"/>
    <row r="295" s="1" customFormat="1" ht="17.25" customHeight="1" x14ac:dyDescent="0.3"/>
    <row r="296" s="1" customFormat="1" ht="17.25" customHeight="1" x14ac:dyDescent="0.3"/>
    <row r="297" s="1" customFormat="1" ht="17.25" customHeight="1" x14ac:dyDescent="0.3"/>
    <row r="298" s="1" customFormat="1" ht="17.25" customHeight="1" x14ac:dyDescent="0.3"/>
    <row r="299" s="1" customFormat="1" ht="17.25" customHeight="1" x14ac:dyDescent="0.3"/>
    <row r="300" s="1" customFormat="1" ht="17.25" customHeight="1" x14ac:dyDescent="0.3"/>
    <row r="301" s="1" customFormat="1" ht="17.25" customHeight="1" x14ac:dyDescent="0.3"/>
    <row r="302" s="1" customFormat="1" ht="17.25" customHeight="1" x14ac:dyDescent="0.3"/>
    <row r="303" s="1" customFormat="1" ht="17.25" customHeight="1" x14ac:dyDescent="0.3"/>
    <row r="304" s="1" customFormat="1" ht="17.25" customHeight="1" x14ac:dyDescent="0.3"/>
    <row r="305" s="1" customFormat="1" ht="17.25" customHeight="1" x14ac:dyDescent="0.3"/>
    <row r="306" s="1" customFormat="1" ht="17.25" customHeight="1" x14ac:dyDescent="0.3"/>
    <row r="307" s="1" customFormat="1" ht="17.25" customHeight="1" x14ac:dyDescent="0.3"/>
    <row r="308" s="1" customFormat="1" ht="17.25" customHeight="1" x14ac:dyDescent="0.3"/>
    <row r="309" s="1" customFormat="1" ht="17.25" customHeight="1" x14ac:dyDescent="0.3"/>
    <row r="310" s="1" customFormat="1" ht="17.25" customHeight="1" x14ac:dyDescent="0.3"/>
    <row r="311" s="1" customFormat="1" ht="17.25" customHeight="1" x14ac:dyDescent="0.3"/>
    <row r="312" s="1" customFormat="1" ht="17.25" customHeight="1" x14ac:dyDescent="0.3"/>
    <row r="313" s="1" customFormat="1" ht="17.25" customHeight="1" x14ac:dyDescent="0.3"/>
    <row r="314" s="1" customFormat="1" ht="17.25" customHeight="1" x14ac:dyDescent="0.3"/>
    <row r="315" s="1" customFormat="1" ht="17.25" customHeight="1" x14ac:dyDescent="0.3"/>
    <row r="316" s="1" customFormat="1" ht="17.25" customHeight="1" x14ac:dyDescent="0.3"/>
    <row r="317" s="1" customFormat="1" ht="17.25" customHeight="1" x14ac:dyDescent="0.3"/>
    <row r="318" s="1" customFormat="1" ht="17.25" customHeight="1" x14ac:dyDescent="0.3"/>
    <row r="319" s="1" customFormat="1" ht="17.25" customHeight="1" x14ac:dyDescent="0.3"/>
    <row r="320" s="1" customFormat="1" ht="17.25" customHeight="1" x14ac:dyDescent="0.3"/>
    <row r="321" s="1" customFormat="1" ht="17.25" customHeight="1" x14ac:dyDescent="0.3"/>
    <row r="322" s="1" customFormat="1" ht="17.25" customHeight="1" x14ac:dyDescent="0.3"/>
    <row r="323" s="1" customFormat="1" ht="17.25" customHeight="1" x14ac:dyDescent="0.3"/>
    <row r="324" s="1" customFormat="1" ht="17.25" customHeight="1" x14ac:dyDescent="0.3"/>
    <row r="325" s="1" customFormat="1" ht="17.25" customHeight="1" x14ac:dyDescent="0.3"/>
    <row r="326" s="1" customFormat="1" ht="17.25" customHeight="1" x14ac:dyDescent="0.3"/>
    <row r="327" s="1" customFormat="1" ht="17.25" customHeight="1" x14ac:dyDescent="0.3"/>
    <row r="328" s="1" customFormat="1" ht="17.25" customHeight="1" x14ac:dyDescent="0.3"/>
    <row r="329" s="1" customFormat="1" ht="17.25" customHeight="1" x14ac:dyDescent="0.3"/>
    <row r="330" s="1" customFormat="1" ht="17.25" customHeight="1" x14ac:dyDescent="0.3"/>
    <row r="331" s="1" customFormat="1" ht="17.25" customHeight="1" x14ac:dyDescent="0.3"/>
    <row r="332" s="1" customFormat="1" ht="17.25" customHeight="1" x14ac:dyDescent="0.3"/>
    <row r="333" s="1" customFormat="1" ht="17.25" customHeight="1" x14ac:dyDescent="0.3"/>
    <row r="334" s="1" customFormat="1" ht="17.25" customHeight="1" x14ac:dyDescent="0.3"/>
    <row r="335" s="1" customFormat="1" ht="17.25" customHeight="1" x14ac:dyDescent="0.3"/>
    <row r="336" s="1" customFormat="1" ht="17.25" customHeight="1" x14ac:dyDescent="0.3"/>
    <row r="337" s="1" customFormat="1" ht="17.25" customHeight="1" x14ac:dyDescent="0.3"/>
    <row r="338" s="1" customFormat="1" ht="17.25" customHeight="1" x14ac:dyDescent="0.3"/>
    <row r="339" s="1" customFormat="1" ht="17.25" customHeight="1" x14ac:dyDescent="0.3"/>
    <row r="340" s="1" customFormat="1" ht="17.25" customHeight="1" x14ac:dyDescent="0.3"/>
    <row r="341" s="1" customFormat="1" ht="17.25" customHeight="1" x14ac:dyDescent="0.3"/>
    <row r="342" s="1" customFormat="1" ht="17.25" customHeight="1" x14ac:dyDescent="0.3"/>
    <row r="343" s="1" customFormat="1" ht="17.25" customHeight="1" x14ac:dyDescent="0.3"/>
    <row r="344" s="1" customFormat="1" ht="17.25" customHeight="1" x14ac:dyDescent="0.3"/>
    <row r="345" s="1" customFormat="1" ht="17.25" customHeight="1" x14ac:dyDescent="0.3"/>
    <row r="346" s="1" customFormat="1" ht="17.25" customHeight="1" x14ac:dyDescent="0.3"/>
    <row r="347" s="1" customFormat="1" ht="17.25" customHeight="1" x14ac:dyDescent="0.3"/>
    <row r="348" s="1" customFormat="1" ht="17.25" customHeight="1" x14ac:dyDescent="0.3"/>
    <row r="349" s="1" customFormat="1" ht="17.25" customHeight="1" x14ac:dyDescent="0.3"/>
    <row r="350" s="1" customFormat="1" ht="17.25" customHeight="1" x14ac:dyDescent="0.3"/>
    <row r="351" s="1" customFormat="1" ht="17.25" customHeight="1" x14ac:dyDescent="0.3"/>
    <row r="352" s="1" customFormat="1" ht="17.25" customHeight="1" x14ac:dyDescent="0.3"/>
    <row r="353" s="1" customFormat="1" ht="17.25" customHeight="1" x14ac:dyDescent="0.3"/>
    <row r="354" s="1" customFormat="1" ht="17.25" customHeight="1" x14ac:dyDescent="0.3"/>
    <row r="355" s="1" customFormat="1" ht="17.25" customHeight="1" x14ac:dyDescent="0.3"/>
    <row r="356" s="1" customFormat="1" ht="17.25" customHeight="1" x14ac:dyDescent="0.3"/>
    <row r="357" s="1" customFormat="1" ht="17.25" customHeight="1" x14ac:dyDescent="0.3"/>
    <row r="358" s="1" customFormat="1" ht="17.25" customHeight="1" x14ac:dyDescent="0.3"/>
    <row r="359" s="1" customFormat="1" ht="17.25" customHeight="1" x14ac:dyDescent="0.3"/>
    <row r="360" s="1" customFormat="1" ht="17.25" customHeight="1" x14ac:dyDescent="0.3"/>
    <row r="361" s="1" customFormat="1" ht="17.25" customHeight="1" x14ac:dyDescent="0.3"/>
    <row r="362" s="1" customFormat="1" ht="17.25" customHeight="1" x14ac:dyDescent="0.3"/>
    <row r="363" s="1" customFormat="1" ht="17.25" customHeight="1" x14ac:dyDescent="0.3"/>
    <row r="364" s="1" customFormat="1" ht="17.25" customHeight="1" x14ac:dyDescent="0.3"/>
    <row r="365" s="1" customFormat="1" ht="17.25" customHeight="1" x14ac:dyDescent="0.3"/>
    <row r="366" s="1" customFormat="1" ht="17.25" customHeight="1" x14ac:dyDescent="0.3"/>
    <row r="367" s="1" customFormat="1" ht="17.25" customHeight="1" x14ac:dyDescent="0.3"/>
    <row r="368" s="1" customFormat="1" ht="17.25" customHeight="1" x14ac:dyDescent="0.3"/>
    <row r="369" s="1" customFormat="1" ht="17.25" customHeight="1" x14ac:dyDescent="0.3"/>
    <row r="370" s="1" customFormat="1" ht="17.25" customHeight="1" x14ac:dyDescent="0.3"/>
    <row r="371" s="1" customFormat="1" ht="17.25" customHeight="1" x14ac:dyDescent="0.3"/>
    <row r="372" s="1" customFormat="1" ht="17.25" customHeight="1" x14ac:dyDescent="0.3"/>
    <row r="373" s="1" customFormat="1" ht="17.25" customHeight="1" x14ac:dyDescent="0.3"/>
    <row r="374" s="1" customFormat="1" ht="17.25" customHeight="1" x14ac:dyDescent="0.3"/>
    <row r="375" s="1" customFormat="1" ht="17.25" customHeight="1" x14ac:dyDescent="0.3"/>
    <row r="376" s="1" customFormat="1" ht="17.25" customHeight="1" x14ac:dyDescent="0.3"/>
    <row r="377" s="1" customFormat="1" ht="17.25" customHeight="1" x14ac:dyDescent="0.3"/>
    <row r="378" s="1" customFormat="1" ht="17.25" customHeight="1" x14ac:dyDescent="0.3"/>
    <row r="379" s="1" customFormat="1" ht="17.25" customHeight="1" x14ac:dyDescent="0.3"/>
    <row r="380" s="1" customFormat="1" ht="17.25" customHeight="1" x14ac:dyDescent="0.3"/>
    <row r="381" s="1" customFormat="1" ht="17.25" customHeight="1" x14ac:dyDescent="0.3"/>
    <row r="382" s="1" customFormat="1" ht="17.25" customHeight="1" x14ac:dyDescent="0.3"/>
    <row r="383" s="1" customFormat="1" ht="17.25" customHeight="1" x14ac:dyDescent="0.3"/>
    <row r="384" s="1" customFormat="1" ht="17.25" customHeight="1" x14ac:dyDescent="0.3"/>
    <row r="385" s="1" customFormat="1" ht="17.25" customHeight="1" x14ac:dyDescent="0.3"/>
    <row r="386" s="1" customFormat="1" ht="17.25" customHeight="1" x14ac:dyDescent="0.3"/>
    <row r="387" s="1" customFormat="1" ht="17.25" customHeight="1" x14ac:dyDescent="0.3"/>
    <row r="388" s="1" customFormat="1" ht="17.25" customHeight="1" x14ac:dyDescent="0.3"/>
    <row r="389" s="1" customFormat="1" ht="17.25" customHeight="1" x14ac:dyDescent="0.3"/>
    <row r="390" s="1" customFormat="1" ht="17.25" customHeight="1" x14ac:dyDescent="0.3"/>
    <row r="391" s="1" customFormat="1" ht="17.25" customHeight="1" x14ac:dyDescent="0.3"/>
    <row r="392" s="1" customFormat="1" ht="17.25" customHeight="1" x14ac:dyDescent="0.3"/>
    <row r="393" s="1" customFormat="1" ht="17.25" customHeight="1" x14ac:dyDescent="0.3"/>
    <row r="394" s="1" customFormat="1" ht="17.25" customHeight="1" x14ac:dyDescent="0.3"/>
    <row r="395" s="1" customFormat="1" ht="17.25" customHeight="1" x14ac:dyDescent="0.3"/>
    <row r="396" s="1" customFormat="1" ht="17.25" customHeight="1" x14ac:dyDescent="0.3"/>
    <row r="397" s="1" customFormat="1" ht="17.25" customHeight="1" x14ac:dyDescent="0.3"/>
    <row r="398" s="1" customFormat="1" ht="17.25" customHeight="1" x14ac:dyDescent="0.3"/>
    <row r="399" s="1" customFormat="1" ht="17.25" customHeight="1" x14ac:dyDescent="0.3"/>
    <row r="400" s="1" customFormat="1" ht="17.25" customHeight="1" x14ac:dyDescent="0.3"/>
    <row r="401" s="1" customFormat="1" ht="17.25" customHeight="1" x14ac:dyDescent="0.3"/>
    <row r="402" s="1" customFormat="1" ht="17.25" customHeight="1" x14ac:dyDescent="0.3"/>
    <row r="403" s="1" customFormat="1" ht="17.25" customHeight="1" x14ac:dyDescent="0.3"/>
    <row r="404" s="1" customFormat="1" ht="17.25" customHeight="1" x14ac:dyDescent="0.3"/>
    <row r="405" s="1" customFormat="1" ht="17.25" customHeight="1" x14ac:dyDescent="0.3"/>
    <row r="406" s="1" customFormat="1" ht="17.25" customHeight="1" x14ac:dyDescent="0.3"/>
    <row r="407" s="1" customFormat="1" ht="17.25" customHeight="1" x14ac:dyDescent="0.3"/>
    <row r="408" s="1" customFormat="1" ht="17.25" customHeight="1" x14ac:dyDescent="0.3"/>
    <row r="409" s="1" customFormat="1" ht="17.25" customHeight="1" x14ac:dyDescent="0.3"/>
    <row r="410" s="1" customFormat="1" ht="17.25" customHeight="1" x14ac:dyDescent="0.3"/>
    <row r="411" s="1" customFormat="1" ht="17.25" customHeight="1" x14ac:dyDescent="0.3"/>
    <row r="412" s="1" customFormat="1" ht="17.25" customHeight="1" x14ac:dyDescent="0.3"/>
    <row r="413" s="1" customFormat="1" ht="17.25" customHeight="1" x14ac:dyDescent="0.3"/>
    <row r="414" s="1" customFormat="1" ht="17.25" customHeight="1" x14ac:dyDescent="0.3"/>
    <row r="415" s="1" customFormat="1" ht="17.25" customHeight="1" x14ac:dyDescent="0.3"/>
    <row r="416" s="1" customFormat="1" ht="17.25" customHeight="1" x14ac:dyDescent="0.3"/>
    <row r="417" s="1" customFormat="1" ht="17.25" customHeight="1" x14ac:dyDescent="0.3"/>
    <row r="418" s="1" customFormat="1" ht="17.25" customHeight="1" x14ac:dyDescent="0.3"/>
    <row r="419" s="1" customFormat="1" ht="17.25" customHeight="1" x14ac:dyDescent="0.3"/>
    <row r="420" s="1" customFormat="1" ht="17.25" customHeight="1" x14ac:dyDescent="0.3"/>
    <row r="421" s="1" customFormat="1" ht="17.25" customHeight="1" x14ac:dyDescent="0.3"/>
    <row r="422" s="1" customFormat="1" ht="17.25" customHeight="1" x14ac:dyDescent="0.3"/>
    <row r="423" s="1" customFormat="1" ht="17.25" customHeight="1" x14ac:dyDescent="0.3"/>
    <row r="424" s="1" customFormat="1" ht="17.25" customHeight="1" x14ac:dyDescent="0.3"/>
    <row r="425" s="1" customFormat="1" ht="17.25" customHeight="1" x14ac:dyDescent="0.3"/>
    <row r="426" s="1" customFormat="1" ht="17.25" customHeight="1" x14ac:dyDescent="0.3"/>
    <row r="427" s="1" customFormat="1" ht="17.25" customHeight="1" x14ac:dyDescent="0.3"/>
    <row r="428" s="1" customFormat="1" ht="17.25" customHeight="1" x14ac:dyDescent="0.3"/>
    <row r="429" s="1" customFormat="1" ht="17.25" customHeight="1" x14ac:dyDescent="0.3"/>
    <row r="430" s="1" customFormat="1" ht="17.25" customHeight="1" x14ac:dyDescent="0.3"/>
    <row r="431" s="1" customFormat="1" ht="17.25" customHeight="1" x14ac:dyDescent="0.3"/>
    <row r="432" s="1" customFormat="1" ht="17.25" customHeight="1" x14ac:dyDescent="0.3"/>
    <row r="433" s="1" customFormat="1" ht="17.25" customHeight="1" x14ac:dyDescent="0.3"/>
    <row r="434" s="1" customFormat="1" ht="17.25" customHeight="1" x14ac:dyDescent="0.3"/>
    <row r="435" s="1" customFormat="1" ht="17.25" customHeight="1" x14ac:dyDescent="0.3"/>
    <row r="436" s="1" customFormat="1" ht="17.25" customHeight="1" x14ac:dyDescent="0.3"/>
    <row r="437" s="1" customFormat="1" ht="17.25" customHeight="1" x14ac:dyDescent="0.3"/>
    <row r="438" s="1" customFormat="1" ht="17.25" customHeight="1" x14ac:dyDescent="0.3"/>
    <row r="439" s="1" customFormat="1" ht="17.25" customHeight="1" x14ac:dyDescent="0.3"/>
    <row r="440" s="1" customFormat="1" ht="17.25" customHeight="1" x14ac:dyDescent="0.3"/>
    <row r="441" s="1" customFormat="1" ht="17.25" customHeight="1" x14ac:dyDescent="0.3"/>
    <row r="442" s="1" customFormat="1" ht="17.25" customHeight="1" x14ac:dyDescent="0.3"/>
    <row r="443" s="1" customFormat="1" ht="17.25" customHeight="1" x14ac:dyDescent="0.3"/>
    <row r="444" s="1" customFormat="1" ht="17.25" customHeight="1" x14ac:dyDescent="0.3"/>
    <row r="445" s="1" customFormat="1" ht="17.25" customHeight="1" x14ac:dyDescent="0.3"/>
    <row r="446" s="1" customFormat="1" ht="17.25" customHeight="1" x14ac:dyDescent="0.3"/>
    <row r="447" s="1" customFormat="1" ht="17.25" customHeight="1" x14ac:dyDescent="0.3"/>
    <row r="448" s="1" customFormat="1" ht="17.25" customHeight="1" x14ac:dyDescent="0.3"/>
    <row r="449" s="1" customFormat="1" ht="17.25" customHeight="1" x14ac:dyDescent="0.3"/>
    <row r="450" s="1" customFormat="1" ht="17.25" customHeight="1" x14ac:dyDescent="0.3"/>
    <row r="451" s="1" customFormat="1" ht="17.25" customHeight="1" x14ac:dyDescent="0.3"/>
    <row r="452" s="1" customFormat="1" ht="17.25" customHeight="1" x14ac:dyDescent="0.3"/>
    <row r="453" s="1" customFormat="1" ht="17.25" customHeight="1" x14ac:dyDescent="0.3"/>
    <row r="454" s="1" customFormat="1" ht="17.25" customHeight="1" x14ac:dyDescent="0.3"/>
    <row r="455" s="1" customFormat="1" ht="17.25" customHeight="1" x14ac:dyDescent="0.3"/>
    <row r="456" s="1" customFormat="1" ht="17.25" customHeight="1" x14ac:dyDescent="0.3"/>
    <row r="457" s="1" customFormat="1" ht="17.25" customHeight="1" x14ac:dyDescent="0.3"/>
    <row r="458" s="1" customFormat="1" ht="17.25" customHeight="1" x14ac:dyDescent="0.3"/>
    <row r="459" s="1" customFormat="1" ht="17.25" customHeight="1" x14ac:dyDescent="0.3"/>
    <row r="460" s="1" customFormat="1" ht="17.25" customHeight="1" x14ac:dyDescent="0.3"/>
    <row r="461" s="1" customFormat="1" ht="17.25" customHeight="1" x14ac:dyDescent="0.3"/>
    <row r="462" s="1" customFormat="1" ht="17.25" customHeight="1" x14ac:dyDescent="0.3"/>
    <row r="463" s="1" customFormat="1" ht="17.25" customHeight="1" x14ac:dyDescent="0.3"/>
    <row r="464" s="1" customFormat="1" ht="17.25" customHeight="1" x14ac:dyDescent="0.3"/>
    <row r="465" s="1" customFormat="1" ht="17.25" customHeight="1" x14ac:dyDescent="0.3"/>
    <row r="466" s="1" customFormat="1" ht="17.25" customHeight="1" x14ac:dyDescent="0.3"/>
    <row r="467" s="1" customFormat="1" ht="17.25" customHeight="1" x14ac:dyDescent="0.3"/>
    <row r="468" s="1" customFormat="1" ht="17.25" customHeight="1" x14ac:dyDescent="0.3"/>
    <row r="469" s="1" customFormat="1" ht="17.25" customHeight="1" x14ac:dyDescent="0.3"/>
    <row r="470" s="1" customFormat="1" ht="17.25" customHeight="1" x14ac:dyDescent="0.3"/>
    <row r="471" s="1" customFormat="1" ht="17.25" customHeight="1" x14ac:dyDescent="0.3"/>
    <row r="472" s="1" customFormat="1" ht="17.25" customHeight="1" x14ac:dyDescent="0.3"/>
    <row r="473" s="1" customFormat="1" ht="17.25" customHeight="1" x14ac:dyDescent="0.3"/>
    <row r="474" s="1" customFormat="1" ht="17.25" customHeight="1" x14ac:dyDescent="0.3"/>
    <row r="475" s="1" customFormat="1" ht="17.25" customHeight="1" x14ac:dyDescent="0.3"/>
    <row r="476" s="1" customFormat="1" ht="17.25" customHeight="1" x14ac:dyDescent="0.3"/>
    <row r="477" s="1" customFormat="1" ht="17.25" customHeight="1" x14ac:dyDescent="0.3"/>
    <row r="478" s="1" customFormat="1" ht="17.25" customHeight="1" x14ac:dyDescent="0.3"/>
    <row r="479" s="1" customFormat="1" ht="17.25" customHeight="1" x14ac:dyDescent="0.3"/>
    <row r="480" s="1" customFormat="1" ht="17.25" customHeight="1" x14ac:dyDescent="0.3"/>
    <row r="481" s="1" customFormat="1" ht="17.25" customHeight="1" x14ac:dyDescent="0.3"/>
    <row r="482" s="1" customFormat="1" ht="17.25" customHeight="1" x14ac:dyDescent="0.3"/>
    <row r="483" s="1" customFormat="1" ht="17.25" customHeight="1" x14ac:dyDescent="0.3"/>
    <row r="484" s="1" customFormat="1" ht="17.25" customHeight="1" x14ac:dyDescent="0.3"/>
    <row r="485" s="1" customFormat="1" ht="17.25" customHeight="1" x14ac:dyDescent="0.3"/>
    <row r="486" s="1" customFormat="1" ht="17.25" customHeight="1" x14ac:dyDescent="0.3"/>
    <row r="487" s="1" customFormat="1" ht="17.25" customHeight="1" x14ac:dyDescent="0.3"/>
    <row r="488" s="1" customFormat="1" ht="17.25" customHeight="1" x14ac:dyDescent="0.3"/>
    <row r="489" s="1" customFormat="1" ht="17.25" customHeight="1" x14ac:dyDescent="0.3"/>
    <row r="490" s="1" customFormat="1" ht="17.25" customHeight="1" x14ac:dyDescent="0.3"/>
    <row r="491" s="1" customFormat="1" ht="17.25" customHeight="1" x14ac:dyDescent="0.3"/>
    <row r="492" s="1" customFormat="1" ht="17.25" customHeight="1" x14ac:dyDescent="0.3"/>
    <row r="493" s="1" customFormat="1" ht="17.25" customHeight="1" x14ac:dyDescent="0.3"/>
    <row r="494" s="1" customFormat="1" ht="17.25" customHeight="1" x14ac:dyDescent="0.3"/>
    <row r="495" s="1" customFormat="1" ht="17.25" customHeight="1" x14ac:dyDescent="0.3"/>
    <row r="496" s="1" customFormat="1" ht="17.25" customHeight="1" x14ac:dyDescent="0.3"/>
    <row r="497" s="1" customFormat="1" ht="17.25" customHeight="1" x14ac:dyDescent="0.3"/>
    <row r="498" s="1" customFormat="1" ht="17.25" customHeight="1" x14ac:dyDescent="0.3"/>
    <row r="499" s="1" customFormat="1" ht="17.25" customHeight="1" x14ac:dyDescent="0.3"/>
    <row r="500" s="1" customFormat="1" ht="17.25" customHeight="1" x14ac:dyDescent="0.3"/>
    <row r="501" s="1" customFormat="1" ht="17.25" customHeight="1" x14ac:dyDescent="0.3"/>
    <row r="502" s="1" customFormat="1" ht="17.25" customHeight="1" x14ac:dyDescent="0.3"/>
  </sheetData>
  <pageMargins left="0.7" right="0.7" top="0.75" bottom="0.75" header="0.3" footer="0.3"/>
  <pageSetup scale="96" fitToHeight="0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ACE6DA94-4A04-4E40-B175-D4D1DA24C6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Dashboard</vt:lpstr>
      <vt:lpstr>Employee Leave Tracker</vt:lpstr>
      <vt:lpstr>Settings</vt:lpstr>
      <vt:lpstr>calendar_grid</vt:lpstr>
      <vt:lpstr>lstEDates</vt:lpstr>
      <vt:lpstr>lstEmployees</vt:lpstr>
      <vt:lpstr>lstEmpNames</vt:lpstr>
      <vt:lpstr>lstHolidays</vt:lpstr>
      <vt:lpstr>lstHolidayTypes</vt:lpstr>
      <vt:lpstr>lstHTypes</vt:lpstr>
      <vt:lpstr>lstSdates</vt:lpstr>
      <vt:lpstr>valSelEmployee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attendance tracker</dc:title>
  <dc:creator>Jamshaid Ali</dc:creator>
  <cp:lastModifiedBy>WILSON WIYATNO</cp:lastModifiedBy>
  <dcterms:created xsi:type="dcterms:W3CDTF">2015-10-30T13:07:18Z</dcterms:created>
  <dcterms:modified xsi:type="dcterms:W3CDTF">2024-07-30T02:11:00Z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TC027802359991</vt:lpwstr>
  </property>
</Properties>
</file>