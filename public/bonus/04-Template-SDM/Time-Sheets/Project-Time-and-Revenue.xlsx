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Virus Media Localize\ProFinance Premium\Time Sheets\"/>
    </mc:Choice>
  </mc:AlternateContent>
  <xr:revisionPtr revIDLastSave="0" documentId="13_ncr:1_{2E4BF19C-BFF8-48E8-BAD2-92074B51DD88}" xr6:coauthVersionLast="45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shboard" sheetId="2" r:id="rId1"/>
    <sheet name="Time 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1" i="1" l="1"/>
  <c r="G34" i="2" s="1"/>
  <c r="H21" i="1"/>
  <c r="G33" i="2" s="1"/>
  <c r="J19" i="1"/>
  <c r="J18" i="1"/>
  <c r="J17" i="1"/>
  <c r="J16" i="1"/>
  <c r="C15" i="1" l="1"/>
  <c r="C21" i="1" l="1"/>
  <c r="G28" i="2" s="1"/>
  <c r="G8" i="2" a="1"/>
  <c r="G12" i="2" s="1"/>
  <c r="F8" i="2" a="1"/>
  <c r="F10" i="2" s="1"/>
  <c r="G21" i="1"/>
  <c r="G32" i="2" s="1"/>
  <c r="F21" i="1"/>
  <c r="G31" i="2" s="1"/>
  <c r="E21" i="1"/>
  <c r="G30" i="2" s="1"/>
  <c r="D21" i="1"/>
  <c r="G29" i="2" s="1"/>
  <c r="D15" i="1"/>
  <c r="E15" i="1" s="1"/>
  <c r="C14" i="1"/>
  <c r="F28" i="2" s="1"/>
  <c r="D14" i="1" l="1"/>
  <c r="F29" i="2" s="1"/>
  <c r="J21" i="1"/>
  <c r="I25" i="1" s="1"/>
  <c r="F15" i="1"/>
  <c r="E14" i="1"/>
  <c r="F30" i="2" s="1"/>
  <c r="F8" i="2"/>
  <c r="G9" i="2"/>
  <c r="G10" i="2"/>
  <c r="F9" i="2"/>
  <c r="G11" i="2"/>
  <c r="F11" i="2"/>
  <c r="F12" i="2"/>
  <c r="G8" i="2"/>
  <c r="G15" i="1" l="1"/>
  <c r="H15" i="1" s="1"/>
  <c r="F14" i="1"/>
  <c r="F31" i="2" s="1"/>
  <c r="H14" i="1" l="1"/>
  <c r="F33" i="2" s="1"/>
  <c r="I15" i="1"/>
  <c r="G14" i="1"/>
  <c r="F32" i="2" s="1"/>
  <c r="H11" i="1" l="1"/>
  <c r="I14" i="1"/>
  <c r="F34" i="2" s="1"/>
</calcChain>
</file>

<file path=xl/sharedStrings.xml><?xml version="1.0" encoding="utf-8"?>
<sst xmlns="http://schemas.openxmlformats.org/spreadsheetml/2006/main" count="17" uniqueCount="17">
  <si>
    <t>Time Sheet</t>
  </si>
  <si>
    <t>Project A</t>
  </si>
  <si>
    <t>Project B</t>
  </si>
  <si>
    <t>Project C</t>
  </si>
  <si>
    <t>Project D</t>
  </si>
  <si>
    <t>Utilization</t>
  </si>
  <si>
    <t xml:space="preserve">TOTAL </t>
  </si>
  <si>
    <t>Nama</t>
  </si>
  <si>
    <t>Nama Karyawan</t>
  </si>
  <si>
    <t>Tanggal Mulai Minggu</t>
  </si>
  <si>
    <t>Dikirim pada</t>
  </si>
  <si>
    <t>Total</t>
  </si>
  <si>
    <t>Total Jam</t>
  </si>
  <si>
    <t>Tarif penagihan (per jam)</t>
  </si>
  <si>
    <t>Lihat perincian minggu Anda berdasarkan proyek atau hari.
Semua yang ada di tab ini akan diperbarui secara otomatis berdasarkan data di tab 'Time Sheet'.</t>
  </si>
  <si>
    <t>Berdasarkan Proyek</t>
  </si>
  <si>
    <t>Per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</si>
</sst>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mmm&quot; &quot;d"/>
    <numFmt numFmtId="165" formatCode="&quot;$&quot;#,##0.00"/>
    <numFmt numFmtId="166" formatCode="&quot;$&quot;#,##0"/>
    <numFmt numFmtId="167" formatCode="[$IDR]\ #,##0.00"/>
  </numFmts>
  <fonts count="33">
    <font>
      <sz val="10"/>
      <color rgb="FF000000"/>
      <name val="Arial"/>
    </font>
    <font>
      <sz val="10"/>
      <name val="Roboto"/>
    </font>
    <font>
      <sz val="10"/>
      <name val="Roboto"/>
    </font>
    <font>
      <sz val="10"/>
      <color rgb="FF6D64E8"/>
      <name val="Roboto"/>
    </font>
    <font>
      <sz val="20"/>
      <color rgb="FF6D64E8"/>
      <name val="Roboto"/>
    </font>
    <font>
      <sz val="10"/>
      <color rgb="FF6D64E8"/>
      <name val="Roboto"/>
    </font>
    <font>
      <sz val="10"/>
      <color rgb="FF666666"/>
      <name val="Roboto"/>
    </font>
    <font>
      <sz val="10"/>
      <color rgb="FF666666"/>
      <name val="Roboto"/>
    </font>
    <font>
      <b/>
      <sz val="34"/>
      <color rgb="FF283592"/>
      <name val="Roboto"/>
    </font>
    <font>
      <sz val="34"/>
      <color rgb="FF283592"/>
      <name val="Roboto"/>
    </font>
    <font>
      <sz val="13"/>
      <color rgb="FF434343"/>
      <name val="Roboto"/>
    </font>
    <font>
      <b/>
      <sz val="12"/>
      <color rgb="FF434343"/>
      <name val="Roboto"/>
    </font>
    <font>
      <sz val="10"/>
      <color rgb="FF000000"/>
      <name val="Roboto"/>
    </font>
    <font>
      <sz val="10"/>
      <color rgb="FFB7B7B7"/>
      <name val="Roboto"/>
    </font>
    <font>
      <sz val="10"/>
      <color rgb="FF2A3990"/>
      <name val="Roboto"/>
    </font>
    <font>
      <sz val="14"/>
      <color rgb="FF2A3990"/>
      <name val="Roboto"/>
    </font>
    <font>
      <b/>
      <sz val="12"/>
      <color rgb="FF2A3990"/>
      <name val="Roboto"/>
    </font>
    <font>
      <b/>
      <sz val="10"/>
      <color rgb="FF666666"/>
      <name val="Roboto"/>
    </font>
    <font>
      <b/>
      <sz val="10"/>
      <color rgb="FF666666"/>
      <name val="Roboto"/>
    </font>
    <font>
      <sz val="10"/>
      <color rgb="FF2A3990"/>
      <name val="Roboto"/>
    </font>
    <font>
      <b/>
      <sz val="10"/>
      <color rgb="FF2A3990"/>
      <name val="Roboto"/>
    </font>
    <font>
      <sz val="16"/>
      <color rgb="FFEB3F79"/>
      <name val="Roboto"/>
    </font>
    <font>
      <b/>
      <sz val="26"/>
      <color rgb="FF283592"/>
      <name val="Roboto"/>
    </font>
    <font>
      <sz val="10"/>
      <name val="Arial"/>
      <family val="2"/>
    </font>
    <font>
      <i/>
      <sz val="10"/>
      <color rgb="FF999999"/>
      <name val="Roboto"/>
    </font>
    <font>
      <sz val="14"/>
      <color rgb="FF283592"/>
      <name val="Roboto"/>
    </font>
    <font>
      <sz val="10"/>
      <color rgb="FF434343"/>
      <name val="Roboto"/>
    </font>
    <font>
      <b/>
      <sz val="10"/>
      <color rgb="FF434343"/>
      <name val="Roboto"/>
    </font>
    <font>
      <sz val="10"/>
      <color rgb="FF000000"/>
      <name val="Arial"/>
      <family val="2"/>
    </font>
    <font>
      <b/>
      <sz val="20"/>
      <color rgb="FFFF3399"/>
      <name val="Roboto"/>
    </font>
    <font>
      <sz val="11"/>
      <color rgb="FF666666"/>
      <name val="Roboto"/>
    </font>
    <font>
      <sz val="11"/>
      <color rgb="FF000000"/>
      <name val="Arial"/>
      <family val="2"/>
    </font>
    <font>
      <b/>
      <sz val="11"/>
      <color rgb="FF666666"/>
      <name val="Roboto"/>
    </font>
  </fonts>
  <fills count="3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CCCCCC"/>
      </bottom>
      <diagonal/>
    </border>
    <border>
      <left/>
      <right/>
      <top style="thin">
        <color rgb="FFFFFFFF"/>
      </top>
      <bottom style="thin">
        <color rgb="FFCCCCCC"/>
      </bottom>
      <diagonal/>
    </border>
    <border>
      <left/>
      <right style="thin">
        <color rgb="FFFFFFFF"/>
      </right>
      <top style="thin">
        <color rgb="FFFFFFFF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3399"/>
      </top>
      <bottom style="double">
        <color rgb="FFFF3399"/>
      </bottom>
      <diagonal/>
    </border>
  </borders>
  <cellStyleXfs count="2">
    <xf numFmtId="0" fontId="0" fillId="0" borderId="0"/>
    <xf numFmtId="44" fontId="28" fillId="0" borderId="0" applyFont="0" applyFill="0" applyBorder="0" applyAlignment="0" applyProtection="0"/>
  </cellStyleXfs>
  <cellXfs count="115">
    <xf numFmtId="0" fontId="0" fillId="0" borderId="0" xfId="0" applyFont="1" applyAlignment="1"/>
    <xf numFmtId="0" fontId="1" fillId="2" borderId="0" xfId="0" applyFont="1" applyFill="1" applyAlignment="1"/>
    <xf numFmtId="14" fontId="1" fillId="2" borderId="0" xfId="0" applyNumberFormat="1" applyFont="1" applyFill="1" applyAlignme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/>
    <xf numFmtId="14" fontId="1" fillId="0" borderId="0" xfId="0" applyNumberFormat="1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/>
    <xf numFmtId="0" fontId="10" fillId="0" borderId="0" xfId="0" applyFont="1" applyAlignment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1" xfId="0" applyFont="1" applyBorder="1" applyAlignment="1"/>
    <xf numFmtId="0" fontId="6" fillId="0" borderId="1" xfId="0" applyFont="1" applyBorder="1" applyAlignme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164" fontId="14" fillId="0" borderId="0" xfId="0" applyNumberFormat="1" applyFont="1" applyAlignment="1">
      <alignment horizontal="right" vertical="top"/>
    </xf>
    <xf numFmtId="164" fontId="15" fillId="0" borderId="0" xfId="0" applyNumberFormat="1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2" fontId="18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19" fillId="0" borderId="0" xfId="0" applyFont="1" applyAlignment="1"/>
    <xf numFmtId="0" fontId="20" fillId="0" borderId="2" xfId="0" applyFont="1" applyBorder="1" applyAlignment="1"/>
    <xf numFmtId="2" fontId="19" fillId="0" borderId="2" xfId="0" applyNumberFormat="1" applyFont="1" applyBorder="1" applyAlignment="1">
      <alignment horizontal="right"/>
    </xf>
    <xf numFmtId="2" fontId="20" fillId="0" borderId="2" xfId="0" applyNumberFormat="1" applyFont="1" applyBorder="1" applyAlignment="1">
      <alignment horizontal="right"/>
    </xf>
    <xf numFmtId="0" fontId="1" fillId="0" borderId="0" xfId="0" applyFont="1" applyAlignme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3" xfId="0" applyFont="1" applyBorder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/>
    <xf numFmtId="0" fontId="9" fillId="0" borderId="3" xfId="0" applyFont="1" applyBorder="1" applyAlignment="1"/>
    <xf numFmtId="0" fontId="25" fillId="0" borderId="3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6" fillId="0" borderId="3" xfId="0" applyFont="1" applyBorder="1"/>
    <xf numFmtId="0" fontId="27" fillId="0" borderId="3" xfId="0" applyFont="1" applyBorder="1" applyAlignment="1">
      <alignment horizontal="left" vertical="center"/>
    </xf>
    <xf numFmtId="0" fontId="26" fillId="0" borderId="0" xfId="0" applyFont="1"/>
    <xf numFmtId="2" fontId="26" fillId="0" borderId="3" xfId="0" applyNumberFormat="1" applyFont="1" applyBorder="1" applyAlignment="1">
      <alignment horizontal="left" vertical="center"/>
    </xf>
    <xf numFmtId="0" fontId="26" fillId="0" borderId="3" xfId="0" applyFont="1" applyBorder="1" applyAlignment="1">
      <alignment horizontal="left"/>
    </xf>
    <xf numFmtId="0" fontId="27" fillId="0" borderId="3" xfId="0" applyFont="1" applyBorder="1"/>
    <xf numFmtId="0" fontId="26" fillId="0" borderId="3" xfId="0" applyFont="1" applyBorder="1" applyAlignment="1">
      <alignment horizontal="left" vertical="center"/>
    </xf>
    <xf numFmtId="0" fontId="27" fillId="0" borderId="0" xfId="0" applyFont="1"/>
    <xf numFmtId="14" fontId="26" fillId="0" borderId="3" xfId="0" applyNumberFormat="1" applyFont="1" applyBorder="1" applyAlignment="1"/>
    <xf numFmtId="166" fontId="26" fillId="0" borderId="3" xfId="0" applyNumberFormat="1" applyFont="1" applyBorder="1" applyAlignment="1"/>
    <xf numFmtId="0" fontId="26" fillId="0" borderId="10" xfId="0" applyFont="1" applyBorder="1"/>
    <xf numFmtId="0" fontId="26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left"/>
    </xf>
    <xf numFmtId="0" fontId="26" fillId="0" borderId="10" xfId="0" applyFont="1" applyBorder="1" applyAlignment="1">
      <alignment horizontal="left"/>
    </xf>
    <xf numFmtId="0" fontId="27" fillId="0" borderId="3" xfId="0" applyFont="1" applyBorder="1" applyAlignment="1">
      <alignment horizontal="left"/>
    </xf>
    <xf numFmtId="2" fontId="26" fillId="0" borderId="3" xfId="0" applyNumberFormat="1" applyFont="1" applyBorder="1" applyAlignment="1">
      <alignment horizontal="left"/>
    </xf>
    <xf numFmtId="2" fontId="6" fillId="0" borderId="0" xfId="0" applyNumberFormat="1" applyFont="1" applyAlignment="1">
      <alignment horizontal="right"/>
    </xf>
    <xf numFmtId="0" fontId="0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20" fillId="0" borderId="0" xfId="0" applyFont="1" applyBorder="1" applyAlignment="1"/>
    <xf numFmtId="2" fontId="19" fillId="0" borderId="0" xfId="0" applyNumberFormat="1" applyFont="1" applyBorder="1" applyAlignment="1">
      <alignment horizontal="right"/>
    </xf>
    <xf numFmtId="2" fontId="20" fillId="0" borderId="0" xfId="0" applyNumberFormat="1" applyFont="1" applyBorder="1" applyAlignment="1">
      <alignment horizontal="right"/>
    </xf>
    <xf numFmtId="0" fontId="31" fillId="0" borderId="0" xfId="0" applyFont="1" applyAlignment="1">
      <alignment vertical="center"/>
    </xf>
    <xf numFmtId="0" fontId="22" fillId="0" borderId="4" xfId="0" applyFont="1" applyBorder="1" applyAlignment="1"/>
    <xf numFmtId="0" fontId="23" fillId="0" borderId="5" xfId="0" applyFont="1" applyBorder="1"/>
    <xf numFmtId="0" fontId="24" fillId="0" borderId="4" xfId="0" applyFont="1" applyBorder="1" applyAlignment="1">
      <alignment horizontal="right" vertical="center" wrapText="1"/>
    </xf>
    <xf numFmtId="0" fontId="23" fillId="0" borderId="6" xfId="0" applyFont="1" applyBorder="1"/>
    <xf numFmtId="0" fontId="4" fillId="0" borderId="0" xfId="0" applyFont="1" applyAlignment="1"/>
    <xf numFmtId="0" fontId="0" fillId="0" borderId="0" xfId="0" applyFont="1" applyAlignment="1"/>
    <xf numFmtId="0" fontId="8" fillId="0" borderId="0" xfId="0" applyFont="1" applyAlignment="1"/>
    <xf numFmtId="14" fontId="6" fillId="0" borderId="0" xfId="0" applyNumberFormat="1" applyFont="1" applyAlignment="1">
      <alignment horizontal="center" vertical="center"/>
    </xf>
    <xf numFmtId="165" fontId="29" fillId="0" borderId="11" xfId="0" applyNumberFormat="1" applyFont="1" applyBorder="1" applyAlignment="1">
      <alignment horizontal="right" vertical="center"/>
    </xf>
    <xf numFmtId="2" fontId="30" fillId="0" borderId="0" xfId="0" applyNumberFormat="1" applyFont="1" applyAlignment="1">
      <alignment horizontal="right" vertical="center"/>
    </xf>
    <xf numFmtId="0" fontId="31" fillId="0" borderId="0" xfId="0" applyFont="1" applyAlignment="1">
      <alignment vertical="center"/>
    </xf>
    <xf numFmtId="0" fontId="6" fillId="0" borderId="0" xfId="0" applyFont="1" applyAlignment="1"/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67" fontId="31" fillId="0" borderId="0" xfId="0" applyNumberFormat="1" applyFont="1" applyAlignment="1">
      <alignment vertical="center"/>
    </xf>
    <xf numFmtId="167" fontId="32" fillId="0" borderId="0" xfId="1" applyNumberFormat="1" applyFont="1" applyAlignment="1">
      <alignment horizontal="right" vertical="center"/>
    </xf>
    <xf numFmtId="167" fontId="0" fillId="0" borderId="0" xfId="0" applyNumberFormat="1" applyFont="1" applyAlignment="1"/>
    <xf numFmtId="167" fontId="18" fillId="0" borderId="0" xfId="1" applyNumberFormat="1" applyFont="1" applyAlignment="1">
      <alignment horizontal="right"/>
    </xf>
    <xf numFmtId="167" fontId="29" fillId="0" borderId="11" xfId="0" applyNumberFormat="1" applyFont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numFmt numFmtId="2" formatCode="0.00"/>
      <alignment horizontal="right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Time sheet-style" pivot="0" count="2" xr9:uid="{00000000-0011-0000-FFFF-FFFF00000000}">
      <tableStyleElement type="firstRowStripe" dxfId="3"/>
      <tableStyleElement type="secondRowStripe" dxfId="2"/>
    </tableStyle>
  </tableStyles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6.7309999999999995E-2"/>
          <c:y val="0.19266"/>
          <c:w val="0.85769000000000006"/>
          <c:h val="0.66971999999999987"/>
        </c:manualLayout>
      </c:layout>
      <c:barChart>
        <c:barDir val="bar"/>
        <c:grouping val="stacked"/>
        <c:varyColors val="1"/>
        <c:ser>
          <c:idx val="0"/>
          <c:order val="0"/>
          <c:tx>
            <c:strRef>
              <c:f>Dashboard!$F$8</c:f>
              <c:strCache>
                <c:ptCount val="1"/>
                <c:pt idx="0">
                  <c:v>Project A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Dashboard!$G$8</c:f>
              <c:numCache>
                <c:formatCode>0.00</c:formatCode>
                <c:ptCount val="1"/>
                <c:pt idx="0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88-49DE-A97A-39970AC7746E}"/>
            </c:ext>
          </c:extLst>
        </c:ser>
        <c:ser>
          <c:idx val="1"/>
          <c:order val="1"/>
          <c:tx>
            <c:strRef>
              <c:f>Dashboard!$F$9</c:f>
              <c:strCache>
                <c:ptCount val="1"/>
                <c:pt idx="0">
                  <c:v>Project B</c:v>
                </c:pt>
              </c:strCache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Dashboard!$G$9</c:f>
              <c:numCache>
                <c:formatCode>0.00</c:formatCode>
                <c:ptCount val="1"/>
                <c:pt idx="0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88-49DE-A97A-39970AC7746E}"/>
            </c:ext>
          </c:extLst>
        </c:ser>
        <c:ser>
          <c:idx val="2"/>
          <c:order val="2"/>
          <c:tx>
            <c:strRef>
              <c:f>Dashboard!$F$10</c:f>
              <c:strCache>
                <c:ptCount val="1"/>
                <c:pt idx="0">
                  <c:v>Project C</c:v>
                </c:pt>
              </c:strCache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Dashboard!$G$10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E88-49DE-A97A-39970AC7746E}"/>
            </c:ext>
          </c:extLst>
        </c:ser>
        <c:ser>
          <c:idx val="3"/>
          <c:order val="3"/>
          <c:tx>
            <c:strRef>
              <c:f>Dashboard!$F$11</c:f>
              <c:strCache>
                <c:ptCount val="1"/>
                <c:pt idx="0">
                  <c:v>Project D</c:v>
                </c:pt>
              </c:strCache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Dashboard!$G$11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E88-49DE-A97A-39970AC7746E}"/>
            </c:ext>
          </c:extLst>
        </c:ser>
        <c:ser>
          <c:idx val="4"/>
          <c:order val="4"/>
          <c:tx>
            <c:strRef>
              <c:f>Dashboard!$F$12</c:f>
              <c:strCache>
                <c:ptCount val="1"/>
                <c:pt idx="0">
                  <c:v>0</c:v>
                </c:pt>
              </c:strCache>
            </c:strRef>
          </c:tx>
          <c:invertIfNegative val="1"/>
          <c:val>
            <c:numRef>
              <c:f>Dashboard!$G$12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8-49DE-A97A-39970AC7746E}"/>
            </c:ext>
          </c:extLst>
        </c:ser>
        <c:ser>
          <c:idx val="5"/>
          <c:order val="5"/>
          <c:tx>
            <c:strRef>
              <c:f>Dashboard!$F$13</c:f>
              <c:strCache>
                <c:ptCount val="1"/>
              </c:strCache>
            </c:strRef>
          </c:tx>
          <c:invertIfNegative val="1"/>
          <c:val>
            <c:numRef>
              <c:f>Dashboard!$G$13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DE88-49DE-A97A-39970AC7746E}"/>
            </c:ext>
          </c:extLst>
        </c:ser>
        <c:ser>
          <c:idx val="6"/>
          <c:order val="6"/>
          <c:tx>
            <c:strRef>
              <c:f>Dashboard!$F$14</c:f>
              <c:strCache>
                <c:ptCount val="1"/>
              </c:strCache>
            </c:strRef>
          </c:tx>
          <c:invertIfNegative val="1"/>
          <c:val>
            <c:numRef>
              <c:f>Dashboard!$G$14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DE88-49DE-A97A-39970AC7746E}"/>
            </c:ext>
          </c:extLst>
        </c:ser>
        <c:ser>
          <c:idx val="7"/>
          <c:order val="7"/>
          <c:tx>
            <c:strRef>
              <c:f>Dashboard!$F$15</c:f>
              <c:strCache>
                <c:ptCount val="1"/>
              </c:strCache>
            </c:strRef>
          </c:tx>
          <c:invertIfNegative val="1"/>
          <c:val>
            <c:numRef>
              <c:f>Dashboard!$G$15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DE88-49DE-A97A-39970AC7746E}"/>
            </c:ext>
          </c:extLst>
        </c:ser>
        <c:ser>
          <c:idx val="8"/>
          <c:order val="8"/>
          <c:tx>
            <c:strRef>
              <c:f>Dashboard!$F$16</c:f>
              <c:strCache>
                <c:ptCount val="1"/>
              </c:strCache>
            </c:strRef>
          </c:tx>
          <c:invertIfNegative val="1"/>
          <c:val>
            <c:numRef>
              <c:f>Dashboard!$G$16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DE88-49DE-A97A-39970AC77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432403"/>
        <c:axId val="1768039633"/>
      </c:barChart>
      <c:catAx>
        <c:axId val="8294324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1768039633"/>
        <c:crosses val="autoZero"/>
        <c:auto val="1"/>
        <c:lblAlgn val="ctr"/>
        <c:lblOffset val="100"/>
        <c:noMultiLvlLbl val="1"/>
      </c:catAx>
      <c:valAx>
        <c:axId val="17680396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829432403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094"/>
          <c:y val="0.11161"/>
          <c:w val="0.81382000000000021"/>
          <c:h val="0.7723200000000000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Dashboard!$F$28:$F$34</c:f>
              <c:strCache>
                <c:ptCount val="7"/>
                <c:pt idx="0">
                  <c:v>Thu</c:v>
                </c:pt>
                <c:pt idx="1">
                  <c:v>Fri</c:v>
                </c:pt>
                <c:pt idx="2">
                  <c:v>Sat</c:v>
                </c:pt>
                <c:pt idx="3">
                  <c:v>Sun</c:v>
                </c:pt>
                <c:pt idx="4">
                  <c:v>Mon</c:v>
                </c:pt>
                <c:pt idx="5">
                  <c:v>Tue</c:v>
                </c:pt>
                <c:pt idx="6">
                  <c:v>Wed</c:v>
                </c:pt>
              </c:strCache>
            </c:strRef>
          </c:cat>
          <c:val>
            <c:numRef>
              <c:f>Dashboard!$G$28:$G$34</c:f>
              <c:numCache>
                <c:formatCode>0.00</c:formatCode>
                <c:ptCount val="7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64-406A-82DB-5769B25A7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376986"/>
        <c:axId val="555870322"/>
      </c:barChart>
      <c:catAx>
        <c:axId val="492376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55870322"/>
        <c:crosses val="autoZero"/>
        <c:auto val="1"/>
        <c:lblAlgn val="ctr"/>
        <c:lblOffset val="100"/>
        <c:noMultiLvlLbl val="1"/>
      </c:catAx>
      <c:valAx>
        <c:axId val="55587032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49237698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4</xdr:row>
      <xdr:rowOff>685800</xdr:rowOff>
    </xdr:from>
    <xdr:ext cx="4953000" cy="20764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19050</xdr:colOff>
      <xdr:row>26</xdr:row>
      <xdr:rowOff>238125</xdr:rowOff>
    </xdr:from>
    <xdr:ext cx="4962525" cy="21336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6:J20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9" xr3:uid="{00000000-0010-0000-0000-000009000000}" name="Column9" dataDxfId="1"/>
    <tableColumn id="8" xr3:uid="{00000000-0010-0000-0000-000008000000}" name="Column8" dataDxfId="0"/>
    <tableColumn id="7" xr3:uid="{00000000-0010-0000-0000-000007000000}" name="Column7"/>
  </tableColumns>
  <tableStyleInfo name="Time shee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8"/>
  <sheetViews>
    <sheetView showGridLines="0" showRowColHeaders="0" tabSelected="1" workbookViewId="0">
      <selection activeCell="B25" sqref="B25"/>
    </sheetView>
  </sheetViews>
  <sheetFormatPr defaultColWidth="14.42578125" defaultRowHeight="15.75" customHeight="1"/>
  <cols>
    <col min="1" max="1" width="5.85546875" customWidth="1"/>
    <col min="4" max="4" width="46.28515625" customWidth="1"/>
    <col min="5" max="5" width="3.42578125" customWidth="1"/>
    <col min="7" max="7" width="9.28515625" customWidth="1"/>
    <col min="8" max="8" width="5.85546875" customWidth="1"/>
  </cols>
  <sheetData>
    <row r="1" spans="1:8" ht="6" customHeight="1">
      <c r="A1" s="53"/>
      <c r="B1" s="53"/>
      <c r="C1" s="53"/>
      <c r="D1" s="53"/>
      <c r="E1" s="53"/>
      <c r="F1" s="54"/>
      <c r="G1" s="54"/>
      <c r="H1" s="53"/>
    </row>
    <row r="2" spans="1:8" ht="19.5" customHeight="1">
      <c r="A2" s="55"/>
      <c r="B2" s="55"/>
      <c r="C2" s="55"/>
      <c r="D2" s="55"/>
      <c r="E2" s="55"/>
      <c r="F2" s="56"/>
      <c r="G2" s="56"/>
      <c r="H2" s="55"/>
    </row>
    <row r="3" spans="1:8" ht="33.75">
      <c r="A3" s="57"/>
      <c r="B3" s="92" t="s">
        <v>5</v>
      </c>
      <c r="C3" s="93"/>
      <c r="D3" s="94" t="s">
        <v>14</v>
      </c>
      <c r="E3" s="93"/>
      <c r="F3" s="93"/>
      <c r="G3" s="95"/>
      <c r="H3" s="57"/>
    </row>
    <row r="4" spans="1:8" ht="19.5" customHeight="1">
      <c r="A4" s="55"/>
      <c r="B4" s="58"/>
      <c r="C4" s="55"/>
      <c r="D4" s="55"/>
      <c r="E4" s="55"/>
      <c r="F4" s="56"/>
      <c r="G4" s="56"/>
      <c r="H4" s="55"/>
    </row>
    <row r="5" spans="1:8" ht="30.75" customHeight="1">
      <c r="A5" s="59"/>
      <c r="B5" s="60" t="s">
        <v>15</v>
      </c>
      <c r="C5" s="61"/>
      <c r="D5" s="61"/>
      <c r="E5" s="61"/>
      <c r="F5" s="61"/>
      <c r="G5" s="62"/>
      <c r="H5" s="55"/>
    </row>
    <row r="6" spans="1:8" ht="4.5" customHeight="1">
      <c r="A6" s="63"/>
      <c r="B6" s="64"/>
      <c r="C6" s="64"/>
      <c r="D6" s="64"/>
      <c r="E6" s="64"/>
      <c r="F6" s="65"/>
      <c r="G6" s="64"/>
      <c r="H6" s="66"/>
    </row>
    <row r="7" spans="1:8" ht="19.5" customHeight="1">
      <c r="A7" s="66"/>
      <c r="B7" s="66"/>
      <c r="C7" s="66"/>
      <c r="D7" s="66"/>
      <c r="E7" s="66"/>
      <c r="F7" s="67"/>
      <c r="G7" s="68"/>
      <c r="H7" s="66"/>
    </row>
    <row r="8" spans="1:8" ht="19.5" customHeight="1">
      <c r="A8" s="66"/>
      <c r="B8" s="66"/>
      <c r="C8" s="66"/>
      <c r="D8" s="66"/>
      <c r="E8" s="66"/>
      <c r="F8" s="67" t="str">
        <f t="array" ref="F8:F12">'Time sheet'!B16:B20</f>
        <v>Project A</v>
      </c>
      <c r="G8" s="69">
        <f t="array" ref="G8:G12">'Time sheet'!J16:J20</f>
        <v>15</v>
      </c>
      <c r="H8" s="66"/>
    </row>
    <row r="9" spans="1:8" ht="19.5" customHeight="1">
      <c r="A9" s="66"/>
      <c r="B9" s="66"/>
      <c r="C9" s="66"/>
      <c r="D9" s="66"/>
      <c r="E9" s="66"/>
      <c r="F9" s="67" t="str">
        <v>Project B</v>
      </c>
      <c r="G9" s="69">
        <v>4</v>
      </c>
      <c r="H9" s="66"/>
    </row>
    <row r="10" spans="1:8" ht="19.5" customHeight="1">
      <c r="A10" s="66"/>
      <c r="B10" s="66"/>
      <c r="C10" s="66"/>
      <c r="D10" s="66"/>
      <c r="E10" s="66"/>
      <c r="F10" s="67" t="str">
        <v>Project C</v>
      </c>
      <c r="G10" s="69">
        <v>0</v>
      </c>
      <c r="H10" s="66"/>
    </row>
    <row r="11" spans="1:8" ht="19.5" customHeight="1">
      <c r="A11" s="66"/>
      <c r="B11" s="66"/>
      <c r="C11" s="70"/>
      <c r="D11" s="66"/>
      <c r="E11" s="66"/>
      <c r="F11" s="67" t="str">
        <v>Project D</v>
      </c>
      <c r="G11" s="69">
        <v>0</v>
      </c>
      <c r="H11" s="70"/>
    </row>
    <row r="12" spans="1:8" ht="19.5" customHeight="1">
      <c r="A12" s="66"/>
      <c r="B12" s="66"/>
      <c r="C12" s="66"/>
      <c r="D12" s="66"/>
      <c r="E12" s="66"/>
      <c r="F12" s="67">
        <v>0</v>
      </c>
      <c r="G12" s="69">
        <v>0</v>
      </c>
      <c r="H12" s="66"/>
    </row>
    <row r="13" spans="1:8" ht="19.5" customHeight="1">
      <c r="A13" s="66"/>
      <c r="B13" s="66"/>
      <c r="C13" s="71"/>
      <c r="D13" s="71"/>
      <c r="E13" s="66"/>
      <c r="F13" s="67"/>
      <c r="G13" s="72"/>
      <c r="H13" s="66"/>
    </row>
    <row r="14" spans="1:8" ht="19.5" customHeight="1">
      <c r="A14" s="66"/>
      <c r="B14" s="66"/>
      <c r="C14" s="66"/>
      <c r="D14" s="66"/>
      <c r="E14" s="66"/>
      <c r="F14" s="73"/>
      <c r="G14" s="68"/>
      <c r="H14" s="66"/>
    </row>
    <row r="15" spans="1:8" ht="19.5" customHeight="1">
      <c r="A15" s="74"/>
      <c r="B15" s="66"/>
      <c r="C15" s="66"/>
      <c r="D15" s="75"/>
      <c r="E15" s="75"/>
      <c r="F15" s="67"/>
      <c r="G15" s="72"/>
      <c r="H15" s="66"/>
    </row>
    <row r="16" spans="1:8" ht="19.5" customHeight="1">
      <c r="A16" s="66"/>
      <c r="B16" s="66"/>
      <c r="C16" s="66"/>
      <c r="D16" s="66"/>
      <c r="E16" s="66"/>
      <c r="F16" s="67"/>
      <c r="G16" s="72"/>
      <c r="H16" s="66"/>
    </row>
    <row r="17" spans="1:8" ht="1.7" customHeight="1">
      <c r="A17" s="66"/>
      <c r="B17" s="66"/>
      <c r="C17" s="66"/>
      <c r="D17" s="66"/>
      <c r="E17" s="66"/>
      <c r="F17" s="67"/>
      <c r="G17" s="72"/>
      <c r="H17" s="66"/>
    </row>
    <row r="18" spans="1:8" ht="1.7" customHeight="1">
      <c r="A18" s="66"/>
      <c r="B18" s="66"/>
      <c r="C18" s="66"/>
      <c r="D18" s="66"/>
      <c r="E18" s="66"/>
      <c r="F18" s="67"/>
      <c r="G18" s="72"/>
      <c r="H18" s="66"/>
    </row>
    <row r="19" spans="1:8" ht="1.7" customHeight="1">
      <c r="A19" s="66"/>
      <c r="B19" s="66"/>
      <c r="C19" s="66"/>
      <c r="D19" s="66"/>
      <c r="E19" s="66"/>
      <c r="F19" s="67"/>
      <c r="G19" s="72"/>
      <c r="H19" s="66"/>
    </row>
    <row r="20" spans="1:8" ht="1.7" customHeight="1">
      <c r="A20" s="66"/>
      <c r="B20" s="66"/>
      <c r="C20" s="66"/>
      <c r="D20" s="66"/>
      <c r="E20" s="66"/>
      <c r="F20" s="67"/>
      <c r="G20" s="72"/>
      <c r="H20" s="66"/>
    </row>
    <row r="21" spans="1:8" ht="1.7" customHeight="1">
      <c r="A21" s="66"/>
      <c r="B21" s="66"/>
      <c r="C21" s="66"/>
      <c r="D21" s="66"/>
      <c r="E21" s="66"/>
      <c r="F21" s="67"/>
      <c r="G21" s="72"/>
      <c r="H21" s="66"/>
    </row>
    <row r="22" spans="1:8" ht="1.7" customHeight="1">
      <c r="A22" s="66"/>
      <c r="B22" s="66"/>
      <c r="C22" s="66"/>
      <c r="D22" s="66"/>
      <c r="E22" s="66"/>
      <c r="F22" s="67"/>
      <c r="G22" s="72"/>
      <c r="H22" s="66"/>
    </row>
    <row r="23" spans="1:8" ht="1.7" customHeight="1">
      <c r="A23" s="66"/>
      <c r="B23" s="66"/>
      <c r="C23" s="66"/>
      <c r="D23" s="66"/>
      <c r="E23" s="66"/>
      <c r="F23" s="67"/>
      <c r="G23" s="72"/>
      <c r="H23" s="66"/>
    </row>
    <row r="24" spans="1:8" ht="12.75">
      <c r="A24" s="66"/>
      <c r="B24" s="66"/>
      <c r="C24" s="66"/>
      <c r="D24" s="66"/>
      <c r="E24" s="66"/>
      <c r="F24" s="67"/>
      <c r="G24" s="72"/>
      <c r="H24" s="66"/>
    </row>
    <row r="25" spans="1:8" ht="30" customHeight="1">
      <c r="A25" s="59"/>
      <c r="B25" s="60" t="s">
        <v>16</v>
      </c>
      <c r="C25" s="61"/>
      <c r="D25" s="61"/>
      <c r="E25" s="61"/>
      <c r="F25" s="61"/>
      <c r="G25" s="62"/>
      <c r="H25" s="55"/>
    </row>
    <row r="26" spans="1:8" ht="4.5" customHeight="1">
      <c r="A26" s="66"/>
      <c r="B26" s="76"/>
      <c r="C26" s="76"/>
      <c r="D26" s="76"/>
      <c r="E26" s="76"/>
      <c r="F26" s="77"/>
      <c r="G26" s="77"/>
      <c r="H26" s="66"/>
    </row>
    <row r="27" spans="1:8" ht="19.5" customHeight="1">
      <c r="A27" s="66"/>
      <c r="B27" s="78"/>
      <c r="C27" s="79"/>
      <c r="D27" s="76"/>
      <c r="E27" s="76"/>
      <c r="F27" s="77"/>
      <c r="G27" s="77"/>
      <c r="H27" s="66"/>
    </row>
    <row r="28" spans="1:8" ht="19.5" customHeight="1">
      <c r="A28" s="66"/>
      <c r="B28" s="68"/>
      <c r="C28" s="68"/>
      <c r="D28" s="66"/>
      <c r="E28" s="66"/>
      <c r="F28" s="80" t="str">
        <f>'Time sheet'!C14</f>
        <v>Thu</v>
      </c>
      <c r="G28" s="81">
        <f>'Time sheet'!C21</f>
        <v>14</v>
      </c>
      <c r="H28" s="66"/>
    </row>
    <row r="29" spans="1:8" ht="19.5" customHeight="1">
      <c r="A29" s="66"/>
      <c r="B29" s="68"/>
      <c r="C29" s="68"/>
      <c r="D29" s="66"/>
      <c r="E29" s="66"/>
      <c r="F29" s="80" t="str">
        <f>'Time sheet'!D14</f>
        <v>Fri</v>
      </c>
      <c r="G29" s="81">
        <f>'Time sheet'!D21</f>
        <v>0</v>
      </c>
      <c r="H29" s="66"/>
    </row>
    <row r="30" spans="1:8" ht="19.5" customHeight="1">
      <c r="A30" s="66"/>
      <c r="B30" s="68"/>
      <c r="C30" s="68"/>
      <c r="D30" s="71"/>
      <c r="E30" s="66"/>
      <c r="F30" s="80" t="str">
        <f>'Time sheet'!E14</f>
        <v>Sat</v>
      </c>
      <c r="G30" s="81">
        <f>'Time sheet'!E21</f>
        <v>0</v>
      </c>
      <c r="H30" s="66"/>
    </row>
    <row r="31" spans="1:8" ht="19.5" customHeight="1">
      <c r="A31" s="66"/>
      <c r="B31" s="68"/>
      <c r="C31" s="68"/>
      <c r="D31" s="71"/>
      <c r="E31" s="66"/>
      <c r="F31" s="80" t="str">
        <f>'Time sheet'!F14</f>
        <v>Sun</v>
      </c>
      <c r="G31" s="81">
        <f>'Time sheet'!F21</f>
        <v>5</v>
      </c>
      <c r="H31" s="66"/>
    </row>
    <row r="32" spans="1:8" ht="19.5" customHeight="1">
      <c r="A32" s="66"/>
      <c r="B32" s="68"/>
      <c r="C32" s="68"/>
      <c r="D32" s="71"/>
      <c r="E32" s="66"/>
      <c r="F32" s="80" t="str">
        <f>'Time sheet'!G14</f>
        <v>Mon</v>
      </c>
      <c r="G32" s="81">
        <f>'Time sheet'!G21</f>
        <v>0</v>
      </c>
      <c r="H32" s="66"/>
    </row>
    <row r="33" spans="1:8" ht="19.5" customHeight="1">
      <c r="A33" s="66"/>
      <c r="B33" s="66"/>
      <c r="C33" s="66"/>
      <c r="D33" s="66"/>
      <c r="E33" s="66"/>
      <c r="F33" s="80" t="str">
        <f>'Time sheet'!H14</f>
        <v>Tue</v>
      </c>
      <c r="G33" s="81">
        <f>'Time sheet'!H21</f>
        <v>0</v>
      </c>
      <c r="H33" s="66"/>
    </row>
    <row r="34" spans="1:8" ht="19.5" customHeight="1">
      <c r="A34" s="66"/>
      <c r="B34" s="66"/>
      <c r="C34" s="66"/>
      <c r="D34" s="66"/>
      <c r="E34" s="66"/>
      <c r="F34" s="80" t="str">
        <f>'Time sheet'!I14</f>
        <v>Wed</v>
      </c>
      <c r="G34" s="81">
        <f>'Time sheet'!I21</f>
        <v>0</v>
      </c>
      <c r="H34" s="66"/>
    </row>
    <row r="35" spans="1:8" ht="19.5" customHeight="1">
      <c r="A35" s="66"/>
      <c r="B35" s="66"/>
      <c r="C35" s="66"/>
      <c r="D35" s="66"/>
      <c r="E35" s="66"/>
      <c r="F35" s="72"/>
      <c r="G35" s="72"/>
      <c r="H35" s="66"/>
    </row>
    <row r="36" spans="1:8" ht="19.5" customHeight="1">
      <c r="A36" s="66"/>
      <c r="B36" s="66"/>
      <c r="C36" s="66"/>
      <c r="D36" s="66"/>
      <c r="E36" s="66"/>
      <c r="F36" s="72"/>
      <c r="G36" s="72"/>
      <c r="H36" s="66"/>
    </row>
    <row r="37" spans="1:8" ht="19.5" customHeight="1">
      <c r="A37" s="66"/>
      <c r="B37" s="66"/>
      <c r="C37" s="66"/>
      <c r="D37" s="66"/>
      <c r="E37" s="66"/>
      <c r="F37" s="72"/>
      <c r="G37" s="72"/>
      <c r="H37" s="66"/>
    </row>
    <row r="38" spans="1:8" ht="19.5" customHeight="1">
      <c r="A38" s="66"/>
      <c r="B38" s="66"/>
      <c r="C38" s="66"/>
      <c r="D38" s="66"/>
      <c r="E38" s="66"/>
      <c r="F38" s="72"/>
      <c r="G38" s="72"/>
      <c r="H38" s="66"/>
    </row>
  </sheetData>
  <mergeCells count="2">
    <mergeCell ref="B3:C3"/>
    <mergeCell ref="D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6"/>
  <sheetViews>
    <sheetView showGridLines="0" showRowColHeaders="0" topLeftCell="A7" zoomScale="90" zoomScaleNormal="90" workbookViewId="0">
      <selection activeCell="C18" sqref="C18"/>
    </sheetView>
  </sheetViews>
  <sheetFormatPr defaultColWidth="14.42578125" defaultRowHeight="15.75" customHeight="1"/>
  <cols>
    <col min="1" max="1" width="2.7109375" customWidth="1"/>
    <col min="2" max="2" width="16.140625" customWidth="1"/>
    <col min="3" max="7" width="11.42578125" customWidth="1"/>
    <col min="8" max="9" width="11.42578125" style="83" customWidth="1"/>
    <col min="10" max="10" width="12.7109375" customWidth="1"/>
    <col min="11" max="11" width="2.7109375" customWidth="1"/>
  </cols>
  <sheetData>
    <row r="1" spans="1:11" ht="12.6" customHeight="1">
      <c r="A1" s="1"/>
      <c r="B1" s="1"/>
      <c r="C1" s="2"/>
      <c r="D1" s="2"/>
      <c r="E1" s="1"/>
      <c r="F1" s="1"/>
      <c r="G1" s="1"/>
      <c r="H1" s="1"/>
      <c r="I1" s="1"/>
      <c r="J1" s="3"/>
      <c r="K1" s="4"/>
    </row>
    <row r="2" spans="1:11" ht="24" customHeight="1">
      <c r="A2" s="5"/>
      <c r="B2" s="5"/>
      <c r="C2" s="6"/>
      <c r="D2" s="6"/>
      <c r="E2" s="5"/>
      <c r="F2" s="5"/>
      <c r="G2" s="5"/>
      <c r="H2" s="50"/>
      <c r="I2" s="50"/>
      <c r="J2" s="7"/>
      <c r="K2" s="8"/>
    </row>
    <row r="3" spans="1:11" ht="24" customHeight="1">
      <c r="A3" s="9"/>
      <c r="B3" s="96"/>
      <c r="C3" s="97"/>
      <c r="D3" s="97"/>
      <c r="E3" s="9"/>
      <c r="F3" s="10"/>
      <c r="G3" s="10"/>
      <c r="H3" s="10"/>
      <c r="I3" s="10"/>
      <c r="J3" s="11"/>
      <c r="K3" s="12"/>
    </row>
    <row r="4" spans="1:11" ht="24" customHeight="1">
      <c r="A4" s="13"/>
      <c r="B4" s="103"/>
      <c r="C4" s="97"/>
      <c r="D4" s="97"/>
      <c r="E4" s="13"/>
      <c r="F4" s="13"/>
      <c r="G4" s="13"/>
      <c r="H4" s="84"/>
      <c r="I4" s="84"/>
      <c r="J4" s="14"/>
      <c r="K4" s="15"/>
    </row>
    <row r="5" spans="1:11" ht="24" customHeight="1">
      <c r="A5" s="13"/>
      <c r="B5" s="104"/>
      <c r="C5" s="97"/>
      <c r="D5" s="97"/>
      <c r="E5" s="13"/>
      <c r="F5" s="13"/>
      <c r="G5" s="13"/>
      <c r="H5" s="84"/>
      <c r="I5" s="84"/>
      <c r="J5" s="14"/>
      <c r="K5" s="15"/>
    </row>
    <row r="6" spans="1:11" ht="24" customHeight="1">
      <c r="A6" s="16"/>
      <c r="B6" s="105"/>
      <c r="C6" s="97"/>
      <c r="D6" s="97"/>
      <c r="E6" s="16"/>
      <c r="F6" s="16"/>
      <c r="G6" s="16"/>
      <c r="H6" s="85"/>
      <c r="I6" s="85"/>
      <c r="J6" s="17"/>
      <c r="K6" s="17"/>
    </row>
    <row r="7" spans="1:11" ht="18" customHeight="1">
      <c r="A7" s="18"/>
      <c r="B7" s="13"/>
      <c r="C7" s="13"/>
      <c r="D7" s="13"/>
      <c r="E7" s="13"/>
      <c r="F7" s="13"/>
      <c r="G7" s="13"/>
      <c r="H7" s="84"/>
      <c r="I7" s="84"/>
      <c r="J7" s="14"/>
      <c r="K7" s="19"/>
    </row>
    <row r="8" spans="1:11" ht="42.75">
      <c r="A8" s="20"/>
      <c r="B8" s="98" t="s">
        <v>0</v>
      </c>
      <c r="C8" s="97"/>
      <c r="D8" s="97"/>
      <c r="E8" s="21"/>
      <c r="F8" s="22"/>
      <c r="G8" s="22"/>
      <c r="H8" s="22"/>
      <c r="I8" s="22"/>
      <c r="J8" s="22"/>
      <c r="K8" s="20"/>
    </row>
    <row r="9" spans="1:11" ht="16.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ht="18" customHeight="1">
      <c r="A10" s="23"/>
      <c r="B10" s="106" t="s">
        <v>7</v>
      </c>
      <c r="C10" s="97"/>
      <c r="D10" s="108" t="s">
        <v>9</v>
      </c>
      <c r="E10" s="109"/>
      <c r="F10" s="109"/>
      <c r="G10" s="86"/>
      <c r="H10" s="108" t="s">
        <v>10</v>
      </c>
      <c r="I10" s="108"/>
      <c r="J10" s="108"/>
      <c r="K10" s="25"/>
    </row>
    <row r="11" spans="1:11" ht="18" customHeight="1">
      <c r="A11" s="16"/>
      <c r="B11" s="107" t="s">
        <v>8</v>
      </c>
      <c r="C11" s="97"/>
      <c r="D11" s="99">
        <v>45232</v>
      </c>
      <c r="E11" s="99"/>
      <c r="F11" s="99"/>
      <c r="G11" s="87"/>
      <c r="H11" s="99">
        <f>I15</f>
        <v>45238</v>
      </c>
      <c r="I11" s="99"/>
      <c r="J11" s="99"/>
      <c r="K11" s="26"/>
    </row>
    <row r="12" spans="1:11" ht="12.75">
      <c r="A12" s="13"/>
      <c r="B12" s="27"/>
      <c r="C12" s="28"/>
      <c r="D12" s="27"/>
      <c r="E12" s="28"/>
      <c r="F12" s="27"/>
      <c r="G12" s="27"/>
      <c r="H12" s="28"/>
      <c r="I12" s="28"/>
      <c r="J12" s="27"/>
      <c r="K12" s="13"/>
    </row>
    <row r="13" spans="1:11" ht="12.75">
      <c r="A13" s="29"/>
      <c r="B13" s="30"/>
      <c r="C13" s="30"/>
      <c r="D13" s="30"/>
      <c r="E13" s="29"/>
      <c r="F13" s="30"/>
      <c r="G13" s="30"/>
      <c r="H13" s="30"/>
      <c r="I13" s="30"/>
      <c r="J13" s="30"/>
      <c r="K13" s="29"/>
    </row>
    <row r="14" spans="1:11" ht="19.5" customHeight="1">
      <c r="A14" s="31"/>
      <c r="B14" s="32"/>
      <c r="C14" s="33" t="str">
        <f t="shared" ref="C14:I14" si="0">TEXT(C15, "DDD")</f>
        <v>Thu</v>
      </c>
      <c r="D14" s="33" t="str">
        <f t="shared" si="0"/>
        <v>Fri</v>
      </c>
      <c r="E14" s="33" t="str">
        <f t="shared" si="0"/>
        <v>Sat</v>
      </c>
      <c r="F14" s="33" t="str">
        <f t="shared" si="0"/>
        <v>Sun</v>
      </c>
      <c r="G14" s="33" t="str">
        <f t="shared" si="0"/>
        <v>Mon</v>
      </c>
      <c r="H14" s="33" t="str">
        <f t="shared" si="0"/>
        <v>Tue</v>
      </c>
      <c r="I14" s="33" t="str">
        <f t="shared" si="0"/>
        <v>Wed</v>
      </c>
      <c r="J14" s="34"/>
      <c r="K14" s="31"/>
    </row>
    <row r="15" spans="1:11" ht="24" customHeight="1">
      <c r="A15" s="35"/>
      <c r="B15" s="36"/>
      <c r="C15" s="37">
        <f>D11</f>
        <v>45232</v>
      </c>
      <c r="D15" s="37">
        <f t="shared" ref="D15:I15" si="1">C15+1</f>
        <v>45233</v>
      </c>
      <c r="E15" s="37">
        <f t="shared" si="1"/>
        <v>45234</v>
      </c>
      <c r="F15" s="37">
        <f t="shared" si="1"/>
        <v>45235</v>
      </c>
      <c r="G15" s="37">
        <f t="shared" si="1"/>
        <v>45236</v>
      </c>
      <c r="H15" s="37">
        <f t="shared" si="1"/>
        <v>45237</v>
      </c>
      <c r="I15" s="37">
        <f t="shared" si="1"/>
        <v>45238</v>
      </c>
      <c r="J15" s="38" t="s">
        <v>11</v>
      </c>
      <c r="K15" s="35"/>
    </row>
    <row r="16" spans="1:11" ht="21" customHeight="1">
      <c r="A16" s="16"/>
      <c r="B16" s="39" t="s">
        <v>1</v>
      </c>
      <c r="C16" s="40">
        <v>10</v>
      </c>
      <c r="D16" s="40">
        <v>0</v>
      </c>
      <c r="E16" s="40">
        <v>0</v>
      </c>
      <c r="F16" s="40">
        <v>5</v>
      </c>
      <c r="G16" s="40">
        <v>0</v>
      </c>
      <c r="H16" s="42">
        <v>0</v>
      </c>
      <c r="I16" s="42">
        <v>0</v>
      </c>
      <c r="J16" s="41">
        <f>SUM(C16:I16)</f>
        <v>15</v>
      </c>
      <c r="K16" s="16"/>
    </row>
    <row r="17" spans="1:11" ht="21" customHeight="1">
      <c r="A17" s="17"/>
      <c r="B17" s="39" t="s">
        <v>2</v>
      </c>
      <c r="C17" s="40">
        <v>4</v>
      </c>
      <c r="D17" s="40">
        <v>0</v>
      </c>
      <c r="E17" s="42">
        <v>0</v>
      </c>
      <c r="F17" s="40">
        <v>0</v>
      </c>
      <c r="G17" s="40">
        <v>0</v>
      </c>
      <c r="H17" s="42">
        <v>0</v>
      </c>
      <c r="I17" s="42">
        <v>0</v>
      </c>
      <c r="J17" s="41">
        <f>SUM(C17:I17)</f>
        <v>4</v>
      </c>
      <c r="K17" s="17"/>
    </row>
    <row r="18" spans="1:11" ht="21" customHeight="1">
      <c r="A18" s="17"/>
      <c r="B18" s="39" t="s">
        <v>3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2">
        <v>0</v>
      </c>
      <c r="I18" s="42">
        <v>0</v>
      </c>
      <c r="J18" s="41">
        <f>SUM(C18:I18)</f>
        <v>0</v>
      </c>
      <c r="K18" s="17"/>
    </row>
    <row r="19" spans="1:11" ht="21" customHeight="1">
      <c r="A19" s="17"/>
      <c r="B19" s="39" t="s">
        <v>4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2">
        <v>0</v>
      </c>
      <c r="I19" s="42">
        <v>0</v>
      </c>
      <c r="J19" s="41">
        <f>SUM(C19:I19)</f>
        <v>0</v>
      </c>
      <c r="K19" s="17"/>
    </row>
    <row r="20" spans="1:11" ht="13.35" hidden="1" customHeight="1">
      <c r="A20" s="23"/>
      <c r="B20" s="43"/>
      <c r="C20" s="44"/>
      <c r="D20" s="45"/>
      <c r="E20" s="44"/>
      <c r="F20" s="44"/>
      <c r="G20" s="44"/>
      <c r="H20" s="45"/>
      <c r="I20" s="45"/>
      <c r="J20" s="45"/>
      <c r="K20" s="23"/>
    </row>
    <row r="21" spans="1:11" ht="21" customHeight="1">
      <c r="A21" s="46"/>
      <c r="B21" s="47" t="s">
        <v>12</v>
      </c>
      <c r="C21" s="48">
        <f t="shared" ref="C21:J21" si="2">SUM(C16:C20)</f>
        <v>14</v>
      </c>
      <c r="D21" s="48">
        <f t="shared" si="2"/>
        <v>0</v>
      </c>
      <c r="E21" s="48">
        <f t="shared" si="2"/>
        <v>0</v>
      </c>
      <c r="F21" s="48">
        <f t="shared" si="2"/>
        <v>5</v>
      </c>
      <c r="G21" s="48">
        <f t="shared" si="2"/>
        <v>0</v>
      </c>
      <c r="H21" s="48">
        <f t="shared" si="2"/>
        <v>0</v>
      </c>
      <c r="I21" s="48">
        <f t="shared" si="2"/>
        <v>0</v>
      </c>
      <c r="J21" s="49">
        <f t="shared" si="2"/>
        <v>19</v>
      </c>
      <c r="K21" s="46"/>
    </row>
    <row r="22" spans="1:11" s="83" customFormat="1" ht="21" customHeight="1">
      <c r="A22" s="46"/>
      <c r="B22" s="88"/>
      <c r="C22" s="89"/>
      <c r="D22" s="89"/>
      <c r="E22" s="89"/>
      <c r="F22" s="89"/>
      <c r="G22" s="89"/>
      <c r="H22" s="89"/>
      <c r="I22" s="89"/>
      <c r="J22" s="90"/>
      <c r="K22" s="46"/>
    </row>
    <row r="23" spans="1:11" ht="21" customHeight="1">
      <c r="A23" s="46"/>
      <c r="B23" s="50"/>
      <c r="C23" s="46"/>
      <c r="D23" s="46"/>
      <c r="E23" s="46"/>
      <c r="F23" s="101" t="s">
        <v>13</v>
      </c>
      <c r="G23" s="102"/>
      <c r="H23" s="91"/>
      <c r="I23" s="110"/>
      <c r="J23" s="111">
        <v>15</v>
      </c>
      <c r="K23" s="46"/>
    </row>
    <row r="24" spans="1:11" s="83" customFormat="1" ht="21" customHeight="1">
      <c r="A24" s="46"/>
      <c r="B24" s="50"/>
      <c r="C24" s="46"/>
      <c r="D24" s="46"/>
      <c r="E24" s="46"/>
      <c r="F24" s="82"/>
      <c r="I24" s="112"/>
      <c r="J24" s="113"/>
      <c r="K24" s="46"/>
    </row>
    <row r="25" spans="1:11" ht="30" customHeight="1" thickBot="1">
      <c r="A25" s="51"/>
      <c r="B25" s="52"/>
      <c r="C25" s="51"/>
      <c r="D25" s="51"/>
      <c r="E25" s="51"/>
      <c r="G25" s="100" t="s">
        <v>6</v>
      </c>
      <c r="H25" s="100"/>
      <c r="I25" s="114">
        <f>J21*J23</f>
        <v>285</v>
      </c>
      <c r="J25" s="114"/>
      <c r="K25" s="51"/>
    </row>
    <row r="26" spans="1:11" ht="19.5" customHeight="1" thickTop="1">
      <c r="A26" s="23"/>
      <c r="B26" s="22"/>
      <c r="C26" s="23"/>
      <c r="D26" s="23"/>
      <c r="E26" s="23"/>
      <c r="F26" s="23"/>
      <c r="G26" s="23"/>
      <c r="H26" s="43"/>
      <c r="I26" s="43"/>
      <c r="J26" s="23"/>
      <c r="K26" s="23"/>
    </row>
  </sheetData>
  <mergeCells count="14">
    <mergeCell ref="B3:D3"/>
    <mergeCell ref="B8:D8"/>
    <mergeCell ref="D11:F11"/>
    <mergeCell ref="I25:J25"/>
    <mergeCell ref="G25:H25"/>
    <mergeCell ref="F23:G23"/>
    <mergeCell ref="B4:D4"/>
    <mergeCell ref="B5:D5"/>
    <mergeCell ref="B6:D6"/>
    <mergeCell ref="B10:C10"/>
    <mergeCell ref="B11:C11"/>
    <mergeCell ref="D10:F10"/>
    <mergeCell ref="H10:J10"/>
    <mergeCell ref="H11:J11"/>
  </mergeCells>
  <pageMargins left="0.7" right="0.7" top="0.75" bottom="0.75" header="0.3" footer="0.3"/>
  <ignoredErrors>
    <ignoredError sqref="C21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syaa</cp:lastModifiedBy>
  <dcterms:modified xsi:type="dcterms:W3CDTF">2023-07-03T05:46:11Z</dcterms:modified>
</cp:coreProperties>
</file>