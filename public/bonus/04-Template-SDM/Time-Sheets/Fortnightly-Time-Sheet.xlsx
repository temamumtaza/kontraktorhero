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irus Media Localize\ProFinance Premium\Time Sheets\"/>
    </mc:Choice>
  </mc:AlternateContent>
  <xr:revisionPtr revIDLastSave="0" documentId="13_ncr:1_{47AE0E1D-2A77-43C6-B78B-979E79675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heet" sheetId="1" r:id="rId1"/>
    <sheet name="Data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1" l="1"/>
  <c r="Q13" i="1"/>
  <c r="Q15" i="1"/>
  <c r="Q16" i="1"/>
  <c r="Q17" i="1"/>
  <c r="Q18" i="1"/>
  <c r="Q19" i="1"/>
  <c r="Q20" i="1"/>
  <c r="Q21" i="1"/>
  <c r="Q22" i="1"/>
  <c r="Q23" i="1"/>
  <c r="Q24" i="1"/>
  <c r="Q25" i="1"/>
  <c r="Q26" i="1"/>
  <c r="Q29" i="1" l="1"/>
  <c r="Q10" i="1" l="1"/>
  <c r="C13" i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Q28" i="1" l="1"/>
  <c r="Q30" i="1" s="1"/>
  <c r="Q35" i="1" s="1"/>
  <c r="B13" i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/>
</calcChain>
</file>

<file path=xl/sharedStrings.xml><?xml version="1.0" encoding="utf-8"?>
<sst xmlns="http://schemas.openxmlformats.org/spreadsheetml/2006/main" count="81" uniqueCount="37">
  <si>
    <t>001-2022 Vaucluse</t>
  </si>
  <si>
    <t>002-2022 Newport</t>
  </si>
  <si>
    <t>003-2022 nbrs</t>
  </si>
  <si>
    <t>Design Sketches</t>
  </si>
  <si>
    <t>Development Application</t>
  </si>
  <si>
    <t>Construction Certificate</t>
  </si>
  <si>
    <t>Construction Documentation</t>
  </si>
  <si>
    <t>Design Development</t>
  </si>
  <si>
    <t>Administration</t>
  </si>
  <si>
    <t>Revit Modeling</t>
  </si>
  <si>
    <t>Internet Allowance</t>
  </si>
  <si>
    <t>Monthly Bonus</t>
  </si>
  <si>
    <t>Travelling Allowance</t>
  </si>
  <si>
    <t>Other if any</t>
  </si>
  <si>
    <t>New Task</t>
  </si>
  <si>
    <t>New Project 1</t>
  </si>
  <si>
    <t>New Task 2</t>
  </si>
  <si>
    <t>New Project 2</t>
  </si>
  <si>
    <t>Nama Projek</t>
  </si>
  <si>
    <t>Tugas</t>
  </si>
  <si>
    <t>Nama</t>
  </si>
  <si>
    <t>Karyawan :</t>
  </si>
  <si>
    <t>Email Karyawan :</t>
  </si>
  <si>
    <t>Nomor Hp Karyawan :</t>
  </si>
  <si>
    <t>Hari</t>
  </si>
  <si>
    <t>Tanggal</t>
  </si>
  <si>
    <t>Jam Regular</t>
  </si>
  <si>
    <t>Diizinkan Lembur</t>
  </si>
  <si>
    <t>Total Jam</t>
  </si>
  <si>
    <t>Paket Bulanan :</t>
  </si>
  <si>
    <t>Tgl Mulai Pembayaran :</t>
  </si>
  <si>
    <t>Tgl Berakhir Pembayaran :</t>
  </si>
  <si>
    <t>Lembar Waktu Dua Mingguan</t>
  </si>
  <si>
    <t>Tarif per Jam</t>
  </si>
  <si>
    <t>Insentif</t>
  </si>
  <si>
    <t>Total Gaji Kotor</t>
  </si>
  <si>
    <t>Gaji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</si>
</sst>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₱-3409]#,##0.00"/>
    <numFmt numFmtId="167" formatCode="_([$IDR]\ * #,##0.00_);_([$IDR]\ * \(#,##0.00\);_([$IDR]\ * &quot;-&quot;??_);_(@_)"/>
  </numFmts>
  <fonts count="17" x14ac:knownFonts="1">
    <font>
      <sz val="10"/>
      <color rgb="FF000000"/>
      <name val="Times New Roman"/>
      <charset val="204"/>
    </font>
    <font>
      <sz val="9"/>
      <name val="Arial"/>
      <family val="2"/>
    </font>
    <font>
      <b/>
      <sz val="18"/>
      <name val="Arial"/>
      <family val="2"/>
    </font>
    <font>
      <sz val="9"/>
      <name val="Times New Roman"/>
      <family val="1"/>
    </font>
    <font>
      <sz val="10"/>
      <color rgb="FF000000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5B5766"/>
      <name val="Times New Roman"/>
      <family val="2"/>
    </font>
    <font>
      <b/>
      <sz val="12"/>
      <name val="Times New Roman"/>
      <family val="1"/>
    </font>
    <font>
      <b/>
      <sz val="12"/>
      <color rgb="FF7C7577"/>
      <name val="Arial"/>
      <family val="2"/>
    </font>
    <font>
      <b/>
      <sz val="12"/>
      <color rgb="FF5B5766"/>
      <name val="Arial"/>
      <family val="2"/>
    </font>
    <font>
      <b/>
      <sz val="10"/>
      <color theme="0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 style="double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thin">
        <color theme="0" tint="-0.249977111117893"/>
      </right>
      <top/>
      <bottom style="double">
        <color theme="0" tint="-0.249977111117893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8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5" fontId="7" fillId="3" borderId="5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165" fontId="7" fillId="3" borderId="6" xfId="0" applyNumberFormat="1" applyFont="1" applyFill="1" applyBorder="1" applyAlignment="1">
      <alignment horizontal="center" vertical="center"/>
    </xf>
    <xf numFmtId="165" fontId="7" fillId="3" borderId="10" xfId="0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 indent="4"/>
    </xf>
    <xf numFmtId="0" fontId="9" fillId="0" borderId="2" xfId="0" applyFont="1" applyBorder="1" applyAlignment="1">
      <alignment horizontal="left" vertical="center" wrapText="1" indent="4"/>
    </xf>
    <xf numFmtId="164" fontId="12" fillId="0" borderId="3" xfId="0" applyNumberFormat="1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left" vertical="center" wrapText="1"/>
    </xf>
    <xf numFmtId="2" fontId="10" fillId="4" borderId="12" xfId="0" applyNumberFormat="1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left" vertical="center" wrapText="1"/>
    </xf>
    <xf numFmtId="2" fontId="10" fillId="7" borderId="12" xfId="0" applyNumberFormat="1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left" vertical="center" wrapText="1"/>
    </xf>
    <xf numFmtId="2" fontId="10" fillId="5" borderId="12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left" vertical="center" wrapText="1"/>
    </xf>
    <xf numFmtId="2" fontId="10" fillId="6" borderId="12" xfId="0" applyNumberFormat="1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 wrapText="1"/>
    </xf>
    <xf numFmtId="2" fontId="15" fillId="2" borderId="12" xfId="0" applyNumberFormat="1" applyFont="1" applyFill="1" applyBorder="1" applyAlignment="1">
      <alignment horizontal="center" vertical="center" wrapText="1"/>
    </xf>
    <xf numFmtId="2" fontId="11" fillId="4" borderId="12" xfId="0" applyNumberFormat="1" applyFont="1" applyFill="1" applyBorder="1" applyAlignment="1">
      <alignment horizontal="center" vertical="center" wrapText="1"/>
    </xf>
    <xf numFmtId="2" fontId="11" fillId="7" borderId="12" xfId="0" applyNumberFormat="1" applyFont="1" applyFill="1" applyBorder="1" applyAlignment="1">
      <alignment horizontal="center" vertical="center" wrapText="1"/>
    </xf>
    <xf numFmtId="2" fontId="11" fillId="5" borderId="12" xfId="0" applyNumberFormat="1" applyFont="1" applyFill="1" applyBorder="1" applyAlignment="1">
      <alignment horizontal="center" vertical="center" wrapText="1"/>
    </xf>
    <xf numFmtId="2" fontId="11" fillId="6" borderId="12" xfId="0" applyNumberFormat="1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horizontal="left" vertical="center" wrapText="1"/>
    </xf>
    <xf numFmtId="0" fontId="10" fillId="5" borderId="12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left" vertical="center" wrapText="1"/>
    </xf>
    <xf numFmtId="0" fontId="12" fillId="7" borderId="12" xfId="0" applyFont="1" applyFill="1" applyBorder="1" applyAlignment="1">
      <alignment horizontal="left" vertical="center" wrapText="1"/>
    </xf>
    <xf numFmtId="0" fontId="12" fillId="5" borderId="12" xfId="0" applyFont="1" applyFill="1" applyBorder="1" applyAlignment="1">
      <alignment horizontal="left" vertical="center" wrapText="1"/>
    </xf>
    <xf numFmtId="0" fontId="12" fillId="6" borderId="12" xfId="0" applyFont="1" applyFill="1" applyBorder="1" applyAlignment="1">
      <alignment horizontal="left" vertical="center" wrapText="1"/>
    </xf>
    <xf numFmtId="2" fontId="13" fillId="4" borderId="12" xfId="0" applyNumberFormat="1" applyFont="1" applyFill="1" applyBorder="1" applyAlignment="1">
      <alignment horizontal="center" vertical="center" wrapText="1"/>
    </xf>
    <xf numFmtId="2" fontId="13" fillId="7" borderId="12" xfId="0" applyNumberFormat="1" applyFont="1" applyFill="1" applyBorder="1" applyAlignment="1">
      <alignment horizontal="center" vertical="center" wrapText="1"/>
    </xf>
    <xf numFmtId="2" fontId="13" fillId="5" borderId="12" xfId="0" applyNumberFormat="1" applyFont="1" applyFill="1" applyBorder="1" applyAlignment="1">
      <alignment horizontal="center" vertical="center" wrapText="1"/>
    </xf>
    <xf numFmtId="2" fontId="13" fillId="6" borderId="12" xfId="0" applyNumberFormat="1" applyFont="1" applyFill="1" applyBorder="1" applyAlignment="1">
      <alignment horizontal="center" vertical="center" wrapText="1"/>
    </xf>
    <xf numFmtId="2" fontId="14" fillId="4" borderId="12" xfId="0" applyNumberFormat="1" applyFont="1" applyFill="1" applyBorder="1" applyAlignment="1">
      <alignment horizontal="center" vertical="center" wrapText="1"/>
    </xf>
    <xf numFmtId="2" fontId="14" fillId="7" borderId="12" xfId="0" applyNumberFormat="1" applyFont="1" applyFill="1" applyBorder="1" applyAlignment="1">
      <alignment horizontal="center" vertical="center" wrapText="1"/>
    </xf>
    <xf numFmtId="2" fontId="14" fillId="5" borderId="12" xfId="0" applyNumberFormat="1" applyFont="1" applyFill="1" applyBorder="1" applyAlignment="1">
      <alignment horizontal="center" vertical="center" wrapText="1"/>
    </xf>
    <xf numFmtId="2" fontId="14" fillId="6" borderId="12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indent="7"/>
    </xf>
    <xf numFmtId="0" fontId="7" fillId="3" borderId="7" xfId="0" applyFont="1" applyFill="1" applyBorder="1" applyAlignment="1">
      <alignment horizontal="left" vertical="center" indent="7"/>
    </xf>
    <xf numFmtId="0" fontId="7" fillId="3" borderId="6" xfId="0" applyFont="1" applyFill="1" applyBorder="1" applyAlignment="1">
      <alignment horizontal="left" vertical="center" indent="7"/>
    </xf>
    <xf numFmtId="0" fontId="6" fillId="2" borderId="1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indent="19"/>
    </xf>
    <xf numFmtId="0" fontId="7" fillId="3" borderId="7" xfId="0" applyFont="1" applyFill="1" applyBorder="1" applyAlignment="1">
      <alignment horizontal="left" vertical="center" indent="19"/>
    </xf>
    <xf numFmtId="0" fontId="7" fillId="3" borderId="6" xfId="0" applyFont="1" applyFill="1" applyBorder="1" applyAlignment="1">
      <alignment horizontal="left" vertical="center" indent="19"/>
    </xf>
    <xf numFmtId="0" fontId="9" fillId="0" borderId="1" xfId="0" applyFont="1" applyBorder="1" applyAlignment="1">
      <alignment horizontal="left" vertical="center" wrapText="1" indent="2"/>
    </xf>
    <xf numFmtId="0" fontId="9" fillId="0" borderId="2" xfId="0" applyFont="1" applyBorder="1" applyAlignment="1">
      <alignment horizontal="left" vertical="center" wrapText="1" indent="2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b/>
        <strike val="0"/>
        <outline val="0"/>
        <shadow val="0"/>
        <u val="none"/>
        <vertAlign val="baseline"/>
        <color theme="0"/>
        <name val="Times New Roman"/>
        <scheme val="none"/>
      </font>
      <numFmt numFmtId="2" formatCode="0.00"/>
      <fill>
        <patternFill patternType="none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numFmt numFmtId="2" formatCode="0.00"/>
      <fill>
        <patternFill patternType="none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none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none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none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none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none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none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solid">
          <fgColor indexed="64"/>
          <bgColor theme="6" tint="0.3999755851924192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6" tint="0.3999755851924192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</font>
      <numFmt numFmtId="2" formatCode="0.00"/>
      <fill>
        <patternFill patternType="none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theme="2" tint="-0.249977111117893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theme="2" tint="-0.249977111117893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164" formatCode="d/m/yyyy"/>
      <fill>
        <patternFill patternType="none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none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3:Q26" headerRowCount="0" totalsRowShown="0" headerRowDxfId="33" dataDxfId="32">
  <tableColumns count="16">
    <tableColumn id="1" xr3:uid="{00000000-0010-0000-0000-000001000000}" name="Day" headerRowDxfId="31" dataDxfId="30">
      <calculatedColumnFormula>TEXT(Table1[[#This Row],[Date]],"dddd")</calculatedColumnFormula>
    </tableColumn>
    <tableColumn id="2" xr3:uid="{00000000-0010-0000-0000-000002000000}" name="Date" headerRowDxfId="29" dataDxfId="28">
      <calculatedColumnFormula>Q9</calculatedColumnFormula>
    </tableColumn>
    <tableColumn id="3" xr3:uid="{00000000-0010-0000-0000-000003000000}" name="Project Name" headerRowDxfId="27" dataDxfId="26"/>
    <tableColumn id="4" xr3:uid="{00000000-0010-0000-0000-000004000000}" name="Task" headerRowDxfId="25" dataDxfId="24"/>
    <tableColumn id="5" xr3:uid="{00000000-0010-0000-0000-000005000000}" name="Regular Hours" headerRowDxfId="23" dataDxfId="22"/>
    <tableColumn id="18" xr3:uid="{00000000-0010-0000-0000-000012000000}" name="Column3" headerRowDxfId="21" dataDxfId="20"/>
    <tableColumn id="17" xr3:uid="{00000000-0010-0000-0000-000011000000}" name="Column2" headerRowDxfId="19" dataDxfId="18"/>
    <tableColumn id="16" xr3:uid="{00000000-0010-0000-0000-000010000000}" name="Column1" headerRowDxfId="17" dataDxfId="16"/>
    <tableColumn id="15" xr3:uid="{00000000-0010-0000-0000-00000F000000}" name="Project Name2" headerRowDxfId="15" dataDxfId="14"/>
    <tableColumn id="14" xr3:uid="{00000000-0010-0000-0000-00000E000000}" name="Task1" headerRowDxfId="13" dataDxfId="12"/>
    <tableColumn id="13" xr3:uid="{00000000-0010-0000-0000-00000D000000}" name="Regular Hours4" headerRowDxfId="11" dataDxfId="10"/>
    <tableColumn id="11" xr3:uid="{00000000-0010-0000-0000-00000B000000}" name="Project Name3" headerRowDxfId="9" dataDxfId="8"/>
    <tableColumn id="10" xr3:uid="{00000000-0010-0000-0000-00000A000000}" name="Task4" headerRowDxfId="7" dataDxfId="6"/>
    <tableColumn id="9" xr3:uid="{00000000-0010-0000-0000-000009000000}" name="Regular Hours5" headerRowDxfId="5" dataDxfId="4"/>
    <tableColumn id="8" xr3:uid="{00000000-0010-0000-0000-000008000000}" name="Permitted Overtime6" headerRowDxfId="3" dataDxfId="2"/>
    <tableColumn id="7" xr3:uid="{00000000-0010-0000-0000-000007000000}" name="Total Hours" headerRowDxfId="1" dataDxfId="0">
      <calculatedColumnFormula>Table1[[#This Row],[Permitted Overtime6]]+Table1[[#This Row],[Regular Hours5]]+Table1[[#This Row],[Regular Hours4]]+Table1[[#This Row],[Regular Hours]]+Table1[[#This Row],[Column1]]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6"/>
  <sheetViews>
    <sheetView showGridLines="0" showRowColHeaders="0" tabSelected="1" zoomScale="70" zoomScaleNormal="70" workbookViewId="0">
      <pane ySplit="12" topLeftCell="A13" activePane="bottomLeft" state="frozen"/>
      <selection pane="bottomLeft" activeCell="B36" sqref="B36"/>
    </sheetView>
  </sheetViews>
  <sheetFormatPr defaultColWidth="9.44140625" defaultRowHeight="13.2" x14ac:dyDescent="0.25"/>
  <cols>
    <col min="1" max="1" width="1.21875" style="2" customWidth="1"/>
    <col min="2" max="3" width="15.5546875" style="2" customWidth="1"/>
    <col min="4" max="5" width="22.21875" style="11" customWidth="1"/>
    <col min="6" max="6" width="12.21875" style="2" customWidth="1"/>
    <col min="7" max="7" width="22.21875" style="2" customWidth="1"/>
    <col min="8" max="8" width="14.77734375" style="2" customWidth="1"/>
    <col min="9" max="9" width="12.21875" style="2" customWidth="1"/>
    <col min="10" max="11" width="22.21875" style="2" customWidth="1"/>
    <col min="12" max="12" width="12.21875" style="2" customWidth="1"/>
    <col min="13" max="14" width="22.21875" style="2" customWidth="1"/>
    <col min="15" max="15" width="12.21875" style="2" customWidth="1"/>
    <col min="16" max="16" width="15.5546875" style="2" customWidth="1"/>
    <col min="17" max="17" width="20.33203125" style="2" customWidth="1"/>
    <col min="18" max="18" width="1.21875" style="2" customWidth="1"/>
    <col min="19" max="16384" width="9.44140625" style="2"/>
  </cols>
  <sheetData>
    <row r="2" spans="2:18" ht="22.8" customHeight="1" x14ac:dyDescent="0.25"/>
    <row r="3" spans="2:18" ht="22.8" customHeight="1" x14ac:dyDescent="0.25"/>
    <row r="4" spans="2:18" ht="21" customHeight="1" x14ac:dyDescent="0.25">
      <c r="B4" s="3"/>
    </row>
    <row r="5" spans="2:18" ht="21" customHeight="1" x14ac:dyDescent="0.25">
      <c r="B5" s="4"/>
      <c r="C5" s="4"/>
      <c r="D5" s="12"/>
      <c r="E5" s="12"/>
      <c r="F5" s="4"/>
      <c r="G5" s="4"/>
      <c r="H5" s="4"/>
      <c r="I5" s="4"/>
      <c r="J5" s="4"/>
      <c r="K5" s="4"/>
      <c r="L5" s="4"/>
      <c r="M5" s="4"/>
      <c r="N5" s="4"/>
      <c r="O5" s="4"/>
      <c r="P5" s="61" t="s">
        <v>32</v>
      </c>
      <c r="Q5" s="61"/>
    </row>
    <row r="6" spans="2:18" ht="25.05" customHeight="1" x14ac:dyDescent="0.25">
      <c r="B6" s="5" t="s">
        <v>20</v>
      </c>
    </row>
    <row r="7" spans="2:18" ht="21" customHeight="1" x14ac:dyDescent="0.25"/>
    <row r="8" spans="2:18" s="20" customFormat="1" ht="24" customHeight="1" x14ac:dyDescent="0.25">
      <c r="B8" s="74" t="s">
        <v>21</v>
      </c>
      <c r="C8" s="75"/>
      <c r="D8" s="76"/>
      <c r="E8" s="77"/>
      <c r="K8" s="21"/>
      <c r="L8" s="21"/>
      <c r="M8" s="21"/>
      <c r="N8" s="74" t="s">
        <v>29</v>
      </c>
      <c r="O8" s="75"/>
      <c r="P8" s="22"/>
      <c r="Q8" s="79">
        <v>25000</v>
      </c>
    </row>
    <row r="9" spans="2:18" s="20" customFormat="1" ht="24" customHeight="1" x14ac:dyDescent="0.25">
      <c r="B9" s="74" t="s">
        <v>22</v>
      </c>
      <c r="C9" s="75"/>
      <c r="D9" s="76"/>
      <c r="E9" s="77"/>
      <c r="K9" s="21"/>
      <c r="L9" s="21"/>
      <c r="M9" s="21"/>
      <c r="N9" s="74" t="s">
        <v>30</v>
      </c>
      <c r="O9" s="75"/>
      <c r="P9" s="22"/>
      <c r="Q9" s="23">
        <v>44593</v>
      </c>
    </row>
    <row r="10" spans="2:18" s="20" customFormat="1" ht="24" customHeight="1" x14ac:dyDescent="0.25">
      <c r="B10" s="74" t="s">
        <v>23</v>
      </c>
      <c r="C10" s="75"/>
      <c r="D10" s="76"/>
      <c r="E10" s="77"/>
      <c r="K10" s="21"/>
      <c r="L10" s="21"/>
      <c r="M10" s="21"/>
      <c r="N10" s="74" t="s">
        <v>31</v>
      </c>
      <c r="O10" s="75"/>
      <c r="P10" s="22"/>
      <c r="Q10" s="23">
        <f>Q9+13</f>
        <v>44606</v>
      </c>
    </row>
    <row r="11" spans="2:18" ht="6" customHeight="1" x14ac:dyDescent="0.25">
      <c r="B11" s="1"/>
      <c r="C11" s="1"/>
      <c r="D11" s="13"/>
      <c r="E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8" ht="54.45" customHeight="1" x14ac:dyDescent="0.25">
      <c r="B12" s="25" t="s">
        <v>24</v>
      </c>
      <c r="C12" s="25" t="s">
        <v>25</v>
      </c>
      <c r="D12" s="25" t="s">
        <v>18</v>
      </c>
      <c r="E12" s="25" t="s">
        <v>19</v>
      </c>
      <c r="F12" s="25" t="s">
        <v>26</v>
      </c>
      <c r="G12" s="25" t="s">
        <v>18</v>
      </c>
      <c r="H12" s="25" t="s">
        <v>19</v>
      </c>
      <c r="I12" s="25" t="s">
        <v>26</v>
      </c>
      <c r="J12" s="25" t="s">
        <v>18</v>
      </c>
      <c r="K12" s="25" t="s">
        <v>19</v>
      </c>
      <c r="L12" s="25" t="s">
        <v>26</v>
      </c>
      <c r="M12" s="25" t="s">
        <v>18</v>
      </c>
      <c r="N12" s="25" t="s">
        <v>19</v>
      </c>
      <c r="O12" s="25" t="s">
        <v>26</v>
      </c>
      <c r="P12" s="25" t="s">
        <v>27</v>
      </c>
      <c r="Q12" s="25" t="s">
        <v>28</v>
      </c>
      <c r="R12" s="6"/>
    </row>
    <row r="13" spans="2:18" ht="48" customHeight="1" x14ac:dyDescent="0.25">
      <c r="B13" s="26" t="str">
        <f>TEXT(Table1[[#This Row],[Date]],"dddd")</f>
        <v>dddd</v>
      </c>
      <c r="C13" s="27">
        <f t="shared" ref="C13" si="0">Q9</f>
        <v>44593</v>
      </c>
      <c r="D13" s="28" t="s">
        <v>15</v>
      </c>
      <c r="E13" s="28" t="s">
        <v>14</v>
      </c>
      <c r="F13" s="29">
        <v>5</v>
      </c>
      <c r="G13" s="30" t="s">
        <v>15</v>
      </c>
      <c r="H13" s="30" t="s">
        <v>14</v>
      </c>
      <c r="I13" s="31">
        <v>5</v>
      </c>
      <c r="J13" s="32" t="s">
        <v>15</v>
      </c>
      <c r="K13" s="32" t="s">
        <v>14</v>
      </c>
      <c r="L13" s="33">
        <v>5</v>
      </c>
      <c r="M13" s="34" t="s">
        <v>15</v>
      </c>
      <c r="N13" s="34" t="s">
        <v>14</v>
      </c>
      <c r="O13" s="35">
        <v>5</v>
      </c>
      <c r="P13" s="36">
        <v>10</v>
      </c>
      <c r="Q13" s="37">
        <f>Table1[[#This Row],[Permitted Overtime6]]+Table1[[#This Row],[Regular Hours5]]+Table1[[#This Row],[Regular Hours4]]+Table1[[#This Row],[Regular Hours]]+Table1[[#This Row],[Column1]]</f>
        <v>30</v>
      </c>
    </row>
    <row r="14" spans="2:18" ht="48" customHeight="1" x14ac:dyDescent="0.25">
      <c r="B14" s="26" t="str">
        <f>TEXT(Table1[[#This Row],[Date]],"dddd")</f>
        <v>dddd</v>
      </c>
      <c r="C14" s="27">
        <f>C13+1</f>
        <v>44594</v>
      </c>
      <c r="D14" s="28" t="s">
        <v>17</v>
      </c>
      <c r="E14" s="28" t="s">
        <v>6</v>
      </c>
      <c r="F14" s="29"/>
      <c r="G14" s="30" t="s">
        <v>17</v>
      </c>
      <c r="H14" s="30" t="s">
        <v>6</v>
      </c>
      <c r="I14" s="31"/>
      <c r="J14" s="32" t="s">
        <v>17</v>
      </c>
      <c r="K14" s="32" t="s">
        <v>6</v>
      </c>
      <c r="L14" s="33"/>
      <c r="M14" s="34" t="s">
        <v>17</v>
      </c>
      <c r="N14" s="34" t="s">
        <v>6</v>
      </c>
      <c r="O14" s="35"/>
      <c r="P14" s="36"/>
      <c r="Q14" s="37">
        <f>Table1[[#This Row],[Permitted Overtime6]]+Table1[[#This Row],[Regular Hours5]]+Table1[[#This Row],[Regular Hours4]]+Table1[[#This Row],[Regular Hours]]+Table1[[#This Row],[Column1]]</f>
        <v>0</v>
      </c>
    </row>
    <row r="15" spans="2:18" ht="48" customHeight="1" x14ac:dyDescent="0.25">
      <c r="B15" s="26" t="str">
        <f>TEXT(Table1[[#This Row],[Date]],"dddd")</f>
        <v>dddd</v>
      </c>
      <c r="C15" s="27">
        <f>C14+1</f>
        <v>44595</v>
      </c>
      <c r="D15" s="28" t="s">
        <v>1</v>
      </c>
      <c r="E15" s="28" t="s">
        <v>16</v>
      </c>
      <c r="F15" s="29"/>
      <c r="G15" s="30" t="s">
        <v>1</v>
      </c>
      <c r="H15" s="30" t="s">
        <v>16</v>
      </c>
      <c r="I15" s="31"/>
      <c r="J15" s="32" t="s">
        <v>1</v>
      </c>
      <c r="K15" s="32" t="s">
        <v>16</v>
      </c>
      <c r="L15" s="33"/>
      <c r="M15" s="34" t="s">
        <v>1</v>
      </c>
      <c r="N15" s="34" t="s">
        <v>16</v>
      </c>
      <c r="O15" s="35"/>
      <c r="P15" s="36"/>
      <c r="Q15" s="37">
        <f>Table1[[#This Row],[Permitted Overtime6]]+Table1[[#This Row],[Regular Hours5]]+Table1[[#This Row],[Regular Hours4]]+Table1[[#This Row],[Regular Hours]]+Table1[[#This Row],[Column1]]</f>
        <v>0</v>
      </c>
    </row>
    <row r="16" spans="2:18" ht="48" customHeight="1" x14ac:dyDescent="0.25">
      <c r="B16" s="26" t="str">
        <f>TEXT(Table1[[#This Row],[Date]],"dddd")</f>
        <v>dddd</v>
      </c>
      <c r="C16" s="27">
        <f>C15+1</f>
        <v>44596</v>
      </c>
      <c r="D16" s="28" t="s">
        <v>0</v>
      </c>
      <c r="E16" s="28" t="s">
        <v>6</v>
      </c>
      <c r="F16" s="38"/>
      <c r="G16" s="30" t="s">
        <v>0</v>
      </c>
      <c r="H16" s="30" t="s">
        <v>6</v>
      </c>
      <c r="I16" s="39"/>
      <c r="J16" s="32" t="s">
        <v>0</v>
      </c>
      <c r="K16" s="32" t="s">
        <v>6</v>
      </c>
      <c r="L16" s="40"/>
      <c r="M16" s="34" t="s">
        <v>0</v>
      </c>
      <c r="N16" s="34" t="s">
        <v>6</v>
      </c>
      <c r="O16" s="41"/>
      <c r="P16" s="36"/>
      <c r="Q16" s="37">
        <f>Table1[[#This Row],[Permitted Overtime6]]+Table1[[#This Row],[Regular Hours5]]+Table1[[#This Row],[Regular Hours4]]+Table1[[#This Row],[Regular Hours]]+Table1[[#This Row],[Column1]]</f>
        <v>0</v>
      </c>
    </row>
    <row r="17" spans="2:17" ht="48" customHeight="1" x14ac:dyDescent="0.25">
      <c r="B17" s="26" t="str">
        <f>TEXT(Table1[[#This Row],[Date]],"dddd")</f>
        <v>dddd</v>
      </c>
      <c r="C17" s="27">
        <f t="shared" ref="C17:C26" si="1">C16+1</f>
        <v>44597</v>
      </c>
      <c r="D17" s="28"/>
      <c r="E17" s="28"/>
      <c r="F17" s="29"/>
      <c r="G17" s="30"/>
      <c r="H17" s="30"/>
      <c r="I17" s="31"/>
      <c r="J17" s="32"/>
      <c r="K17" s="32"/>
      <c r="L17" s="33"/>
      <c r="M17" s="34"/>
      <c r="N17" s="34"/>
      <c r="O17" s="35"/>
      <c r="P17" s="36"/>
      <c r="Q17" s="37">
        <f>Table1[[#This Row],[Permitted Overtime6]]+Table1[[#This Row],[Regular Hours5]]+Table1[[#This Row],[Regular Hours4]]+Table1[[#This Row],[Regular Hours]]+Table1[[#This Row],[Column1]]</f>
        <v>0</v>
      </c>
    </row>
    <row r="18" spans="2:17" ht="48" customHeight="1" x14ac:dyDescent="0.25">
      <c r="B18" s="26" t="str">
        <f>TEXT(Table1[[#This Row],[Date]],"dddd")</f>
        <v>dddd</v>
      </c>
      <c r="C18" s="27">
        <f t="shared" si="1"/>
        <v>44598</v>
      </c>
      <c r="D18" s="42"/>
      <c r="E18" s="42"/>
      <c r="F18" s="29"/>
      <c r="G18" s="43"/>
      <c r="H18" s="43"/>
      <c r="I18" s="31"/>
      <c r="J18" s="44"/>
      <c r="K18" s="44"/>
      <c r="L18" s="33"/>
      <c r="M18" s="45"/>
      <c r="N18" s="45"/>
      <c r="O18" s="35"/>
      <c r="P18" s="36"/>
      <c r="Q18" s="37">
        <f>Table1[[#This Row],[Permitted Overtime6]]+Table1[[#This Row],[Regular Hours5]]+Table1[[#This Row],[Regular Hours4]]+Table1[[#This Row],[Regular Hours]]+Table1[[#This Row],[Column1]]</f>
        <v>0</v>
      </c>
    </row>
    <row r="19" spans="2:17" ht="48" customHeight="1" x14ac:dyDescent="0.25">
      <c r="B19" s="26" t="str">
        <f>TEXT(Table1[[#This Row],[Date]],"dddd")</f>
        <v>dddd</v>
      </c>
      <c r="C19" s="27">
        <f t="shared" si="1"/>
        <v>44599</v>
      </c>
      <c r="D19" s="46"/>
      <c r="E19" s="28"/>
      <c r="F19" s="29"/>
      <c r="G19" s="47"/>
      <c r="H19" s="30"/>
      <c r="I19" s="31"/>
      <c r="J19" s="48"/>
      <c r="K19" s="32"/>
      <c r="L19" s="33"/>
      <c r="M19" s="49"/>
      <c r="N19" s="34"/>
      <c r="O19" s="35"/>
      <c r="P19" s="36"/>
      <c r="Q19" s="37">
        <f>Table1[[#This Row],[Permitted Overtime6]]+Table1[[#This Row],[Regular Hours5]]+Table1[[#This Row],[Regular Hours4]]+Table1[[#This Row],[Regular Hours]]+Table1[[#This Row],[Column1]]</f>
        <v>0</v>
      </c>
    </row>
    <row r="20" spans="2:17" ht="48" customHeight="1" x14ac:dyDescent="0.25">
      <c r="B20" s="26" t="str">
        <f>TEXT(Table1[[#This Row],[Date]],"dddd")</f>
        <v>dddd</v>
      </c>
      <c r="C20" s="27">
        <f t="shared" si="1"/>
        <v>44600</v>
      </c>
      <c r="D20" s="46"/>
      <c r="E20" s="28"/>
      <c r="F20" s="29"/>
      <c r="G20" s="47"/>
      <c r="H20" s="30"/>
      <c r="I20" s="31"/>
      <c r="J20" s="48"/>
      <c r="K20" s="32"/>
      <c r="L20" s="33"/>
      <c r="M20" s="49"/>
      <c r="N20" s="34"/>
      <c r="O20" s="35"/>
      <c r="P20" s="36"/>
      <c r="Q20" s="37">
        <f>Table1[[#This Row],[Permitted Overtime6]]+Table1[[#This Row],[Regular Hours5]]+Table1[[#This Row],[Regular Hours4]]+Table1[[#This Row],[Regular Hours]]+Table1[[#This Row],[Column1]]</f>
        <v>0</v>
      </c>
    </row>
    <row r="21" spans="2:17" ht="48" customHeight="1" x14ac:dyDescent="0.25">
      <c r="B21" s="26" t="str">
        <f>TEXT(Table1[[#This Row],[Date]],"dddd")</f>
        <v>dddd</v>
      </c>
      <c r="C21" s="27">
        <f t="shared" si="1"/>
        <v>44601</v>
      </c>
      <c r="D21" s="28"/>
      <c r="E21" s="28"/>
      <c r="F21" s="29"/>
      <c r="G21" s="30"/>
      <c r="H21" s="30"/>
      <c r="I21" s="31"/>
      <c r="J21" s="32"/>
      <c r="K21" s="32"/>
      <c r="L21" s="33"/>
      <c r="M21" s="34"/>
      <c r="N21" s="34"/>
      <c r="O21" s="35"/>
      <c r="P21" s="36"/>
      <c r="Q21" s="37">
        <f>Table1[[#This Row],[Permitted Overtime6]]+Table1[[#This Row],[Regular Hours5]]+Table1[[#This Row],[Regular Hours4]]+Table1[[#This Row],[Regular Hours]]+Table1[[#This Row],[Column1]]</f>
        <v>0</v>
      </c>
    </row>
    <row r="22" spans="2:17" ht="48" customHeight="1" x14ac:dyDescent="0.25">
      <c r="B22" s="26" t="str">
        <f>TEXT(Table1[[#This Row],[Date]],"dddd")</f>
        <v>dddd</v>
      </c>
      <c r="C22" s="27">
        <f t="shared" si="1"/>
        <v>44602</v>
      </c>
      <c r="D22" s="28"/>
      <c r="E22" s="28"/>
      <c r="F22" s="50"/>
      <c r="G22" s="30"/>
      <c r="H22" s="30"/>
      <c r="I22" s="51"/>
      <c r="J22" s="32"/>
      <c r="K22" s="32"/>
      <c r="L22" s="52"/>
      <c r="M22" s="34"/>
      <c r="N22" s="34"/>
      <c r="O22" s="53"/>
      <c r="P22" s="36"/>
      <c r="Q22" s="37">
        <f>Table1[[#This Row],[Permitted Overtime6]]+Table1[[#This Row],[Regular Hours5]]+Table1[[#This Row],[Regular Hours4]]+Table1[[#This Row],[Regular Hours]]+Table1[[#This Row],[Column1]]</f>
        <v>0</v>
      </c>
    </row>
    <row r="23" spans="2:17" ht="48" customHeight="1" x14ac:dyDescent="0.25">
      <c r="B23" s="26" t="str">
        <f>TEXT(Table1[[#This Row],[Date]],"dddd")</f>
        <v>dddd</v>
      </c>
      <c r="C23" s="27">
        <f t="shared" si="1"/>
        <v>44603</v>
      </c>
      <c r="D23" s="28"/>
      <c r="E23" s="28"/>
      <c r="F23" s="54"/>
      <c r="G23" s="30"/>
      <c r="H23" s="30"/>
      <c r="I23" s="55"/>
      <c r="J23" s="32"/>
      <c r="K23" s="32"/>
      <c r="L23" s="56"/>
      <c r="M23" s="34"/>
      <c r="N23" s="34"/>
      <c r="O23" s="57"/>
      <c r="P23" s="36"/>
      <c r="Q23" s="37">
        <f>Table1[[#This Row],[Permitted Overtime6]]+Table1[[#This Row],[Regular Hours5]]+Table1[[#This Row],[Regular Hours4]]+Table1[[#This Row],[Regular Hours]]+Table1[[#This Row],[Column1]]</f>
        <v>0</v>
      </c>
    </row>
    <row r="24" spans="2:17" ht="48" customHeight="1" x14ac:dyDescent="0.25">
      <c r="B24" s="26" t="str">
        <f>TEXT(Table1[[#This Row],[Date]],"dddd")</f>
        <v>dddd</v>
      </c>
      <c r="C24" s="27">
        <f t="shared" si="1"/>
        <v>44604</v>
      </c>
      <c r="D24" s="28"/>
      <c r="E24" s="42"/>
      <c r="F24" s="29"/>
      <c r="G24" s="30"/>
      <c r="H24" s="43"/>
      <c r="I24" s="31"/>
      <c r="J24" s="32"/>
      <c r="K24" s="44"/>
      <c r="L24" s="33"/>
      <c r="M24" s="34"/>
      <c r="N24" s="45"/>
      <c r="O24" s="35"/>
      <c r="P24" s="36"/>
      <c r="Q24" s="37">
        <f>Table1[[#This Row],[Permitted Overtime6]]+Table1[[#This Row],[Regular Hours5]]+Table1[[#This Row],[Regular Hours4]]+Table1[[#This Row],[Regular Hours]]+Table1[[#This Row],[Column1]]</f>
        <v>0</v>
      </c>
    </row>
    <row r="25" spans="2:17" ht="48" customHeight="1" x14ac:dyDescent="0.25">
      <c r="B25" s="26" t="str">
        <f>TEXT(Table1[[#This Row],[Date]],"dddd")</f>
        <v>dddd</v>
      </c>
      <c r="C25" s="27">
        <f t="shared" si="1"/>
        <v>44605</v>
      </c>
      <c r="D25" s="28"/>
      <c r="E25" s="42"/>
      <c r="F25" s="29"/>
      <c r="G25" s="30"/>
      <c r="H25" s="43"/>
      <c r="I25" s="31"/>
      <c r="J25" s="32"/>
      <c r="K25" s="44"/>
      <c r="L25" s="33"/>
      <c r="M25" s="34"/>
      <c r="N25" s="45"/>
      <c r="O25" s="35"/>
      <c r="P25" s="36"/>
      <c r="Q25" s="37">
        <f>Table1[[#This Row],[Permitted Overtime6]]+Table1[[#This Row],[Regular Hours5]]+Table1[[#This Row],[Regular Hours4]]+Table1[[#This Row],[Regular Hours]]+Table1[[#This Row],[Column1]]</f>
        <v>0</v>
      </c>
    </row>
    <row r="26" spans="2:17" ht="48" customHeight="1" x14ac:dyDescent="0.25">
      <c r="B26" s="26" t="str">
        <f>TEXT(Table1[[#This Row],[Date]],"dddd")</f>
        <v>dddd</v>
      </c>
      <c r="C26" s="27">
        <f t="shared" si="1"/>
        <v>44606</v>
      </c>
      <c r="D26" s="42"/>
      <c r="E26" s="42"/>
      <c r="F26" s="29"/>
      <c r="G26" s="43"/>
      <c r="H26" s="43"/>
      <c r="I26" s="31"/>
      <c r="J26" s="44"/>
      <c r="K26" s="44"/>
      <c r="L26" s="33"/>
      <c r="M26" s="45"/>
      <c r="N26" s="45"/>
      <c r="O26" s="35"/>
      <c r="P26" s="36"/>
      <c r="Q26" s="37">
        <f>Table1[[#This Row],[Permitted Overtime6]]+Table1[[#This Row],[Regular Hours5]]+Table1[[#This Row],[Regular Hours4]]+Table1[[#This Row],[Regular Hours]]+Table1[[#This Row],[Column1]]</f>
        <v>0</v>
      </c>
    </row>
    <row r="27" spans="2:17" ht="6" customHeight="1" x14ac:dyDescent="0.25">
      <c r="B27" s="7"/>
      <c r="C27" s="1"/>
      <c r="D27" s="14"/>
      <c r="E27" s="1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s="20" customFormat="1" ht="24" customHeight="1" x14ac:dyDescent="0.25">
      <c r="B28" s="65" t="s">
        <v>28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7"/>
      <c r="Q28" s="24">
        <f>SUM(Table1[Total Hours])</f>
        <v>30</v>
      </c>
    </row>
    <row r="29" spans="2:17" ht="24" customHeight="1" x14ac:dyDescent="0.25">
      <c r="B29" s="71" t="s">
        <v>33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3"/>
      <c r="Q29" s="15">
        <f>Q8/160</f>
        <v>156.25</v>
      </c>
    </row>
    <row r="30" spans="2:17" s="20" customFormat="1" ht="24" customHeight="1" x14ac:dyDescent="0.25">
      <c r="B30" s="68" t="s">
        <v>35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70"/>
      <c r="Q30" s="16">
        <f>Q29*Q28</f>
        <v>4687.5</v>
      </c>
    </row>
    <row r="31" spans="2:17" ht="24" customHeight="1" x14ac:dyDescent="0.25">
      <c r="B31" s="78" t="s">
        <v>34</v>
      </c>
      <c r="C31" s="62" t="s">
        <v>10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4"/>
      <c r="Q31" s="17">
        <v>100</v>
      </c>
    </row>
    <row r="32" spans="2:17" ht="24" customHeight="1" x14ac:dyDescent="0.25">
      <c r="B32" s="78"/>
      <c r="C32" s="62" t="s">
        <v>11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4"/>
      <c r="Q32" s="18">
        <v>200</v>
      </c>
    </row>
    <row r="33" spans="2:17" ht="24" customHeight="1" x14ac:dyDescent="0.25">
      <c r="B33" s="78"/>
      <c r="C33" s="62" t="s">
        <v>12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4"/>
      <c r="Q33" s="18">
        <v>300</v>
      </c>
    </row>
    <row r="34" spans="2:17" ht="24" customHeight="1" x14ac:dyDescent="0.25">
      <c r="B34" s="78"/>
      <c r="C34" s="62" t="s">
        <v>13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4"/>
      <c r="Q34" s="18">
        <v>450</v>
      </c>
    </row>
    <row r="35" spans="2:17" s="20" customFormat="1" ht="24" customHeight="1" thickBot="1" x14ac:dyDescent="0.3">
      <c r="B35" s="58" t="s">
        <v>36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60"/>
      <c r="Q35" s="19">
        <f>Q30+Q31+Q32+Q33+Q34</f>
        <v>5737.5</v>
      </c>
    </row>
    <row r="36" spans="2:17" ht="13.8" thickTop="1" x14ac:dyDescent="0.25"/>
  </sheetData>
  <mergeCells count="19">
    <mergeCell ref="B10:C10"/>
    <mergeCell ref="N10:O10"/>
    <mergeCell ref="D10:E10"/>
    <mergeCell ref="B35:P35"/>
    <mergeCell ref="P5:Q5"/>
    <mergeCell ref="C31:P31"/>
    <mergeCell ref="C32:P32"/>
    <mergeCell ref="C33:P33"/>
    <mergeCell ref="C34:P34"/>
    <mergeCell ref="B28:P28"/>
    <mergeCell ref="B30:P30"/>
    <mergeCell ref="B29:P29"/>
    <mergeCell ref="B8:C8"/>
    <mergeCell ref="B9:C9"/>
    <mergeCell ref="D8:E8"/>
    <mergeCell ref="D9:E9"/>
    <mergeCell ref="B31:B34"/>
    <mergeCell ref="N8:O8"/>
    <mergeCell ref="N9:O9"/>
  </mergeCells>
  <printOptions horizontalCentered="1"/>
  <pageMargins left="0" right="0" top="0.25" bottom="0" header="0.3" footer="0.3"/>
  <pageSetup scale="50" orientation="landscape" r:id="rId1"/>
  <ignoredErrors>
    <ignoredError sqref="C14:C26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Database!$B$3:$B$31</xm:f>
          </x14:formula1>
          <xm:sqref>D13:D26 J13:J26 M13:M26 G13:G26</xm:sqref>
        </x14:dataValidation>
        <x14:dataValidation type="list" allowBlank="1" showInputMessage="1" showErrorMessage="1" xr:uid="{00000000-0002-0000-0000-000001000000}">
          <x14:formula1>
            <xm:f>Database!$C$3:$C$31</xm:f>
          </x14:formula1>
          <xm:sqref>E13:E26 K13:K26 N13:N26 H13:H26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1"/>
  <sheetViews>
    <sheetView showGridLines="0" showRowColHeaders="0" zoomScaleNormal="100" workbookViewId="0">
      <selection activeCell="C3" sqref="C3"/>
    </sheetView>
  </sheetViews>
  <sheetFormatPr defaultColWidth="9" defaultRowHeight="13.2" x14ac:dyDescent="0.25"/>
  <cols>
    <col min="1" max="1" width="1.21875" customWidth="1"/>
    <col min="2" max="2" width="33.21875" customWidth="1"/>
    <col min="3" max="3" width="27.77734375" customWidth="1"/>
    <col min="4" max="4" width="1.21875" customWidth="1"/>
  </cols>
  <sheetData>
    <row r="1" spans="2:3" ht="6" customHeight="1" x14ac:dyDescent="0.25"/>
    <row r="2" spans="2:3" ht="31.2" customHeight="1" x14ac:dyDescent="0.25">
      <c r="B2" s="10" t="s">
        <v>18</v>
      </c>
      <c r="C2" s="10" t="s">
        <v>19</v>
      </c>
    </row>
    <row r="3" spans="2:3" ht="18" customHeight="1" x14ac:dyDescent="0.25">
      <c r="B3" s="8" t="s">
        <v>0</v>
      </c>
      <c r="C3" s="8" t="s">
        <v>3</v>
      </c>
    </row>
    <row r="4" spans="2:3" ht="18" customHeight="1" x14ac:dyDescent="0.25">
      <c r="B4" s="8" t="s">
        <v>1</v>
      </c>
      <c r="C4" s="8" t="s">
        <v>4</v>
      </c>
    </row>
    <row r="5" spans="2:3" ht="18" customHeight="1" x14ac:dyDescent="0.25">
      <c r="B5" s="8" t="s">
        <v>2</v>
      </c>
      <c r="C5" s="8" t="s">
        <v>5</v>
      </c>
    </row>
    <row r="6" spans="2:3" ht="18" customHeight="1" x14ac:dyDescent="0.25">
      <c r="B6" s="8" t="s">
        <v>15</v>
      </c>
      <c r="C6" s="8" t="s">
        <v>6</v>
      </c>
    </row>
    <row r="7" spans="2:3" ht="18" customHeight="1" x14ac:dyDescent="0.25">
      <c r="B7" s="8" t="s">
        <v>17</v>
      </c>
      <c r="C7" s="8" t="s">
        <v>7</v>
      </c>
    </row>
    <row r="8" spans="2:3" ht="18" customHeight="1" x14ac:dyDescent="0.25">
      <c r="B8" s="9"/>
      <c r="C8" s="8" t="s">
        <v>8</v>
      </c>
    </row>
    <row r="9" spans="2:3" ht="18" customHeight="1" x14ac:dyDescent="0.25">
      <c r="B9" s="9"/>
      <c r="C9" s="8" t="s">
        <v>9</v>
      </c>
    </row>
    <row r="10" spans="2:3" ht="18" customHeight="1" x14ac:dyDescent="0.25">
      <c r="B10" s="9"/>
      <c r="C10" s="8" t="s">
        <v>14</v>
      </c>
    </row>
    <row r="11" spans="2:3" ht="18" customHeight="1" x14ac:dyDescent="0.25">
      <c r="B11" s="9"/>
      <c r="C11" s="8" t="s">
        <v>16</v>
      </c>
    </row>
    <row r="12" spans="2:3" ht="18" customHeight="1" x14ac:dyDescent="0.25">
      <c r="B12" s="9"/>
      <c r="C12" s="9"/>
    </row>
    <row r="13" spans="2:3" ht="18" customHeight="1" x14ac:dyDescent="0.25">
      <c r="B13" s="9"/>
      <c r="C13" s="9"/>
    </row>
    <row r="14" spans="2:3" ht="18" customHeight="1" x14ac:dyDescent="0.25">
      <c r="B14" s="9"/>
      <c r="C14" s="9"/>
    </row>
    <row r="15" spans="2:3" ht="18" customHeight="1" x14ac:dyDescent="0.25">
      <c r="B15" s="9"/>
      <c r="C15" s="9"/>
    </row>
    <row r="16" spans="2:3" ht="18" customHeight="1" x14ac:dyDescent="0.25">
      <c r="B16" s="9"/>
      <c r="C16" s="9"/>
    </row>
    <row r="17" spans="2:3" ht="18" customHeight="1" x14ac:dyDescent="0.25">
      <c r="B17" s="9"/>
      <c r="C17" s="9"/>
    </row>
    <row r="18" spans="2:3" ht="18" customHeight="1" x14ac:dyDescent="0.25">
      <c r="B18" s="9"/>
      <c r="C18" s="9"/>
    </row>
    <row r="19" spans="2:3" ht="18" customHeight="1" x14ac:dyDescent="0.25">
      <c r="B19" s="9"/>
      <c r="C19" s="9"/>
    </row>
    <row r="20" spans="2:3" ht="18" customHeight="1" x14ac:dyDescent="0.25">
      <c r="B20" s="9"/>
      <c r="C20" s="9"/>
    </row>
    <row r="21" spans="2:3" ht="18" customHeight="1" x14ac:dyDescent="0.25">
      <c r="B21" s="9"/>
      <c r="C21" s="9"/>
    </row>
    <row r="22" spans="2:3" ht="18" customHeight="1" x14ac:dyDescent="0.25">
      <c r="B22" s="9"/>
      <c r="C22" s="9"/>
    </row>
    <row r="23" spans="2:3" ht="18" customHeight="1" x14ac:dyDescent="0.25">
      <c r="B23" s="9"/>
      <c r="C23" s="9"/>
    </row>
    <row r="24" spans="2:3" ht="18" customHeight="1" x14ac:dyDescent="0.25">
      <c r="B24" s="9"/>
      <c r="C24" s="9"/>
    </row>
    <row r="25" spans="2:3" ht="18" customHeight="1" x14ac:dyDescent="0.25">
      <c r="B25" s="9"/>
      <c r="C25" s="9"/>
    </row>
    <row r="26" spans="2:3" ht="18" customHeight="1" x14ac:dyDescent="0.25">
      <c r="B26" s="9"/>
      <c r="C26" s="9"/>
    </row>
    <row r="27" spans="2:3" ht="18" customHeight="1" x14ac:dyDescent="0.25">
      <c r="B27" s="9"/>
      <c r="C27" s="9"/>
    </row>
    <row r="28" spans="2:3" ht="18" customHeight="1" x14ac:dyDescent="0.25">
      <c r="B28" s="9"/>
      <c r="C28" s="9"/>
    </row>
    <row r="29" spans="2:3" ht="18" customHeight="1" x14ac:dyDescent="0.25">
      <c r="B29" s="9"/>
      <c r="C29" s="9"/>
    </row>
    <row r="30" spans="2:3" ht="18" customHeight="1" x14ac:dyDescent="0.25">
      <c r="B30" s="9"/>
      <c r="C30" s="9"/>
    </row>
    <row r="31" spans="2:3" ht="18" customHeight="1" x14ac:dyDescent="0.25">
      <c r="B31" s="9"/>
      <c r="C31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Sheet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tasya ramadhinta</cp:lastModifiedBy>
  <cp:lastPrinted>2022-05-20T12:10:26Z</cp:lastPrinted>
  <dcterms:created xsi:type="dcterms:W3CDTF">2022-05-18T08:26:14Z</dcterms:created>
  <dcterms:modified xsi:type="dcterms:W3CDTF">2023-07-10T05:54:46Z</dcterms:modified>
</cp:coreProperties>
</file>