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13_ncr:1_{2C89531C-944F-4FA9-A7F3-28FC1E9256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1" l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16" i="1"/>
  <c r="P41" i="1"/>
  <c r="I18" i="1"/>
  <c r="I21" i="1"/>
  <c r="I28" i="1"/>
  <c r="I29" i="1"/>
  <c r="I31" i="1"/>
  <c r="I38" i="1"/>
  <c r="I45" i="1"/>
  <c r="P40" i="1" l="1"/>
  <c r="P30" i="1"/>
  <c r="O18" i="1"/>
  <c r="O19" i="1"/>
  <c r="O17" i="1" s="1"/>
  <c r="E16" i="1"/>
  <c r="E17" i="1" s="1"/>
  <c r="C17" i="1" s="1"/>
  <c r="J17" i="1" l="1"/>
  <c r="H17" i="1"/>
  <c r="I17" i="1" s="1"/>
  <c r="C16" i="1"/>
  <c r="B16" i="1"/>
  <c r="B17" i="1"/>
  <c r="O29" i="1" s="1"/>
  <c r="P29" i="1" s="1"/>
  <c r="E18" i="1"/>
  <c r="J16" i="1" l="1"/>
  <c r="H16" i="1"/>
  <c r="I16" i="1"/>
  <c r="O39" i="1"/>
  <c r="P39" i="1" s="1"/>
  <c r="E19" i="1"/>
  <c r="B18" i="1"/>
  <c r="C18" i="1"/>
  <c r="J18" i="1" l="1"/>
  <c r="H18" i="1"/>
  <c r="E20" i="1"/>
  <c r="C19" i="1"/>
  <c r="B19" i="1"/>
  <c r="J19" i="1" l="1"/>
  <c r="H19" i="1"/>
  <c r="I19" i="1"/>
  <c r="E21" i="1"/>
  <c r="C20" i="1"/>
  <c r="B20" i="1"/>
  <c r="H20" i="1" l="1"/>
  <c r="J20" i="1"/>
  <c r="I20" i="1"/>
  <c r="E22" i="1"/>
  <c r="B21" i="1"/>
  <c r="C21" i="1"/>
  <c r="J21" i="1" l="1"/>
  <c r="H21" i="1"/>
  <c r="E23" i="1"/>
  <c r="C22" i="1"/>
  <c r="B22" i="1"/>
  <c r="J22" i="1" l="1"/>
  <c r="H22" i="1"/>
  <c r="I22" i="1"/>
  <c r="E24" i="1"/>
  <c r="C23" i="1"/>
  <c r="B23" i="1"/>
  <c r="J23" i="1" l="1"/>
  <c r="H23" i="1"/>
  <c r="I23" i="1"/>
  <c r="E25" i="1"/>
  <c r="B24" i="1"/>
  <c r="C24" i="1"/>
  <c r="H24" i="1" l="1"/>
  <c r="J24" i="1"/>
  <c r="I24" i="1"/>
  <c r="E26" i="1"/>
  <c r="B25" i="1"/>
  <c r="C25" i="1"/>
  <c r="J25" i="1" l="1"/>
  <c r="H25" i="1"/>
  <c r="I25" i="1"/>
  <c r="E27" i="1"/>
  <c r="B26" i="1"/>
  <c r="C26" i="1"/>
  <c r="J26" i="1" l="1"/>
  <c r="H26" i="1"/>
  <c r="I26" i="1"/>
  <c r="E28" i="1"/>
  <c r="C27" i="1"/>
  <c r="B27" i="1"/>
  <c r="J27" i="1" l="1"/>
  <c r="H27" i="1"/>
  <c r="I27" i="1"/>
  <c r="E29" i="1"/>
  <c r="C28" i="1"/>
  <c r="B28" i="1"/>
  <c r="H28" i="1" l="1"/>
  <c r="J28" i="1"/>
  <c r="E30" i="1"/>
  <c r="C29" i="1"/>
  <c r="B29" i="1"/>
  <c r="J29" i="1" l="1"/>
  <c r="H29" i="1"/>
  <c r="E31" i="1"/>
  <c r="B30" i="1"/>
  <c r="C30" i="1"/>
  <c r="J30" i="1" l="1"/>
  <c r="H30" i="1"/>
  <c r="I30" i="1"/>
  <c r="E32" i="1"/>
  <c r="C31" i="1"/>
  <c r="B31" i="1"/>
  <c r="J31" i="1" l="1"/>
  <c r="H31" i="1"/>
  <c r="E33" i="1"/>
  <c r="B32" i="1"/>
  <c r="C32" i="1"/>
  <c r="H32" i="1" l="1"/>
  <c r="J32" i="1"/>
  <c r="I32" i="1"/>
  <c r="E34" i="1"/>
  <c r="C33" i="1"/>
  <c r="B33" i="1"/>
  <c r="J33" i="1" l="1"/>
  <c r="H33" i="1"/>
  <c r="I33" i="1"/>
  <c r="E35" i="1"/>
  <c r="B34" i="1"/>
  <c r="C34" i="1"/>
  <c r="J34" i="1" l="1"/>
  <c r="H34" i="1"/>
  <c r="I34" i="1"/>
  <c r="E36" i="1"/>
  <c r="C35" i="1"/>
  <c r="B35" i="1"/>
  <c r="J35" i="1" l="1"/>
  <c r="H35" i="1"/>
  <c r="I35" i="1"/>
  <c r="E37" i="1"/>
  <c r="C36" i="1"/>
  <c r="B36" i="1"/>
  <c r="H36" i="1" l="1"/>
  <c r="J36" i="1"/>
  <c r="I36" i="1"/>
  <c r="E38" i="1"/>
  <c r="B37" i="1"/>
  <c r="C37" i="1"/>
  <c r="J37" i="1" l="1"/>
  <c r="H37" i="1"/>
  <c r="I37" i="1"/>
  <c r="E39" i="1"/>
  <c r="C38" i="1"/>
  <c r="B38" i="1"/>
  <c r="J38" i="1" l="1"/>
  <c r="H38" i="1"/>
  <c r="E40" i="1"/>
  <c r="C39" i="1"/>
  <c r="B39" i="1"/>
  <c r="J39" i="1" l="1"/>
  <c r="H39" i="1"/>
  <c r="I39" i="1"/>
  <c r="E41" i="1"/>
  <c r="C40" i="1"/>
  <c r="B40" i="1"/>
  <c r="H40" i="1" l="1"/>
  <c r="J40" i="1"/>
  <c r="I40" i="1"/>
  <c r="E42" i="1"/>
  <c r="C41" i="1"/>
  <c r="B41" i="1"/>
  <c r="J41" i="1" l="1"/>
  <c r="H41" i="1"/>
  <c r="I41" i="1"/>
  <c r="E43" i="1"/>
  <c r="B42" i="1"/>
  <c r="C42" i="1"/>
  <c r="J42" i="1" l="1"/>
  <c r="H42" i="1"/>
  <c r="I42" i="1"/>
  <c r="E44" i="1"/>
  <c r="C43" i="1"/>
  <c r="B43" i="1"/>
  <c r="J43" i="1" l="1"/>
  <c r="H43" i="1"/>
  <c r="I43" i="1"/>
  <c r="E45" i="1"/>
  <c r="C44" i="1"/>
  <c r="B44" i="1"/>
  <c r="H44" i="1" l="1"/>
  <c r="J44" i="1"/>
  <c r="I44" i="1"/>
  <c r="E46" i="1"/>
  <c r="C45" i="1"/>
  <c r="B45" i="1"/>
  <c r="J45" i="1" l="1"/>
  <c r="H45" i="1"/>
  <c r="C46" i="1"/>
  <c r="B46" i="1"/>
  <c r="O37" i="1" l="1"/>
  <c r="P37" i="1" s="1"/>
  <c r="O27" i="1"/>
  <c r="P27" i="1" s="1"/>
  <c r="J46" i="1"/>
  <c r="O31" i="1" s="1"/>
  <c r="P31" i="1" s="1"/>
  <c r="H46" i="1"/>
  <c r="I46" i="1"/>
  <c r="O38" i="1"/>
  <c r="O28" i="1"/>
  <c r="P28" i="1" s="1"/>
  <c r="O42" i="1" l="1"/>
  <c r="P42" i="1" s="1"/>
  <c r="P32" i="1"/>
  <c r="P33" i="1"/>
  <c r="P38" i="1"/>
  <c r="P43" i="1" l="1"/>
  <c r="P44" i="1"/>
</calcChain>
</file>

<file path=xl/sharedStrings.xml><?xml version="1.0" encoding="utf-8"?>
<sst xmlns="http://schemas.openxmlformats.org/spreadsheetml/2006/main" count="104" uniqueCount="62">
  <si>
    <t>Breakup</t>
  </si>
  <si>
    <t>Meal Allowance</t>
  </si>
  <si>
    <t>Hourly Rate</t>
  </si>
  <si>
    <t>Transport Allowance</t>
  </si>
  <si>
    <t>OT Cost</t>
  </si>
  <si>
    <t>DOB</t>
  </si>
  <si>
    <t>02.03.1985</t>
  </si>
  <si>
    <t>08.08.2012</t>
  </si>
  <si>
    <t>UEN</t>
  </si>
  <si>
    <t>201118153G-PTE-01</t>
  </si>
  <si>
    <t>Employee 2</t>
  </si>
  <si>
    <t>08:30 AM - 17:30 PM</t>
  </si>
  <si>
    <t>Legend</t>
  </si>
  <si>
    <t>Over Time Rate (1x)</t>
  </si>
  <si>
    <t>No Sick Leave Allowance</t>
  </si>
  <si>
    <t>Meal Allowance (Per Day)</t>
  </si>
  <si>
    <t>No. of OT Hours (1x)</t>
  </si>
  <si>
    <t>No Sick leave Allowance</t>
  </si>
  <si>
    <t>Day Rate</t>
  </si>
  <si>
    <t>Deductions</t>
  </si>
  <si>
    <t>No.</t>
  </si>
  <si>
    <t>No of Days</t>
  </si>
  <si>
    <t>Nama Karyawan</t>
  </si>
  <si>
    <t>Tanggal Dimulainya</t>
  </si>
  <si>
    <t>Pekerjaan</t>
  </si>
  <si>
    <t>Jam Kerja Resmi</t>
  </si>
  <si>
    <t>Hari kerja</t>
  </si>
  <si>
    <t>Sabtu</t>
  </si>
  <si>
    <t>Cuti Sakit</t>
  </si>
  <si>
    <t>Sedang cuti</t>
  </si>
  <si>
    <t>Hari Libur/Libur Umum</t>
  </si>
  <si>
    <t>Untuk memasukkan data Babak ke-1</t>
  </si>
  <si>
    <t>Untuk memasukkan data Babak ke-2</t>
  </si>
  <si>
    <t>Sel diformulasi. Tolong jangan diedit.</t>
  </si>
  <si>
    <t>Data Info</t>
  </si>
  <si>
    <t>Hak Cuti Sakit Berbayar :</t>
  </si>
  <si>
    <t>Hak Cuti Tahunan Berbayar :</t>
  </si>
  <si>
    <t>14 Hari</t>
  </si>
  <si>
    <t>Setengah</t>
  </si>
  <si>
    <t>Hari</t>
  </si>
  <si>
    <t>Tipe Hari</t>
  </si>
  <si>
    <t>Tanggal</t>
  </si>
  <si>
    <t>Waktu</t>
  </si>
  <si>
    <t>Masuk</t>
  </si>
  <si>
    <t>Keluar</t>
  </si>
  <si>
    <t>Jam Normal</t>
  </si>
  <si>
    <t>Jam Lembur</t>
  </si>
  <si>
    <t>Potongan</t>
  </si>
  <si>
    <t>Catatan</t>
  </si>
  <si>
    <t>Rincian Gaji dan Tunjangan Karyawan</t>
  </si>
  <si>
    <t>Deskripsi</t>
  </si>
  <si>
    <t>Tarif</t>
  </si>
  <si>
    <t>Gaji Pokok Bulanan</t>
  </si>
  <si>
    <t>Tunjangan</t>
  </si>
  <si>
    <t>Detail Babak Pertama</t>
  </si>
  <si>
    <t>Item Pembayaran</t>
  </si>
  <si>
    <t>Total Gaji Kotor</t>
  </si>
  <si>
    <t>Gaji</t>
  </si>
  <si>
    <t>Detail Babak Kedua</t>
  </si>
  <si>
    <t>Hari Libur</t>
  </si>
  <si>
    <t>Sedang Cuti</t>
  </si>
  <si>
    <t>Hari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</si>
</sst>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"/>
    <numFmt numFmtId="165" formatCode="[$-409]d\-mmm\-yy;@"/>
    <numFmt numFmtId="166" formatCode="_-&quot;$&quot;* #,##0.00_-;\-&quot;$&quot;* #,##0.00_-;_-&quot;$&quot;* &quot;-&quot;??_-;_-@_-"/>
    <numFmt numFmtId="167" formatCode="mmmm\-yyyy"/>
    <numFmt numFmtId="169" formatCode="h:mm;@"/>
    <numFmt numFmtId="170" formatCode="_([$IDR]\ * #,##0.00_);_([$IDR]\ * \(#,##0.00\);_([$IDR]\ 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u/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9" borderId="0" xfId="0" applyFont="1" applyFill="1"/>
    <xf numFmtId="0" fontId="3" fillId="10" borderId="0" xfId="0" applyFont="1" applyFill="1"/>
    <xf numFmtId="0" fontId="3" fillId="5" borderId="0" xfId="0" applyFont="1" applyFill="1"/>
    <xf numFmtId="0" fontId="3" fillId="3" borderId="0" xfId="0" applyFont="1" applyFill="1"/>
    <xf numFmtId="0" fontId="3" fillId="2" borderId="0" xfId="0" applyFont="1" applyFill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2" fillId="4" borderId="0" xfId="0" applyFont="1" applyFill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44" fontId="2" fillId="0" borderId="0" xfId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left" vertical="center"/>
    </xf>
    <xf numFmtId="2" fontId="3" fillId="2" borderId="0" xfId="0" applyNumberFormat="1" applyFont="1" applyFill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44" fontId="3" fillId="0" borderId="0" xfId="1" applyFont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center" vertical="center"/>
    </xf>
    <xf numFmtId="44" fontId="3" fillId="7" borderId="9" xfId="1" applyFont="1" applyFill="1" applyBorder="1" applyAlignment="1">
      <alignment vertical="center"/>
    </xf>
    <xf numFmtId="0" fontId="3" fillId="7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3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9" fontId="4" fillId="4" borderId="1" xfId="0" quotePrefix="1" applyNumberFormat="1" applyFont="1" applyFill="1" applyBorder="1" applyAlignment="1">
      <alignment horizontal="center" vertical="center"/>
    </xf>
    <xf numFmtId="169" fontId="3" fillId="4" borderId="1" xfId="0" applyNumberFormat="1" applyFont="1" applyFill="1" applyBorder="1" applyAlignment="1">
      <alignment horizontal="center" vertical="center"/>
    </xf>
    <xf numFmtId="0" fontId="3" fillId="12" borderId="0" xfId="0" applyFont="1" applyFill="1"/>
    <xf numFmtId="164" fontId="7" fillId="7" borderId="2" xfId="0" applyNumberFormat="1" applyFont="1" applyFill="1" applyBorder="1" applyAlignment="1">
      <alignment horizontal="center" vertical="center"/>
    </xf>
    <xf numFmtId="164" fontId="7" fillId="7" borderId="9" xfId="0" applyNumberFormat="1" applyFont="1" applyFill="1" applyBorder="1" applyAlignment="1">
      <alignment horizontal="center" vertical="center"/>
    </xf>
    <xf numFmtId="164" fontId="7" fillId="7" borderId="3" xfId="0" applyNumberFormat="1" applyFont="1" applyFill="1" applyBorder="1" applyAlignment="1">
      <alignment horizontal="center" vertical="center"/>
    </xf>
    <xf numFmtId="167" fontId="6" fillId="11" borderId="2" xfId="0" applyNumberFormat="1" applyFont="1" applyFill="1" applyBorder="1" applyAlignment="1">
      <alignment horizontal="center" vertical="center"/>
    </xf>
    <xf numFmtId="167" fontId="6" fillId="11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0" fontId="2" fillId="5" borderId="0" xfId="1" applyNumberFormat="1" applyFont="1" applyFill="1" applyBorder="1" applyAlignment="1">
      <alignment horizontal="center" vertical="center"/>
    </xf>
    <xf numFmtId="170" fontId="3" fillId="2" borderId="0" xfId="1" applyNumberFormat="1" applyFont="1" applyFill="1" applyBorder="1" applyAlignment="1">
      <alignment horizontal="center" vertical="center"/>
    </xf>
    <xf numFmtId="170" fontId="2" fillId="0" borderId="0" xfId="1" applyNumberFormat="1" applyFont="1" applyBorder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70" fontId="3" fillId="2" borderId="8" xfId="1" applyNumberFormat="1" applyFont="1" applyFill="1" applyBorder="1" applyAlignment="1">
      <alignment horizontal="center" vertical="center"/>
    </xf>
    <xf numFmtId="170" fontId="3" fillId="0" borderId="0" xfId="1" applyNumberFormat="1" applyFont="1" applyFill="1" applyBorder="1" applyAlignment="1">
      <alignment horizontal="center" vertical="center"/>
    </xf>
    <xf numFmtId="170" fontId="3" fillId="5" borderId="0" xfId="1" applyNumberFormat="1" applyFont="1" applyFill="1" applyBorder="1" applyAlignment="1">
      <alignment horizontal="center" vertical="center"/>
    </xf>
    <xf numFmtId="170" fontId="4" fillId="0" borderId="0" xfId="1" applyNumberFormat="1" applyFont="1" applyFill="1" applyBorder="1" applyAlignment="1">
      <alignment horizontal="center" vertical="center"/>
    </xf>
    <xf numFmtId="170" fontId="2" fillId="2" borderId="8" xfId="1" applyNumberFormat="1" applyFont="1" applyFill="1" applyBorder="1" applyAlignment="1">
      <alignment horizontal="center" vertical="center"/>
    </xf>
    <xf numFmtId="170" fontId="3" fillId="0" borderId="0" xfId="0" applyNumberFormat="1" applyFont="1" applyAlignment="1">
      <alignment vertical="center"/>
    </xf>
    <xf numFmtId="170" fontId="4" fillId="0" borderId="0" xfId="1" applyNumberFormat="1" applyFon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4747"/>
        </patternFill>
      </fill>
    </dxf>
    <dxf>
      <fill>
        <patternFill>
          <bgColor rgb="FFFF3F3F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4747"/>
        </patternFill>
      </fill>
    </dxf>
    <dxf>
      <fill>
        <patternFill>
          <bgColor rgb="FFFF3F3F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3F3F"/>
      <color rgb="FFFF4747"/>
      <color rgb="FFF0F0F0"/>
      <color rgb="FFF3F3F3"/>
      <color rgb="FFFF99CC"/>
      <color rgb="FFFF99FF"/>
      <color rgb="FFFF006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46"/>
  <sheetViews>
    <sheetView showGridLines="0" showRowColHeaders="0" tabSelected="1" zoomScaleNormal="100" workbookViewId="0">
      <selection activeCell="H46" sqref="H46"/>
    </sheetView>
  </sheetViews>
  <sheetFormatPr defaultRowHeight="13.8" x14ac:dyDescent="0.25"/>
  <cols>
    <col min="1" max="1" width="1.109375" style="1" customWidth="1"/>
    <col min="2" max="2" width="9.21875" style="2" bestFit="1" customWidth="1"/>
    <col min="3" max="3" width="10.33203125" style="10" bestFit="1" customWidth="1"/>
    <col min="4" max="4" width="10.44140625" style="10" customWidth="1"/>
    <col min="5" max="5" width="9.88671875" style="1" bestFit="1" customWidth="1"/>
    <col min="6" max="6" width="10.44140625" style="1" bestFit="1" customWidth="1"/>
    <col min="7" max="7" width="12.77734375" style="1" customWidth="1"/>
    <col min="8" max="8" width="12.6640625" style="2" customWidth="1"/>
    <col min="9" max="9" width="15.33203125" style="2" bestFit="1" customWidth="1"/>
    <col min="10" max="10" width="12.6640625" style="2" customWidth="1"/>
    <col min="11" max="11" width="10.109375" style="2" customWidth="1"/>
    <col min="12" max="12" width="29.77734375" style="1" customWidth="1"/>
    <col min="13" max="13" width="1.21875" style="1" customWidth="1"/>
    <col min="14" max="14" width="27.109375" style="17" bestFit="1" customWidth="1"/>
    <col min="15" max="15" width="12.109375" style="21" bestFit="1" customWidth="1"/>
    <col min="16" max="16" width="13.109375" style="6" customWidth="1"/>
    <col min="17" max="17" width="8.88671875" style="21"/>
    <col min="18" max="18" width="9.21875" style="1" bestFit="1" customWidth="1"/>
    <col min="19" max="16384" width="8.88671875" style="1"/>
  </cols>
  <sheetData>
    <row r="1" spans="2:17" ht="5.4" customHeight="1" x14ac:dyDescent="0.25">
      <c r="B1" s="11"/>
      <c r="C1" s="18"/>
      <c r="J1" s="1"/>
      <c r="K1" s="1"/>
    </row>
    <row r="2" spans="2:17" ht="17.399999999999999" x14ac:dyDescent="0.3">
      <c r="B2" s="59">
        <v>44774</v>
      </c>
      <c r="C2" s="60"/>
      <c r="I2" s="19"/>
      <c r="J2" s="19"/>
      <c r="K2" s="1"/>
    </row>
    <row r="3" spans="2:17" ht="5.4" customHeight="1" x14ac:dyDescent="0.25">
      <c r="B3" s="1"/>
      <c r="I3" s="20"/>
      <c r="J3" s="20"/>
      <c r="K3" s="1"/>
    </row>
    <row r="4" spans="2:17" x14ac:dyDescent="0.25">
      <c r="B4" s="11" t="s">
        <v>22</v>
      </c>
      <c r="C4" s="18"/>
      <c r="D4" s="61" t="s">
        <v>10</v>
      </c>
      <c r="E4" s="61"/>
      <c r="F4" s="61"/>
      <c r="I4" s="22"/>
      <c r="J4" s="66" t="s">
        <v>12</v>
      </c>
      <c r="K4" s="1"/>
      <c r="N4" s="66" t="s">
        <v>34</v>
      </c>
    </row>
    <row r="5" spans="2:17" x14ac:dyDescent="0.25">
      <c r="B5" s="11" t="s">
        <v>5</v>
      </c>
      <c r="C5" s="18"/>
      <c r="D5" s="10" t="s">
        <v>6</v>
      </c>
      <c r="I5" s="22"/>
      <c r="J5" s="66"/>
      <c r="K5" s="1"/>
      <c r="N5" s="66"/>
    </row>
    <row r="6" spans="2:17" x14ac:dyDescent="0.25">
      <c r="B6" s="11" t="s">
        <v>23</v>
      </c>
      <c r="C6" s="18"/>
      <c r="D6" s="10" t="s">
        <v>7</v>
      </c>
      <c r="I6" s="20"/>
      <c r="J6" s="55"/>
      <c r="K6" s="10" t="s">
        <v>28</v>
      </c>
      <c r="N6" s="17" t="s">
        <v>36</v>
      </c>
      <c r="O6" s="21" t="s">
        <v>37</v>
      </c>
    </row>
    <row r="7" spans="2:17" x14ac:dyDescent="0.25">
      <c r="B7" s="11" t="s">
        <v>24</v>
      </c>
      <c r="C7" s="18"/>
      <c r="I7" s="22"/>
      <c r="J7" s="12"/>
      <c r="K7" s="10" t="s">
        <v>29</v>
      </c>
      <c r="N7" s="17" t="s">
        <v>35</v>
      </c>
      <c r="O7" s="21" t="s">
        <v>37</v>
      </c>
    </row>
    <row r="8" spans="2:17" x14ac:dyDescent="0.25">
      <c r="B8" s="11" t="s">
        <v>8</v>
      </c>
      <c r="C8" s="18"/>
      <c r="D8" s="10" t="s">
        <v>9</v>
      </c>
      <c r="J8" s="13"/>
      <c r="K8" s="10" t="s">
        <v>30</v>
      </c>
    </row>
    <row r="9" spans="2:17" x14ac:dyDescent="0.25">
      <c r="B9" s="11"/>
      <c r="C9" s="18"/>
      <c r="J9" s="14"/>
      <c r="K9" s="10" t="s">
        <v>31</v>
      </c>
    </row>
    <row r="10" spans="2:17" x14ac:dyDescent="0.25">
      <c r="B10" s="11" t="s">
        <v>25</v>
      </c>
      <c r="C10" s="18"/>
      <c r="J10" s="15"/>
      <c r="K10" s="10" t="s">
        <v>32</v>
      </c>
    </row>
    <row r="11" spans="2:17" x14ac:dyDescent="0.25">
      <c r="B11" s="6" t="s">
        <v>26</v>
      </c>
      <c r="C11" s="17"/>
      <c r="D11" s="17" t="s">
        <v>11</v>
      </c>
      <c r="E11" s="6"/>
      <c r="J11" s="16"/>
      <c r="K11" s="10" t="s">
        <v>33</v>
      </c>
    </row>
    <row r="12" spans="2:17" x14ac:dyDescent="0.25">
      <c r="B12" s="6" t="s">
        <v>27</v>
      </c>
      <c r="C12" s="17"/>
      <c r="D12" s="17" t="s">
        <v>11</v>
      </c>
      <c r="E12" s="6"/>
    </row>
    <row r="13" spans="2:17" ht="12" customHeight="1" x14ac:dyDescent="0.25">
      <c r="B13" s="6"/>
      <c r="C13" s="17"/>
      <c r="D13" s="17"/>
      <c r="E13" s="6"/>
      <c r="P13" s="17"/>
    </row>
    <row r="14" spans="2:17" ht="27" customHeight="1" x14ac:dyDescent="0.25">
      <c r="B14" s="62" t="s">
        <v>38</v>
      </c>
      <c r="C14" s="65" t="s">
        <v>39</v>
      </c>
      <c r="D14" s="64" t="s">
        <v>40</v>
      </c>
      <c r="E14" s="62" t="s">
        <v>41</v>
      </c>
      <c r="F14" s="62" t="s">
        <v>42</v>
      </c>
      <c r="G14" s="62"/>
      <c r="H14" s="63" t="s">
        <v>0</v>
      </c>
      <c r="I14" s="63"/>
      <c r="J14" s="63" t="s">
        <v>47</v>
      </c>
      <c r="K14" s="63" t="s">
        <v>1</v>
      </c>
      <c r="L14" s="62" t="s">
        <v>48</v>
      </c>
      <c r="N14" s="56" t="s">
        <v>49</v>
      </c>
      <c r="O14" s="57"/>
      <c r="P14" s="57"/>
      <c r="Q14" s="58"/>
    </row>
    <row r="15" spans="2:17" ht="27" customHeight="1" x14ac:dyDescent="0.25">
      <c r="B15" s="62"/>
      <c r="C15" s="65"/>
      <c r="D15" s="64"/>
      <c r="E15" s="62"/>
      <c r="F15" s="4" t="s">
        <v>43</v>
      </c>
      <c r="G15" s="4" t="s">
        <v>44</v>
      </c>
      <c r="H15" s="5" t="s">
        <v>45</v>
      </c>
      <c r="I15" s="5" t="s">
        <v>46</v>
      </c>
      <c r="J15" s="63"/>
      <c r="K15" s="63"/>
      <c r="L15" s="62"/>
      <c r="N15" s="38" t="s">
        <v>50</v>
      </c>
      <c r="O15" s="39" t="s">
        <v>51</v>
      </c>
      <c r="P15" s="40"/>
      <c r="Q15" s="41"/>
    </row>
    <row r="16" spans="2:17" s="6" customFormat="1" ht="18" customHeight="1" x14ac:dyDescent="0.3">
      <c r="B16" s="7" t="str">
        <f>IFERROR((IF((DAY(E16)&lt;=15), "1st Half","2nd Half")),"")</f>
        <v>1st Half</v>
      </c>
      <c r="C16" s="52" t="str">
        <f>IFERROR((TEXT(E16,"dddd")),"")</f>
        <v>Monday</v>
      </c>
      <c r="D16" s="52" t="s">
        <v>59</v>
      </c>
      <c r="E16" s="9">
        <f>B2</f>
        <v>44774</v>
      </c>
      <c r="F16" s="53">
        <v>0.3125</v>
      </c>
      <c r="G16" s="54">
        <v>0.68819444444444444</v>
      </c>
      <c r="H16" s="8">
        <f>IF(OR(D16="Holiday",D16="Sick Leave",D16="On Leave",C16="Sunday"),8,(IF(D16="Work Day",(IF(OR(C16="Monday",C16="Tuesday",C16="Wednesday",C16="Thursday",C16="Friday",C16="Saturday"),(IF((((G16-F16)*24)-1)&gt;8,8,(((G16-F16)*24)-1))),0)),0)))</f>
        <v>0</v>
      </c>
      <c r="I16" s="8">
        <f>IF(OR(D16="On Leave",D16="Sick Leave"),0,(IF(D16="Holiday",(((G16-F16)*24)-1),(IF(C16="Sunday",(((G16-F16)*24)-1),(IF((((G16-F16)*24)-1)&gt;8,((((G16-F16)*24)-1)-H16),0)))))))</f>
        <v>8.0166666666666657</v>
      </c>
      <c r="J16" s="8">
        <f>IF(OR(C16="Monday",C16="Tuesday",C16="Wednesday",C16="Thursday",C16="Friday",C16="Saturday"),(IF((((G16-F16)*24)-1)&lt;8,(8-(((G16-F16)*24)-1)),0)),0)</f>
        <v>0</v>
      </c>
      <c r="K16" s="8" t="str">
        <f>IF(OR(D16="On Leave",D16="Sick Leave"),"No",(IF(G16&gt;=TIME(20,30,0),"Yes","No")))</f>
        <v>No</v>
      </c>
      <c r="L16" s="3"/>
      <c r="N16" s="23" t="s">
        <v>52</v>
      </c>
      <c r="O16" s="67">
        <v>900</v>
      </c>
      <c r="P16" s="34"/>
      <c r="Q16" s="27"/>
    </row>
    <row r="17" spans="2:17" s="6" customFormat="1" ht="18" customHeight="1" x14ac:dyDescent="0.3">
      <c r="B17" s="7" t="str">
        <f t="shared" ref="B17:B46" si="0">IFERROR((IF((DAY(E17)&lt;=15), "1st Half","2nd Half")),"")</f>
        <v>1st Half</v>
      </c>
      <c r="C17" s="52" t="str">
        <f t="shared" ref="C17:C46" si="1">IFERROR((TEXT(E17,"dddd")),"")</f>
        <v>Tuesday</v>
      </c>
      <c r="D17" s="52" t="s">
        <v>59</v>
      </c>
      <c r="E17" s="9">
        <f>IFERROR((IF((MONTH(E16+1)=MONTH(E16)),(E16+1),"")),"")</f>
        <v>44775</v>
      </c>
      <c r="F17" s="53">
        <v>0.35416666666666669</v>
      </c>
      <c r="G17" s="54">
        <v>0.85416666666666663</v>
      </c>
      <c r="H17" s="8">
        <f t="shared" ref="H17:H46" si="2">IF(OR(D17="Holiday",D17="Sick Leave",D17="On Leave",C17="Sunday"),8,(IF(D17="Work Day",(IF(OR(C17="Monday",C17="Tuesday",C17="Wednesday",C17="Thursday",C17="Friday",C17="Saturday"),(IF((((G17-F17)*24)-1)&gt;8,8,(((G17-F17)*24)-1))),0)),0)))</f>
        <v>0</v>
      </c>
      <c r="I17" s="8">
        <f t="shared" ref="I17:I46" si="3">IF(OR(D17="On Leave",D17="Sick Leave"),0,(IF(D17="Holiday",(((G17-F17)*24)-1),(IF(C17="Sunday",(((G17-F17)*24)-1),(IF((((G17-F17)*24)-1)&gt;8,((((G17-F17)*24)-1)-H17),0)))))))</f>
        <v>10.999999999999998</v>
      </c>
      <c r="J17" s="8">
        <f t="shared" ref="J17:J46" si="4">IF(OR(C17="Monday",C17="Tuesday",C17="Wednesday",C17="Thursday",C17="Friday",C17="Saturday"),(IF((((G17-F17)*24)-1)&lt;8,(8-(((G17-F17)*24)-1)),0)),0)</f>
        <v>0</v>
      </c>
      <c r="K17" s="8" t="str">
        <f t="shared" ref="K17:K46" si="5">IF(OR(D17="On Leave",D17="Sick Leave"),"No",(IF(G17&gt;=TIME(20,30,0),"Yes","No")))</f>
        <v>Yes</v>
      </c>
      <c r="L17" s="3"/>
      <c r="N17" s="30" t="s">
        <v>18</v>
      </c>
      <c r="O17" s="68">
        <f>O19*8</f>
        <v>37.76223776223776</v>
      </c>
      <c r="Q17" s="48"/>
    </row>
    <row r="18" spans="2:17" s="6" customFormat="1" ht="18" customHeight="1" x14ac:dyDescent="0.3">
      <c r="B18" s="7" t="str">
        <f t="shared" si="0"/>
        <v>1st Half</v>
      </c>
      <c r="C18" s="52" t="str">
        <f t="shared" si="1"/>
        <v>Wednesday</v>
      </c>
      <c r="D18" s="52" t="s">
        <v>59</v>
      </c>
      <c r="E18" s="9">
        <f t="shared" ref="E18:E46" si="6">IFERROR((IF((MONTH(E17+1)=MONTH(E17)),(E17+1),"")),"")</f>
        <v>44776</v>
      </c>
      <c r="F18" s="53">
        <v>0.35416666666666669</v>
      </c>
      <c r="G18" s="54">
        <v>0.72916666666666663</v>
      </c>
      <c r="H18" s="8">
        <f t="shared" si="2"/>
        <v>0</v>
      </c>
      <c r="I18" s="8">
        <f t="shared" si="3"/>
        <v>0</v>
      </c>
      <c r="J18" s="8">
        <f t="shared" si="4"/>
        <v>0</v>
      </c>
      <c r="K18" s="8" t="str">
        <f t="shared" si="5"/>
        <v>No</v>
      </c>
      <c r="L18" s="3"/>
      <c r="N18" s="30" t="s">
        <v>13</v>
      </c>
      <c r="O18" s="68">
        <f>((((O16*12)/52)/48)*1)</f>
        <v>4.3269230769230766</v>
      </c>
      <c r="P18" s="34"/>
      <c r="Q18" s="48"/>
    </row>
    <row r="19" spans="2:17" s="6" customFormat="1" ht="18" customHeight="1" x14ac:dyDescent="0.3">
      <c r="B19" s="7" t="str">
        <f t="shared" si="0"/>
        <v>1st Half</v>
      </c>
      <c r="C19" s="52" t="str">
        <f t="shared" si="1"/>
        <v>Thursday</v>
      </c>
      <c r="D19" s="52" t="s">
        <v>59</v>
      </c>
      <c r="E19" s="9">
        <f t="shared" si="6"/>
        <v>44777</v>
      </c>
      <c r="F19" s="53">
        <v>0.35416666666666669</v>
      </c>
      <c r="G19" s="54">
        <v>0.72916666666666663</v>
      </c>
      <c r="H19" s="8">
        <f t="shared" si="2"/>
        <v>0</v>
      </c>
      <c r="I19" s="8">
        <f t="shared" si="3"/>
        <v>0</v>
      </c>
      <c r="J19" s="8">
        <f t="shared" si="4"/>
        <v>0</v>
      </c>
      <c r="K19" s="8" t="str">
        <f t="shared" si="5"/>
        <v>No</v>
      </c>
      <c r="L19" s="3"/>
      <c r="N19" s="30" t="s">
        <v>2</v>
      </c>
      <c r="O19" s="69">
        <f>O16*12/52/44</f>
        <v>4.72027972027972</v>
      </c>
      <c r="P19" s="25"/>
      <c r="Q19" s="26"/>
    </row>
    <row r="20" spans="2:17" s="6" customFormat="1" ht="18" customHeight="1" x14ac:dyDescent="0.3">
      <c r="B20" s="7" t="str">
        <f t="shared" si="0"/>
        <v>1st Half</v>
      </c>
      <c r="C20" s="52" t="str">
        <f t="shared" si="1"/>
        <v>Friday</v>
      </c>
      <c r="D20" s="52" t="s">
        <v>59</v>
      </c>
      <c r="E20" s="9">
        <f t="shared" si="6"/>
        <v>44778</v>
      </c>
      <c r="F20" s="53">
        <v>0.35416666666666669</v>
      </c>
      <c r="G20" s="54">
        <v>0.72916666666666663</v>
      </c>
      <c r="H20" s="8">
        <f t="shared" si="2"/>
        <v>0</v>
      </c>
      <c r="I20" s="8">
        <f t="shared" si="3"/>
        <v>0</v>
      </c>
      <c r="J20" s="8">
        <f t="shared" si="4"/>
        <v>0</v>
      </c>
      <c r="K20" s="8" t="str">
        <f t="shared" si="5"/>
        <v>No</v>
      </c>
      <c r="L20" s="3"/>
      <c r="N20" s="47" t="s">
        <v>53</v>
      </c>
      <c r="O20" s="70"/>
      <c r="Q20" s="42"/>
    </row>
    <row r="21" spans="2:17" s="6" customFormat="1" ht="18" customHeight="1" x14ac:dyDescent="0.3">
      <c r="B21" s="7" t="str">
        <f t="shared" si="0"/>
        <v>1st Half</v>
      </c>
      <c r="C21" s="52" t="str">
        <f t="shared" si="1"/>
        <v>Saturday</v>
      </c>
      <c r="D21" s="52" t="s">
        <v>59</v>
      </c>
      <c r="E21" s="9">
        <f t="shared" si="6"/>
        <v>44779</v>
      </c>
      <c r="F21" s="53">
        <v>0.35416666666666669</v>
      </c>
      <c r="G21" s="54">
        <v>0.72916666666666663</v>
      </c>
      <c r="H21" s="8">
        <f t="shared" si="2"/>
        <v>0</v>
      </c>
      <c r="I21" s="8">
        <f t="shared" si="3"/>
        <v>0</v>
      </c>
      <c r="J21" s="8">
        <f t="shared" si="4"/>
        <v>0</v>
      </c>
      <c r="K21" s="8" t="str">
        <f t="shared" si="5"/>
        <v>No</v>
      </c>
      <c r="L21" s="3"/>
      <c r="N21" s="43" t="s">
        <v>53</v>
      </c>
      <c r="O21" s="68">
        <v>130</v>
      </c>
      <c r="Q21" s="42"/>
    </row>
    <row r="22" spans="2:17" s="6" customFormat="1" ht="18" customHeight="1" x14ac:dyDescent="0.3">
      <c r="B22" s="7" t="str">
        <f t="shared" si="0"/>
        <v>1st Half</v>
      </c>
      <c r="C22" s="52" t="str">
        <f t="shared" si="1"/>
        <v>Sunday</v>
      </c>
      <c r="D22" s="52" t="s">
        <v>59</v>
      </c>
      <c r="E22" s="9">
        <f t="shared" si="6"/>
        <v>44780</v>
      </c>
      <c r="F22" s="53">
        <v>0.35416666666666669</v>
      </c>
      <c r="G22" s="54">
        <v>0.72916666666666663</v>
      </c>
      <c r="H22" s="8">
        <f t="shared" si="2"/>
        <v>8</v>
      </c>
      <c r="I22" s="8">
        <f t="shared" si="3"/>
        <v>7.9999999999999982</v>
      </c>
      <c r="J22" s="8">
        <f t="shared" si="4"/>
        <v>0</v>
      </c>
      <c r="K22" s="8" t="str">
        <f t="shared" si="5"/>
        <v>No</v>
      </c>
      <c r="L22" s="3"/>
      <c r="N22" s="43" t="s">
        <v>14</v>
      </c>
      <c r="O22" s="68">
        <v>20</v>
      </c>
      <c r="Q22" s="42"/>
    </row>
    <row r="23" spans="2:17" s="6" customFormat="1" ht="18" customHeight="1" x14ac:dyDescent="0.3">
      <c r="B23" s="7" t="str">
        <f t="shared" si="0"/>
        <v>1st Half</v>
      </c>
      <c r="C23" s="52" t="str">
        <f t="shared" si="1"/>
        <v>Monday</v>
      </c>
      <c r="D23" s="52" t="s">
        <v>59</v>
      </c>
      <c r="E23" s="9">
        <f t="shared" si="6"/>
        <v>44781</v>
      </c>
      <c r="F23" s="53">
        <v>0.35416666666666669</v>
      </c>
      <c r="G23" s="54">
        <v>0.72916666666666663</v>
      </c>
      <c r="H23" s="8">
        <f t="shared" si="2"/>
        <v>0</v>
      </c>
      <c r="I23" s="8">
        <f t="shared" si="3"/>
        <v>0</v>
      </c>
      <c r="J23" s="8">
        <f t="shared" si="4"/>
        <v>0</v>
      </c>
      <c r="K23" s="8" t="str">
        <f t="shared" si="5"/>
        <v>No</v>
      </c>
      <c r="L23" s="3"/>
      <c r="N23" s="44" t="s">
        <v>15</v>
      </c>
      <c r="O23" s="71">
        <v>5</v>
      </c>
      <c r="P23" s="45"/>
      <c r="Q23" s="46"/>
    </row>
    <row r="24" spans="2:17" s="6" customFormat="1" ht="18" customHeight="1" x14ac:dyDescent="0.3">
      <c r="B24" s="7" t="str">
        <f t="shared" si="0"/>
        <v>1st Half</v>
      </c>
      <c r="C24" s="52" t="str">
        <f t="shared" si="1"/>
        <v>Tuesday</v>
      </c>
      <c r="D24" s="52" t="s">
        <v>59</v>
      </c>
      <c r="E24" s="9">
        <f t="shared" si="6"/>
        <v>44782</v>
      </c>
      <c r="F24" s="53">
        <v>0.35416666666666669</v>
      </c>
      <c r="G24" s="54">
        <v>0.72916666666666663</v>
      </c>
      <c r="H24" s="8">
        <f t="shared" si="2"/>
        <v>0</v>
      </c>
      <c r="I24" s="8">
        <f t="shared" si="3"/>
        <v>0</v>
      </c>
      <c r="J24" s="8">
        <f t="shared" si="4"/>
        <v>0</v>
      </c>
      <c r="K24" s="8" t="str">
        <f t="shared" si="5"/>
        <v>No</v>
      </c>
      <c r="L24" s="3"/>
    </row>
    <row r="25" spans="2:17" s="6" customFormat="1" ht="18" customHeight="1" x14ac:dyDescent="0.3">
      <c r="B25" s="7" t="str">
        <f t="shared" si="0"/>
        <v>1st Half</v>
      </c>
      <c r="C25" s="52" t="str">
        <f t="shared" si="1"/>
        <v>Wednesday</v>
      </c>
      <c r="D25" s="52" t="s">
        <v>60</v>
      </c>
      <c r="E25" s="9">
        <f t="shared" si="6"/>
        <v>44783</v>
      </c>
      <c r="F25" s="53">
        <v>0.35416666666666669</v>
      </c>
      <c r="G25" s="54">
        <v>0.72916666666666663</v>
      </c>
      <c r="H25" s="8">
        <f t="shared" si="2"/>
        <v>0</v>
      </c>
      <c r="I25" s="8">
        <f t="shared" si="3"/>
        <v>0</v>
      </c>
      <c r="J25" s="8">
        <f t="shared" si="4"/>
        <v>0</v>
      </c>
      <c r="K25" s="8" t="str">
        <f t="shared" si="5"/>
        <v>No</v>
      </c>
      <c r="L25" s="3"/>
      <c r="N25" s="56" t="s">
        <v>54</v>
      </c>
      <c r="O25" s="57"/>
      <c r="P25" s="57"/>
      <c r="Q25" s="58"/>
    </row>
    <row r="26" spans="2:17" s="6" customFormat="1" ht="18" customHeight="1" x14ac:dyDescent="0.3">
      <c r="B26" s="7" t="str">
        <f t="shared" si="0"/>
        <v>1st Half</v>
      </c>
      <c r="C26" s="52" t="str">
        <f t="shared" si="1"/>
        <v>Thursday</v>
      </c>
      <c r="D26" s="52" t="s">
        <v>60</v>
      </c>
      <c r="E26" s="9">
        <f t="shared" si="6"/>
        <v>44784</v>
      </c>
      <c r="F26" s="53">
        <v>0.35416666666666669</v>
      </c>
      <c r="G26" s="54">
        <v>0.72916666666666663</v>
      </c>
      <c r="H26" s="8">
        <f t="shared" si="2"/>
        <v>0</v>
      </c>
      <c r="I26" s="8">
        <f t="shared" si="3"/>
        <v>0</v>
      </c>
      <c r="J26" s="8">
        <f t="shared" si="4"/>
        <v>0</v>
      </c>
      <c r="K26" s="8" t="str">
        <f t="shared" si="5"/>
        <v>No</v>
      </c>
      <c r="L26" s="3"/>
      <c r="N26" s="23" t="s">
        <v>55</v>
      </c>
      <c r="O26" s="24" t="s">
        <v>20</v>
      </c>
      <c r="P26" s="25" t="s">
        <v>57</v>
      </c>
      <c r="Q26" s="26"/>
    </row>
    <row r="27" spans="2:17" s="6" customFormat="1" ht="18" customHeight="1" x14ac:dyDescent="0.3">
      <c r="B27" s="7" t="str">
        <f t="shared" si="0"/>
        <v>1st Half</v>
      </c>
      <c r="C27" s="52" t="str">
        <f t="shared" si="1"/>
        <v>Friday</v>
      </c>
      <c r="D27" s="52" t="s">
        <v>60</v>
      </c>
      <c r="E27" s="9">
        <f t="shared" si="6"/>
        <v>44785</v>
      </c>
      <c r="F27" s="53">
        <v>0.35416666666666669</v>
      </c>
      <c r="G27" s="54">
        <v>0.72916666666666663</v>
      </c>
      <c r="H27" s="8">
        <f t="shared" si="2"/>
        <v>0</v>
      </c>
      <c r="I27" s="8">
        <f t="shared" si="3"/>
        <v>0</v>
      </c>
      <c r="J27" s="8">
        <f t="shared" si="4"/>
        <v>0</v>
      </c>
      <c r="K27" s="8" t="str">
        <f t="shared" si="5"/>
        <v>No</v>
      </c>
      <c r="L27" s="3"/>
      <c r="N27" s="30" t="s">
        <v>21</v>
      </c>
      <c r="O27" s="21">
        <f>COUNTIF(B16:B46,"1st Half")-COUNTIFS(B16:B46,"1st Half",D16:D46,"On Leave")</f>
        <v>15</v>
      </c>
      <c r="P27" s="72">
        <f>O27*O17</f>
        <v>566.4335664335664</v>
      </c>
      <c r="Q27" s="27"/>
    </row>
    <row r="28" spans="2:17" s="6" customFormat="1" ht="18" customHeight="1" x14ac:dyDescent="0.3">
      <c r="B28" s="7" t="str">
        <f t="shared" si="0"/>
        <v>1st Half</v>
      </c>
      <c r="C28" s="52" t="str">
        <f t="shared" si="1"/>
        <v>Saturday</v>
      </c>
      <c r="D28" s="52" t="s">
        <v>60</v>
      </c>
      <c r="E28" s="9">
        <f t="shared" si="6"/>
        <v>44786</v>
      </c>
      <c r="F28" s="53">
        <v>0.35416666666666669</v>
      </c>
      <c r="G28" s="54">
        <v>0.72916666666666663</v>
      </c>
      <c r="H28" s="8">
        <f t="shared" si="2"/>
        <v>0</v>
      </c>
      <c r="I28" s="8">
        <f t="shared" si="3"/>
        <v>0</v>
      </c>
      <c r="J28" s="8">
        <f t="shared" si="4"/>
        <v>0</v>
      </c>
      <c r="K28" s="8" t="str">
        <f t="shared" si="5"/>
        <v>No</v>
      </c>
      <c r="L28" s="3"/>
      <c r="N28" s="28" t="s">
        <v>16</v>
      </c>
      <c r="O28" s="29">
        <f>SUMIF(B16:B46,"1st Half",I16:I46)</f>
        <v>35.016666666666666</v>
      </c>
      <c r="P28" s="68">
        <f>O28*O18</f>
        <v>151.51442307692307</v>
      </c>
      <c r="Q28" s="27"/>
    </row>
    <row r="29" spans="2:17" s="6" customFormat="1" ht="18" customHeight="1" x14ac:dyDescent="0.3">
      <c r="B29" s="7" t="str">
        <f t="shared" si="0"/>
        <v>1st Half</v>
      </c>
      <c r="C29" s="52" t="str">
        <f t="shared" si="1"/>
        <v>Sunday</v>
      </c>
      <c r="D29" s="52" t="s">
        <v>60</v>
      </c>
      <c r="E29" s="9">
        <f t="shared" si="6"/>
        <v>44787</v>
      </c>
      <c r="F29" s="53">
        <v>0.35416666666666669</v>
      </c>
      <c r="G29" s="54">
        <v>0.72916666666666663</v>
      </c>
      <c r="H29" s="8">
        <f t="shared" si="2"/>
        <v>8</v>
      </c>
      <c r="I29" s="8">
        <f t="shared" si="3"/>
        <v>7.9999999999999982</v>
      </c>
      <c r="J29" s="8">
        <f t="shared" si="4"/>
        <v>0</v>
      </c>
      <c r="K29" s="8" t="str">
        <f t="shared" si="5"/>
        <v>No</v>
      </c>
      <c r="L29" s="3"/>
      <c r="N29" s="30" t="s">
        <v>1</v>
      </c>
      <c r="O29" s="29">
        <f>COUNTIFS(K16:K46,"Yes",B16:B46,"1st Half")</f>
        <v>1</v>
      </c>
      <c r="P29" s="68">
        <f>O29*O23</f>
        <v>5</v>
      </c>
      <c r="Q29" s="27"/>
    </row>
    <row r="30" spans="2:17" s="6" customFormat="1" ht="18" customHeight="1" x14ac:dyDescent="0.3">
      <c r="B30" s="7" t="str">
        <f t="shared" si="0"/>
        <v>1st Half</v>
      </c>
      <c r="C30" s="52" t="str">
        <f t="shared" si="1"/>
        <v>Monday</v>
      </c>
      <c r="D30" s="52" t="s">
        <v>60</v>
      </c>
      <c r="E30" s="9">
        <f t="shared" si="6"/>
        <v>44788</v>
      </c>
      <c r="F30" s="53">
        <v>0.35416666666666669</v>
      </c>
      <c r="G30" s="54">
        <v>0.72916666666666663</v>
      </c>
      <c r="H30" s="8">
        <f t="shared" si="2"/>
        <v>0</v>
      </c>
      <c r="I30" s="8">
        <f t="shared" si="3"/>
        <v>0</v>
      </c>
      <c r="J30" s="8">
        <f t="shared" si="4"/>
        <v>0</v>
      </c>
      <c r="K30" s="8" t="str">
        <f t="shared" si="5"/>
        <v>No</v>
      </c>
      <c r="L30" s="3"/>
      <c r="N30" s="30" t="s">
        <v>3</v>
      </c>
      <c r="O30" s="35"/>
      <c r="P30" s="73">
        <f>O21/2</f>
        <v>65</v>
      </c>
      <c r="Q30" s="27"/>
    </row>
    <row r="31" spans="2:17" s="6" customFormat="1" ht="18" customHeight="1" x14ac:dyDescent="0.3">
      <c r="B31" s="7" t="str">
        <f t="shared" si="0"/>
        <v>2nd Half</v>
      </c>
      <c r="C31" s="52" t="str">
        <f t="shared" si="1"/>
        <v>Tuesday</v>
      </c>
      <c r="D31" s="52" t="s">
        <v>60</v>
      </c>
      <c r="E31" s="9">
        <f t="shared" si="6"/>
        <v>44789</v>
      </c>
      <c r="F31" s="53">
        <v>0.35416666666666669</v>
      </c>
      <c r="G31" s="54">
        <v>0.72916666666666663</v>
      </c>
      <c r="H31" s="8">
        <f t="shared" si="2"/>
        <v>0</v>
      </c>
      <c r="I31" s="8">
        <f t="shared" si="3"/>
        <v>0</v>
      </c>
      <c r="J31" s="8">
        <f t="shared" si="4"/>
        <v>0</v>
      </c>
      <c r="K31" s="8" t="str">
        <f t="shared" si="5"/>
        <v>No</v>
      </c>
      <c r="L31" s="3"/>
      <c r="N31" s="28" t="s">
        <v>19</v>
      </c>
      <c r="O31" s="35">
        <f>SUMIF(B16:B46,"1st Half",J16:J46)</f>
        <v>0</v>
      </c>
      <c r="P31" s="72">
        <f>O31*O19</f>
        <v>0</v>
      </c>
      <c r="Q31" s="27"/>
    </row>
    <row r="32" spans="2:17" s="6" customFormat="1" ht="18" customHeight="1" x14ac:dyDescent="0.3">
      <c r="B32" s="7" t="str">
        <f t="shared" si="0"/>
        <v>2nd Half</v>
      </c>
      <c r="C32" s="52" t="str">
        <f t="shared" si="1"/>
        <v>Wednesday</v>
      </c>
      <c r="D32" s="52" t="s">
        <v>60</v>
      </c>
      <c r="E32" s="9">
        <f t="shared" si="6"/>
        <v>44790</v>
      </c>
      <c r="F32" s="53">
        <v>0.35416666666666669</v>
      </c>
      <c r="G32" s="54">
        <v>0.72916666666666663</v>
      </c>
      <c r="H32" s="8">
        <f t="shared" si="2"/>
        <v>0</v>
      </c>
      <c r="I32" s="8">
        <f t="shared" si="3"/>
        <v>0</v>
      </c>
      <c r="J32" s="8">
        <f t="shared" si="4"/>
        <v>0</v>
      </c>
      <c r="K32" s="8" t="str">
        <f t="shared" si="5"/>
        <v>No</v>
      </c>
      <c r="L32" s="3"/>
      <c r="N32" s="31" t="s">
        <v>4</v>
      </c>
      <c r="O32" s="36"/>
      <c r="P32" s="74">
        <f>P28</f>
        <v>151.51442307692307</v>
      </c>
      <c r="Q32" s="27"/>
    </row>
    <row r="33" spans="2:17" s="6" customFormat="1" ht="18" customHeight="1" x14ac:dyDescent="0.3">
      <c r="B33" s="7" t="str">
        <f t="shared" si="0"/>
        <v>2nd Half</v>
      </c>
      <c r="C33" s="52" t="str">
        <f t="shared" si="1"/>
        <v>Thursday</v>
      </c>
      <c r="D33" s="52" t="s">
        <v>60</v>
      </c>
      <c r="E33" s="9">
        <f t="shared" si="6"/>
        <v>44791</v>
      </c>
      <c r="F33" s="53">
        <v>0.35416666666666669</v>
      </c>
      <c r="G33" s="54">
        <v>0.72916666666666663</v>
      </c>
      <c r="H33" s="8">
        <f t="shared" si="2"/>
        <v>0</v>
      </c>
      <c r="I33" s="8">
        <f t="shared" si="3"/>
        <v>0</v>
      </c>
      <c r="J33" s="8">
        <f t="shared" si="4"/>
        <v>0</v>
      </c>
      <c r="K33" s="8" t="str">
        <f t="shared" si="5"/>
        <v>No</v>
      </c>
      <c r="L33" s="3"/>
      <c r="N33" s="32" t="s">
        <v>56</v>
      </c>
      <c r="O33" s="37"/>
      <c r="P33" s="75">
        <f>P27+P28+P29+P30-P31</f>
        <v>787.94798951048949</v>
      </c>
      <c r="Q33" s="33"/>
    </row>
    <row r="34" spans="2:17" s="6" customFormat="1" ht="18" customHeight="1" x14ac:dyDescent="0.3">
      <c r="B34" s="7" t="str">
        <f t="shared" si="0"/>
        <v>2nd Half</v>
      </c>
      <c r="C34" s="52" t="str">
        <f t="shared" si="1"/>
        <v>Friday</v>
      </c>
      <c r="D34" s="52" t="s">
        <v>60</v>
      </c>
      <c r="E34" s="9">
        <f t="shared" si="6"/>
        <v>44792</v>
      </c>
      <c r="F34" s="53">
        <v>0.35416666666666669</v>
      </c>
      <c r="G34" s="54">
        <v>0.72916666666666663</v>
      </c>
      <c r="H34" s="8">
        <f t="shared" si="2"/>
        <v>0</v>
      </c>
      <c r="I34" s="8">
        <f t="shared" si="3"/>
        <v>0</v>
      </c>
      <c r="J34" s="8">
        <f t="shared" si="4"/>
        <v>0</v>
      </c>
      <c r="K34" s="8" t="str">
        <f t="shared" si="5"/>
        <v>No</v>
      </c>
      <c r="L34" s="3"/>
      <c r="O34" s="21"/>
    </row>
    <row r="35" spans="2:17" s="6" customFormat="1" ht="18" customHeight="1" x14ac:dyDescent="0.3">
      <c r="B35" s="7" t="str">
        <f t="shared" si="0"/>
        <v>2nd Half</v>
      </c>
      <c r="C35" s="52" t="str">
        <f t="shared" si="1"/>
        <v>Saturday</v>
      </c>
      <c r="D35" s="52" t="s">
        <v>60</v>
      </c>
      <c r="E35" s="9">
        <f t="shared" si="6"/>
        <v>44793</v>
      </c>
      <c r="F35" s="53">
        <v>0.35416666666666669</v>
      </c>
      <c r="G35" s="54">
        <v>0.72916666666666663</v>
      </c>
      <c r="H35" s="8">
        <f t="shared" si="2"/>
        <v>0</v>
      </c>
      <c r="I35" s="8">
        <f t="shared" si="3"/>
        <v>0</v>
      </c>
      <c r="J35" s="8">
        <f t="shared" si="4"/>
        <v>0</v>
      </c>
      <c r="K35" s="8" t="str">
        <f t="shared" si="5"/>
        <v>No</v>
      </c>
      <c r="L35" s="3"/>
      <c r="N35" s="56" t="s">
        <v>58</v>
      </c>
      <c r="O35" s="57"/>
      <c r="P35" s="57"/>
      <c r="Q35" s="58"/>
    </row>
    <row r="36" spans="2:17" s="6" customFormat="1" ht="18" customHeight="1" x14ac:dyDescent="0.3">
      <c r="B36" s="7" t="str">
        <f t="shared" si="0"/>
        <v>2nd Half</v>
      </c>
      <c r="C36" s="52" t="str">
        <f t="shared" si="1"/>
        <v>Sunday</v>
      </c>
      <c r="D36" s="52" t="s">
        <v>60</v>
      </c>
      <c r="E36" s="9">
        <f t="shared" si="6"/>
        <v>44794</v>
      </c>
      <c r="F36" s="53">
        <v>0.35416666666666669</v>
      </c>
      <c r="G36" s="54">
        <v>0.72916666666666663</v>
      </c>
      <c r="H36" s="8">
        <f t="shared" si="2"/>
        <v>8</v>
      </c>
      <c r="I36" s="8">
        <f t="shared" si="3"/>
        <v>7.9999999999999982</v>
      </c>
      <c r="J36" s="8">
        <f t="shared" si="4"/>
        <v>0</v>
      </c>
      <c r="K36" s="8" t="str">
        <f t="shared" si="5"/>
        <v>No</v>
      </c>
      <c r="L36" s="3"/>
      <c r="N36" s="23" t="s">
        <v>55</v>
      </c>
      <c r="O36" s="24" t="s">
        <v>20</v>
      </c>
      <c r="P36" s="25" t="s">
        <v>57</v>
      </c>
      <c r="Q36" s="49"/>
    </row>
    <row r="37" spans="2:17" s="6" customFormat="1" ht="18" customHeight="1" x14ac:dyDescent="0.3">
      <c r="B37" s="7" t="str">
        <f t="shared" si="0"/>
        <v>2nd Half</v>
      </c>
      <c r="C37" s="52" t="str">
        <f t="shared" si="1"/>
        <v>Monday</v>
      </c>
      <c r="D37" s="52" t="s">
        <v>60</v>
      </c>
      <c r="E37" s="9">
        <f t="shared" si="6"/>
        <v>44795</v>
      </c>
      <c r="F37" s="53">
        <v>0.35416666666666669</v>
      </c>
      <c r="G37" s="54">
        <v>0.72916666666666663</v>
      </c>
      <c r="H37" s="8">
        <f t="shared" si="2"/>
        <v>0</v>
      </c>
      <c r="I37" s="8">
        <f t="shared" si="3"/>
        <v>0</v>
      </c>
      <c r="J37" s="8">
        <f t="shared" si="4"/>
        <v>0</v>
      </c>
      <c r="K37" s="8" t="str">
        <f t="shared" si="5"/>
        <v>No</v>
      </c>
      <c r="L37" s="3"/>
      <c r="N37" s="30" t="s">
        <v>21</v>
      </c>
      <c r="O37" s="21">
        <f>COUNTIF(B16:B46,"2nd Half")-COUNTIFS(B16:B46,"2nd Half",D16:D46,"On Leave")</f>
        <v>16</v>
      </c>
      <c r="P37" s="72">
        <f>O37*O17</f>
        <v>604.19580419580416</v>
      </c>
      <c r="Q37" s="27"/>
    </row>
    <row r="38" spans="2:17" s="6" customFormat="1" ht="18" customHeight="1" x14ac:dyDescent="0.3">
      <c r="B38" s="7" t="str">
        <f t="shared" si="0"/>
        <v>2nd Half</v>
      </c>
      <c r="C38" s="52" t="str">
        <f t="shared" si="1"/>
        <v>Tuesday</v>
      </c>
      <c r="D38" s="52" t="s">
        <v>60</v>
      </c>
      <c r="E38" s="9">
        <f t="shared" si="6"/>
        <v>44796</v>
      </c>
      <c r="F38" s="53">
        <v>0.35416666666666669</v>
      </c>
      <c r="G38" s="54">
        <v>0.72916666666666663</v>
      </c>
      <c r="H38" s="8">
        <f t="shared" si="2"/>
        <v>0</v>
      </c>
      <c r="I38" s="8">
        <f t="shared" si="3"/>
        <v>0</v>
      </c>
      <c r="J38" s="8">
        <f t="shared" si="4"/>
        <v>0</v>
      </c>
      <c r="K38" s="8" t="str">
        <f t="shared" si="5"/>
        <v>No</v>
      </c>
      <c r="L38" s="3"/>
      <c r="N38" s="28" t="s">
        <v>16</v>
      </c>
      <c r="O38" s="29">
        <f>SUMIF(B16:B46,"2nd Half",I16:I46)</f>
        <v>15.999999999999996</v>
      </c>
      <c r="P38" s="68">
        <f>O38*O18</f>
        <v>69.230769230769212</v>
      </c>
      <c r="Q38" s="27"/>
    </row>
    <row r="39" spans="2:17" s="6" customFormat="1" ht="18" customHeight="1" x14ac:dyDescent="0.3">
      <c r="B39" s="7" t="str">
        <f t="shared" si="0"/>
        <v>2nd Half</v>
      </c>
      <c r="C39" s="52" t="str">
        <f t="shared" si="1"/>
        <v>Wednesday</v>
      </c>
      <c r="D39" s="52" t="s">
        <v>61</v>
      </c>
      <c r="E39" s="9">
        <f t="shared" si="6"/>
        <v>44797</v>
      </c>
      <c r="F39" s="53">
        <v>0.35416666666666669</v>
      </c>
      <c r="G39" s="54">
        <v>0.72916666666666663</v>
      </c>
      <c r="H39" s="8">
        <f t="shared" si="2"/>
        <v>0</v>
      </c>
      <c r="I39" s="8">
        <f t="shared" si="3"/>
        <v>0</v>
      </c>
      <c r="J39" s="8">
        <f t="shared" si="4"/>
        <v>0</v>
      </c>
      <c r="K39" s="8" t="str">
        <f t="shared" si="5"/>
        <v>No</v>
      </c>
      <c r="L39" s="3"/>
      <c r="N39" s="30" t="s">
        <v>1</v>
      </c>
      <c r="O39" s="29">
        <f>COUNTIFS(K16:K46,"Yes",B16:B46,"2nd Half")</f>
        <v>0</v>
      </c>
      <c r="P39" s="68">
        <f>O39*O23</f>
        <v>0</v>
      </c>
      <c r="Q39" s="50"/>
    </row>
    <row r="40" spans="2:17" s="6" customFormat="1" ht="18" customHeight="1" x14ac:dyDescent="0.3">
      <c r="B40" s="7" t="str">
        <f t="shared" si="0"/>
        <v>2nd Half</v>
      </c>
      <c r="C40" s="52" t="str">
        <f t="shared" si="1"/>
        <v>Thursday</v>
      </c>
      <c r="D40" s="52" t="s">
        <v>61</v>
      </c>
      <c r="E40" s="9">
        <f t="shared" si="6"/>
        <v>44798</v>
      </c>
      <c r="F40" s="53">
        <v>0.35416666666666669</v>
      </c>
      <c r="G40" s="54">
        <v>0.72916666666666663</v>
      </c>
      <c r="H40" s="8">
        <f t="shared" si="2"/>
        <v>0</v>
      </c>
      <c r="I40" s="8">
        <f t="shared" si="3"/>
        <v>0</v>
      </c>
      <c r="J40" s="8">
        <f t="shared" si="4"/>
        <v>0</v>
      </c>
      <c r="K40" s="8" t="str">
        <f t="shared" si="5"/>
        <v>No</v>
      </c>
      <c r="L40" s="3"/>
      <c r="N40" s="30" t="s">
        <v>3</v>
      </c>
      <c r="O40" s="35"/>
      <c r="P40" s="73">
        <f>O21/2</f>
        <v>65</v>
      </c>
      <c r="Q40" s="27"/>
    </row>
    <row r="41" spans="2:17" s="6" customFormat="1" ht="18" customHeight="1" x14ac:dyDescent="0.3">
      <c r="B41" s="7" t="str">
        <f t="shared" si="0"/>
        <v>2nd Half</v>
      </c>
      <c r="C41" s="52" t="str">
        <f t="shared" si="1"/>
        <v>Friday</v>
      </c>
      <c r="D41" s="52" t="s">
        <v>61</v>
      </c>
      <c r="E41" s="9">
        <f t="shared" si="6"/>
        <v>44799</v>
      </c>
      <c r="F41" s="53">
        <v>0.35416666666666669</v>
      </c>
      <c r="G41" s="54">
        <v>0.72916666666666663</v>
      </c>
      <c r="H41" s="8">
        <f t="shared" si="2"/>
        <v>0</v>
      </c>
      <c r="I41" s="8">
        <f t="shared" si="3"/>
        <v>0</v>
      </c>
      <c r="J41" s="8">
        <f t="shared" si="4"/>
        <v>0</v>
      </c>
      <c r="K41" s="8" t="str">
        <f t="shared" si="5"/>
        <v>No</v>
      </c>
      <c r="L41" s="3"/>
      <c r="N41" s="43" t="s">
        <v>17</v>
      </c>
      <c r="O41" s="35"/>
      <c r="P41" s="68">
        <f>IF((COUNTIF(D16:D46,"Sick Leave"))=0,O22,0)</f>
        <v>20</v>
      </c>
      <c r="Q41" s="27"/>
    </row>
    <row r="42" spans="2:17" s="6" customFormat="1" ht="18" customHeight="1" x14ac:dyDescent="0.3">
      <c r="B42" s="7" t="str">
        <f t="shared" si="0"/>
        <v>2nd Half</v>
      </c>
      <c r="C42" s="52" t="str">
        <f t="shared" si="1"/>
        <v>Saturday</v>
      </c>
      <c r="D42" s="52" t="s">
        <v>61</v>
      </c>
      <c r="E42" s="9">
        <f t="shared" si="6"/>
        <v>44800</v>
      </c>
      <c r="F42" s="53">
        <v>0.35416666666666669</v>
      </c>
      <c r="G42" s="54">
        <v>0.72916666666666663</v>
      </c>
      <c r="H42" s="8">
        <f t="shared" si="2"/>
        <v>0</v>
      </c>
      <c r="I42" s="8">
        <f t="shared" si="3"/>
        <v>0</v>
      </c>
      <c r="J42" s="8">
        <f t="shared" si="4"/>
        <v>0</v>
      </c>
      <c r="K42" s="8" t="str">
        <f t="shared" si="5"/>
        <v>No</v>
      </c>
      <c r="L42" s="3"/>
      <c r="N42" s="28" t="s">
        <v>19</v>
      </c>
      <c r="O42" s="35">
        <f>SUMIF(B16:B46,"2nd Half",J16:J46)</f>
        <v>0</v>
      </c>
      <c r="P42" s="76">
        <f>O42*O19</f>
        <v>0</v>
      </c>
      <c r="Q42" s="42"/>
    </row>
    <row r="43" spans="2:17" s="6" customFormat="1" ht="18" customHeight="1" x14ac:dyDescent="0.3">
      <c r="B43" s="7" t="str">
        <f t="shared" si="0"/>
        <v>2nd Half</v>
      </c>
      <c r="C43" s="52" t="str">
        <f t="shared" si="1"/>
        <v>Sunday</v>
      </c>
      <c r="D43" s="52" t="s">
        <v>61</v>
      </c>
      <c r="E43" s="9">
        <f t="shared" si="6"/>
        <v>44801</v>
      </c>
      <c r="F43" s="53">
        <v>0.35416666666666669</v>
      </c>
      <c r="G43" s="54">
        <v>0.72916666666666663</v>
      </c>
      <c r="H43" s="8">
        <f t="shared" si="2"/>
        <v>8</v>
      </c>
      <c r="I43" s="8">
        <f t="shared" si="3"/>
        <v>7.9999999999999982</v>
      </c>
      <c r="J43" s="8">
        <f t="shared" si="4"/>
        <v>0</v>
      </c>
      <c r="K43" s="8" t="str">
        <f t="shared" si="5"/>
        <v>No</v>
      </c>
      <c r="L43" s="3"/>
      <c r="N43" s="31" t="s">
        <v>4</v>
      </c>
      <c r="O43" s="36"/>
      <c r="P43" s="77">
        <f>P38</f>
        <v>69.230769230769212</v>
      </c>
      <c r="Q43" s="27"/>
    </row>
    <row r="44" spans="2:17" s="6" customFormat="1" ht="18" customHeight="1" x14ac:dyDescent="0.3">
      <c r="B44" s="7" t="str">
        <f t="shared" si="0"/>
        <v>2nd Half</v>
      </c>
      <c r="C44" s="52" t="str">
        <f t="shared" si="1"/>
        <v>Monday</v>
      </c>
      <c r="D44" s="52" t="s">
        <v>61</v>
      </c>
      <c r="E44" s="9">
        <f t="shared" si="6"/>
        <v>44802</v>
      </c>
      <c r="F44" s="53">
        <v>0.35416666666666669</v>
      </c>
      <c r="G44" s="54">
        <v>0.72916666666666663</v>
      </c>
      <c r="H44" s="8">
        <f t="shared" si="2"/>
        <v>0</v>
      </c>
      <c r="I44" s="8">
        <f t="shared" si="3"/>
        <v>0</v>
      </c>
      <c r="J44" s="8">
        <f t="shared" si="4"/>
        <v>0</v>
      </c>
      <c r="K44" s="8" t="str">
        <f t="shared" si="5"/>
        <v>No</v>
      </c>
      <c r="L44" s="3"/>
      <c r="N44" s="32" t="s">
        <v>56</v>
      </c>
      <c r="O44" s="37"/>
      <c r="P44" s="75">
        <f>P37+P38+P39+P40+P41-P42</f>
        <v>758.42657342657333</v>
      </c>
      <c r="Q44" s="51"/>
    </row>
    <row r="45" spans="2:17" s="6" customFormat="1" ht="18" customHeight="1" x14ac:dyDescent="0.3">
      <c r="B45" s="7" t="str">
        <f t="shared" si="0"/>
        <v>2nd Half</v>
      </c>
      <c r="C45" s="52" t="str">
        <f t="shared" si="1"/>
        <v>Tuesday</v>
      </c>
      <c r="D45" s="52" t="s">
        <v>28</v>
      </c>
      <c r="E45" s="9">
        <f t="shared" si="6"/>
        <v>44803</v>
      </c>
      <c r="F45" s="53">
        <v>0.35416666666666669</v>
      </c>
      <c r="G45" s="54">
        <v>0.72916666666666663</v>
      </c>
      <c r="H45" s="8">
        <f t="shared" si="2"/>
        <v>0</v>
      </c>
      <c r="I45" s="8">
        <f t="shared" si="3"/>
        <v>0</v>
      </c>
      <c r="J45" s="8">
        <f t="shared" si="4"/>
        <v>0</v>
      </c>
      <c r="K45" s="8" t="str">
        <f t="shared" si="5"/>
        <v>No</v>
      </c>
      <c r="L45" s="3"/>
      <c r="N45" s="17"/>
      <c r="O45" s="21"/>
      <c r="Q45" s="21"/>
    </row>
    <row r="46" spans="2:17" s="6" customFormat="1" ht="18" customHeight="1" x14ac:dyDescent="0.3">
      <c r="B46" s="7" t="str">
        <f t="shared" si="0"/>
        <v>2nd Half</v>
      </c>
      <c r="C46" s="52" t="str">
        <f t="shared" si="1"/>
        <v>Wednesday</v>
      </c>
      <c r="D46" s="52" t="s">
        <v>28</v>
      </c>
      <c r="E46" s="9">
        <f t="shared" si="6"/>
        <v>44804</v>
      </c>
      <c r="F46" s="53">
        <v>0.35416666666666669</v>
      </c>
      <c r="G46" s="54">
        <v>0.72916666666666663</v>
      </c>
      <c r="H46" s="8">
        <f t="shared" si="2"/>
        <v>0</v>
      </c>
      <c r="I46" s="8">
        <f t="shared" si="3"/>
        <v>0</v>
      </c>
      <c r="J46" s="8">
        <f t="shared" si="4"/>
        <v>0</v>
      </c>
      <c r="K46" s="8" t="str">
        <f t="shared" si="5"/>
        <v>No</v>
      </c>
      <c r="L46" s="3"/>
      <c r="N46" s="17"/>
      <c r="O46" s="21"/>
      <c r="Q46" s="21"/>
    </row>
  </sheetData>
  <mergeCells count="16">
    <mergeCell ref="N25:Q25"/>
    <mergeCell ref="N35:Q35"/>
    <mergeCell ref="B2:C2"/>
    <mergeCell ref="D4:F4"/>
    <mergeCell ref="N14:Q14"/>
    <mergeCell ref="B14:B15"/>
    <mergeCell ref="J14:J15"/>
    <mergeCell ref="H14:I14"/>
    <mergeCell ref="D14:D15"/>
    <mergeCell ref="F14:G14"/>
    <mergeCell ref="E14:E15"/>
    <mergeCell ref="C14:C15"/>
    <mergeCell ref="L14:L15"/>
    <mergeCell ref="K14:K15"/>
    <mergeCell ref="J4:J5"/>
    <mergeCell ref="N4:N5"/>
  </mergeCells>
  <conditionalFormatting sqref="C16:D46">
    <cfRule type="expression" dxfId="8" priority="1">
      <formula>$D16="Cuti Sakit"</formula>
    </cfRule>
    <cfRule type="expression" dxfId="9" priority="4">
      <formula>$D16="Sedang Cuti"</formula>
    </cfRule>
    <cfRule type="expression" dxfId="7" priority="5">
      <formula>$D16="Hari Libur"</formula>
    </cfRule>
    <cfRule type="expression" dxfId="6" priority="6">
      <formula>$C16="Minggu"</formula>
    </cfRule>
  </conditionalFormatting>
  <conditionalFormatting sqref="F16:G46">
    <cfRule type="expression" dxfId="11" priority="2">
      <formula>$B16="2nd Half"</formula>
    </cfRule>
    <cfRule type="expression" dxfId="10" priority="3">
      <formula>$B16="1st Half"</formula>
    </cfRule>
  </conditionalFormatting>
  <dataValidations count="1">
    <dataValidation type="list" allowBlank="1" showInputMessage="1" showErrorMessage="1" sqref="D16:D46" xr:uid="{4A69381E-177B-4569-9104-A387A0A3C618}">
      <formula1>"Hari Libur, Sedang Cuti, Hari Kerja, Cuti Sakit"</formula1>
    </dataValidation>
  </dataValidations>
  <printOptions horizontalCentered="1"/>
  <pageMargins left="0" right="0" top="0.25" bottom="0" header="0.3" footer="0.3"/>
  <pageSetup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2023-07-10T06:12:30Z</dcterms:modified>
</cp:coreProperties>
</file>