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Virus Media Localize\ProFinance Premium\Time Sheets\"/>
    </mc:Choice>
  </mc:AlternateContent>
  <xr:revisionPtr revIDLastSave="0" documentId="13_ncr:1_{909194E0-C743-4A2B-835C-69D462B66CE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ummary" sheetId="47" r:id="rId1"/>
    <sheet name="Dropdown List Data" sheetId="46" r:id="rId2"/>
    <sheet name="JAN" sheetId="14" r:id="rId3"/>
    <sheet name="FEB" sheetId="35" r:id="rId4"/>
    <sheet name="MAR" sheetId="36" r:id="rId5"/>
    <sheet name="APR" sheetId="37" r:id="rId6"/>
    <sheet name="MAY" sheetId="38" r:id="rId7"/>
    <sheet name="JUN" sheetId="39" r:id="rId8"/>
    <sheet name="JUL" sheetId="40" r:id="rId9"/>
    <sheet name="AUG" sheetId="41" r:id="rId10"/>
    <sheet name="SEP" sheetId="42" r:id="rId11"/>
    <sheet name="OCT" sheetId="43" r:id="rId12"/>
    <sheet name="NOV" sheetId="44" r:id="rId13"/>
    <sheet name="DEC" sheetId="45" r:id="rId14"/>
  </sheets>
  <definedNames>
    <definedName name="_xlnm.Print_Area" localSheetId="1">'Dropdown List Data'!$A$2:$G$38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47" l="1"/>
  <c r="C6" i="35" l="1"/>
  <c r="C6" i="36"/>
  <c r="C6" i="37"/>
  <c r="C6" i="38"/>
  <c r="C6" i="39"/>
  <c r="C6" i="40"/>
  <c r="C6" i="41"/>
  <c r="C6" i="42"/>
  <c r="C6" i="43"/>
  <c r="C6" i="44"/>
  <c r="C6" i="45"/>
  <c r="C6" i="14"/>
  <c r="G6" i="45" l="1"/>
  <c r="F6" i="45"/>
  <c r="G6" i="41"/>
  <c r="F6" i="41"/>
  <c r="G6" i="37"/>
  <c r="F6" i="37"/>
  <c r="G6" i="36"/>
  <c r="F6" i="36"/>
  <c r="G6" i="44"/>
  <c r="F6" i="44"/>
  <c r="G6" i="43"/>
  <c r="F6" i="43"/>
  <c r="F6" i="39"/>
  <c r="G6" i="39"/>
  <c r="G6" i="40"/>
  <c r="F6" i="40"/>
  <c r="G6" i="42"/>
  <c r="F6" i="42"/>
  <c r="G6" i="35"/>
  <c r="F6" i="35"/>
  <c r="G6" i="38"/>
  <c r="F6" i="38"/>
  <c r="F6" i="14"/>
  <c r="G6" i="14"/>
  <c r="B2" i="45"/>
  <c r="B2" i="44"/>
  <c r="B2" i="43"/>
  <c r="B2" i="42"/>
  <c r="B2" i="41"/>
  <c r="B2" i="40"/>
  <c r="B2" i="39"/>
  <c r="B2" i="38"/>
  <c r="B2" i="37"/>
  <c r="B2" i="36"/>
  <c r="B2" i="35"/>
  <c r="B7" i="45" l="1"/>
  <c r="H6" i="45"/>
  <c r="B7" i="44"/>
  <c r="H6" i="44"/>
  <c r="B7" i="43"/>
  <c r="H6" i="43"/>
  <c r="B7" i="42"/>
  <c r="C7" i="42" s="1"/>
  <c r="H6" i="42"/>
  <c r="B7" i="41"/>
  <c r="H6" i="41"/>
  <c r="B7" i="40"/>
  <c r="H6" i="40"/>
  <c r="B7" i="39"/>
  <c r="H6" i="39"/>
  <c r="B7" i="38"/>
  <c r="H6" i="38"/>
  <c r="B7" i="37"/>
  <c r="H6" i="37"/>
  <c r="B7" i="36"/>
  <c r="H6" i="36"/>
  <c r="B7" i="35"/>
  <c r="H6" i="35"/>
  <c r="B7" i="14"/>
  <c r="B8" i="38" l="1"/>
  <c r="C7" i="38"/>
  <c r="B8" i="39"/>
  <c r="C7" i="39"/>
  <c r="B8" i="35"/>
  <c r="C7" i="35"/>
  <c r="B8" i="36"/>
  <c r="C7" i="36"/>
  <c r="B8" i="40"/>
  <c r="C7" i="40"/>
  <c r="B8" i="43"/>
  <c r="C7" i="43"/>
  <c r="B8" i="37"/>
  <c r="C7" i="37"/>
  <c r="B8" i="41"/>
  <c r="C7" i="41"/>
  <c r="B8" i="44"/>
  <c r="C7" i="44"/>
  <c r="G7" i="42"/>
  <c r="F7" i="42"/>
  <c r="B8" i="42"/>
  <c r="B8" i="45"/>
  <c r="C7" i="45"/>
  <c r="B8" i="14"/>
  <c r="C7" i="14"/>
  <c r="H6" i="14"/>
  <c r="H7" i="42" l="1"/>
  <c r="G7" i="43"/>
  <c r="F7" i="43"/>
  <c r="F7" i="36"/>
  <c r="G7" i="36"/>
  <c r="G7" i="39"/>
  <c r="F7" i="39"/>
  <c r="G7" i="41"/>
  <c r="F7" i="41"/>
  <c r="G7" i="45"/>
  <c r="F7" i="45"/>
  <c r="B9" i="41"/>
  <c r="C8" i="41"/>
  <c r="B9" i="43"/>
  <c r="C8" i="43"/>
  <c r="B9" i="36"/>
  <c r="C8" i="36"/>
  <c r="B9" i="39"/>
  <c r="C8" i="39"/>
  <c r="G7" i="44"/>
  <c r="F7" i="44"/>
  <c r="F7" i="40"/>
  <c r="G7" i="40"/>
  <c r="G7" i="35"/>
  <c r="F7" i="35"/>
  <c r="G7" i="38"/>
  <c r="F7" i="38"/>
  <c r="B9" i="45"/>
  <c r="C8" i="45"/>
  <c r="G7" i="37"/>
  <c r="F7" i="37"/>
  <c r="B9" i="42"/>
  <c r="C8" i="42"/>
  <c r="B9" i="44"/>
  <c r="C8" i="44"/>
  <c r="B9" i="37"/>
  <c r="C8" i="37"/>
  <c r="B9" i="40"/>
  <c r="C8" i="40"/>
  <c r="B9" i="35"/>
  <c r="C8" i="35"/>
  <c r="B9" i="38"/>
  <c r="C8" i="38"/>
  <c r="G7" i="14"/>
  <c r="F7" i="14"/>
  <c r="B9" i="14"/>
  <c r="C8" i="14"/>
  <c r="F8" i="40" l="1"/>
  <c r="G8" i="40"/>
  <c r="H7" i="37"/>
  <c r="B10" i="38"/>
  <c r="C9" i="38"/>
  <c r="B10" i="40"/>
  <c r="C9" i="40"/>
  <c r="B10" i="44"/>
  <c r="C9" i="44"/>
  <c r="H7" i="40"/>
  <c r="B10" i="39"/>
  <c r="C9" i="39"/>
  <c r="B10" i="43"/>
  <c r="C9" i="43"/>
  <c r="H7" i="45"/>
  <c r="H7" i="39"/>
  <c r="H7" i="43"/>
  <c r="G8" i="37"/>
  <c r="F8" i="37"/>
  <c r="H8" i="37" s="1"/>
  <c r="G8" i="45"/>
  <c r="F8" i="45"/>
  <c r="H8" i="45" s="1"/>
  <c r="H7" i="44"/>
  <c r="F8" i="36"/>
  <c r="G8" i="36"/>
  <c r="G8" i="41"/>
  <c r="F8" i="41"/>
  <c r="H8" i="41" s="1"/>
  <c r="G8" i="35"/>
  <c r="F8" i="35"/>
  <c r="G8" i="42"/>
  <c r="F8" i="42"/>
  <c r="H7" i="35"/>
  <c r="B10" i="35"/>
  <c r="C9" i="35"/>
  <c r="B10" i="37"/>
  <c r="C9" i="37"/>
  <c r="B10" i="42"/>
  <c r="C9" i="42"/>
  <c r="B10" i="45"/>
  <c r="C9" i="45"/>
  <c r="B10" i="36"/>
  <c r="C9" i="36"/>
  <c r="B10" i="41"/>
  <c r="C9" i="41"/>
  <c r="H7" i="41"/>
  <c r="G8" i="38"/>
  <c r="F8" i="38"/>
  <c r="H8" i="38" s="1"/>
  <c r="F8" i="44"/>
  <c r="H8" i="44" s="1"/>
  <c r="G8" i="44"/>
  <c r="H7" i="38"/>
  <c r="G8" i="39"/>
  <c r="F8" i="39"/>
  <c r="H8" i="39" s="1"/>
  <c r="G8" i="43"/>
  <c r="F8" i="43"/>
  <c r="H7" i="36"/>
  <c r="F8" i="14"/>
  <c r="G8" i="14"/>
  <c r="H7" i="14"/>
  <c r="B10" i="14"/>
  <c r="C9" i="14"/>
  <c r="B11" i="41" l="1"/>
  <c r="C10" i="41"/>
  <c r="B11" i="42"/>
  <c r="C10" i="42"/>
  <c r="B11" i="35"/>
  <c r="C10" i="35"/>
  <c r="G9" i="39"/>
  <c r="F9" i="39"/>
  <c r="G9" i="40"/>
  <c r="F9" i="40"/>
  <c r="H8" i="43"/>
  <c r="G9" i="36"/>
  <c r="F9" i="36"/>
  <c r="G9" i="45"/>
  <c r="F9" i="45"/>
  <c r="H9" i="45" s="1"/>
  <c r="F9" i="37"/>
  <c r="G9" i="37"/>
  <c r="H8" i="35"/>
  <c r="H8" i="36"/>
  <c r="B11" i="39"/>
  <c r="C10" i="39"/>
  <c r="B11" i="40"/>
  <c r="C10" i="40"/>
  <c r="B11" i="36"/>
  <c r="C10" i="36"/>
  <c r="B11" i="45"/>
  <c r="C10" i="45"/>
  <c r="B11" i="37"/>
  <c r="C10" i="37"/>
  <c r="G9" i="43"/>
  <c r="F9" i="43"/>
  <c r="G9" i="44"/>
  <c r="F9" i="44"/>
  <c r="H9" i="44" s="1"/>
  <c r="G9" i="38"/>
  <c r="F9" i="38"/>
  <c r="G9" i="41"/>
  <c r="F9" i="41"/>
  <c r="G9" i="42"/>
  <c r="F9" i="42"/>
  <c r="H9" i="42" s="1"/>
  <c r="G9" i="35"/>
  <c r="F9" i="35"/>
  <c r="H8" i="42"/>
  <c r="B11" i="43"/>
  <c r="C10" i="43"/>
  <c r="B11" i="44"/>
  <c r="C10" i="44"/>
  <c r="B11" i="38"/>
  <c r="C10" i="38"/>
  <c r="H8" i="40"/>
  <c r="F9" i="14"/>
  <c r="G9" i="14"/>
  <c r="H8" i="14"/>
  <c r="B11" i="14"/>
  <c r="C10" i="14"/>
  <c r="G10" i="38" l="1"/>
  <c r="F10" i="38"/>
  <c r="B12" i="38"/>
  <c r="C11" i="38"/>
  <c r="B12" i="43"/>
  <c r="C11" i="43"/>
  <c r="H9" i="38"/>
  <c r="H9" i="43"/>
  <c r="G10" i="45"/>
  <c r="F10" i="45"/>
  <c r="B12" i="39"/>
  <c r="C11" i="39"/>
  <c r="H9" i="40"/>
  <c r="B12" i="42"/>
  <c r="C11" i="42"/>
  <c r="H9" i="35"/>
  <c r="H9" i="41"/>
  <c r="B12" i="45"/>
  <c r="C11" i="45"/>
  <c r="G10" i="40"/>
  <c r="F10" i="40"/>
  <c r="H9" i="36"/>
  <c r="G10" i="35"/>
  <c r="F10" i="35"/>
  <c r="F10" i="41"/>
  <c r="G10" i="41"/>
  <c r="B12" i="44"/>
  <c r="C11" i="44"/>
  <c r="F10" i="37"/>
  <c r="G10" i="37"/>
  <c r="G10" i="36"/>
  <c r="F10" i="36"/>
  <c r="H10" i="36" s="1"/>
  <c r="B12" i="40"/>
  <c r="C11" i="40"/>
  <c r="H9" i="37"/>
  <c r="H9" i="39"/>
  <c r="B12" i="35"/>
  <c r="C11" i="35"/>
  <c r="B12" i="41"/>
  <c r="C11" i="41"/>
  <c r="G10" i="44"/>
  <c r="F10" i="44"/>
  <c r="G10" i="43"/>
  <c r="F10" i="43"/>
  <c r="H10" i="43" s="1"/>
  <c r="B12" i="37"/>
  <c r="C11" i="37"/>
  <c r="B12" i="36"/>
  <c r="C11" i="36"/>
  <c r="G10" i="39"/>
  <c r="F10" i="39"/>
  <c r="G10" i="42"/>
  <c r="F10" i="42"/>
  <c r="F10" i="14"/>
  <c r="G10" i="14"/>
  <c r="H9" i="14"/>
  <c r="B12" i="14"/>
  <c r="C11" i="14"/>
  <c r="G11" i="37" l="1"/>
  <c r="F11" i="37"/>
  <c r="H11" i="37" s="1"/>
  <c r="H10" i="44"/>
  <c r="G11" i="35"/>
  <c r="F11" i="35"/>
  <c r="H11" i="35" s="1"/>
  <c r="B13" i="42"/>
  <c r="C12" i="42"/>
  <c r="G11" i="39"/>
  <c r="F11" i="39"/>
  <c r="H11" i="39" s="1"/>
  <c r="F11" i="38"/>
  <c r="G11" i="38"/>
  <c r="H10" i="39"/>
  <c r="B13" i="37"/>
  <c r="C12" i="37"/>
  <c r="B13" i="35"/>
  <c r="C12" i="35"/>
  <c r="H10" i="41"/>
  <c r="G11" i="45"/>
  <c r="F11" i="45"/>
  <c r="H11" i="45" s="1"/>
  <c r="B13" i="39"/>
  <c r="C12" i="39"/>
  <c r="B13" i="38"/>
  <c r="C12" i="38"/>
  <c r="G11" i="36"/>
  <c r="F11" i="36"/>
  <c r="H11" i="36" s="1"/>
  <c r="G11" i="41"/>
  <c r="F11" i="41"/>
  <c r="H11" i="41" s="1"/>
  <c r="G11" i="40"/>
  <c r="F11" i="40"/>
  <c r="H11" i="40" s="1"/>
  <c r="G11" i="44"/>
  <c r="F11" i="44"/>
  <c r="H11" i="44" s="1"/>
  <c r="H10" i="35"/>
  <c r="B13" i="45"/>
  <c r="C12" i="45"/>
  <c r="H10" i="45"/>
  <c r="G11" i="43"/>
  <c r="F11" i="43"/>
  <c r="H10" i="38"/>
  <c r="H10" i="42"/>
  <c r="B13" i="36"/>
  <c r="C12" i="36"/>
  <c r="B13" i="41"/>
  <c r="C12" i="41"/>
  <c r="B13" i="40"/>
  <c r="C12" i="40"/>
  <c r="H10" i="37"/>
  <c r="B13" i="44"/>
  <c r="C12" i="44"/>
  <c r="H10" i="40"/>
  <c r="G11" i="42"/>
  <c r="F11" i="42"/>
  <c r="H11" i="42" s="1"/>
  <c r="B13" i="43"/>
  <c r="C12" i="43"/>
  <c r="F11" i="14"/>
  <c r="G11" i="14"/>
  <c r="H10" i="14"/>
  <c r="B13" i="14"/>
  <c r="C12" i="14"/>
  <c r="B14" i="44" l="1"/>
  <c r="C13" i="44"/>
  <c r="B14" i="40"/>
  <c r="C13" i="40"/>
  <c r="B14" i="36"/>
  <c r="C13" i="36"/>
  <c r="F12" i="38"/>
  <c r="G12" i="38"/>
  <c r="G12" i="35"/>
  <c r="F12" i="35"/>
  <c r="H12" i="35" s="1"/>
  <c r="G12" i="43"/>
  <c r="F12" i="43"/>
  <c r="H12" i="43" s="1"/>
  <c r="G12" i="41"/>
  <c r="F12" i="41"/>
  <c r="H12" i="41" s="1"/>
  <c r="H11" i="43"/>
  <c r="G12" i="45"/>
  <c r="F12" i="45"/>
  <c r="B14" i="38"/>
  <c r="C13" i="38"/>
  <c r="B14" i="35"/>
  <c r="C13" i="35"/>
  <c r="B14" i="43"/>
  <c r="C13" i="43"/>
  <c r="B14" i="41"/>
  <c r="C13" i="41"/>
  <c r="B14" i="45"/>
  <c r="C13" i="45"/>
  <c r="G12" i="39"/>
  <c r="F12" i="39"/>
  <c r="H12" i="39" s="1"/>
  <c r="G12" i="37"/>
  <c r="F12" i="37"/>
  <c r="H12" i="37" s="1"/>
  <c r="F12" i="42"/>
  <c r="G12" i="42"/>
  <c r="G12" i="44"/>
  <c r="F12" i="44"/>
  <c r="H12" i="44" s="1"/>
  <c r="G12" i="40"/>
  <c r="F12" i="40"/>
  <c r="H12" i="40" s="1"/>
  <c r="G12" i="36"/>
  <c r="F12" i="36"/>
  <c r="H12" i="36" s="1"/>
  <c r="B14" i="39"/>
  <c r="C13" i="39"/>
  <c r="B14" i="37"/>
  <c r="C13" i="37"/>
  <c r="H11" i="38"/>
  <c r="B14" i="42"/>
  <c r="C13" i="42"/>
  <c r="G12" i="14"/>
  <c r="F12" i="14"/>
  <c r="H11" i="14"/>
  <c r="B14" i="14"/>
  <c r="C13" i="14"/>
  <c r="G13" i="37" l="1"/>
  <c r="F13" i="37"/>
  <c r="H13" i="37" s="1"/>
  <c r="B15" i="42"/>
  <c r="C14" i="42"/>
  <c r="B15" i="39"/>
  <c r="C14" i="39"/>
  <c r="H12" i="42"/>
  <c r="B15" i="41"/>
  <c r="C14" i="41"/>
  <c r="B15" i="35"/>
  <c r="C14" i="35"/>
  <c r="G13" i="40"/>
  <c r="F13" i="40"/>
  <c r="H13" i="40" s="1"/>
  <c r="G13" i="45"/>
  <c r="F13" i="45"/>
  <c r="H13" i="45" s="1"/>
  <c r="G13" i="43"/>
  <c r="F13" i="43"/>
  <c r="H13" i="43" s="1"/>
  <c r="G13" i="38"/>
  <c r="F13" i="38"/>
  <c r="H13" i="38" s="1"/>
  <c r="H12" i="38"/>
  <c r="B15" i="40"/>
  <c r="C14" i="40"/>
  <c r="G13" i="42"/>
  <c r="F13" i="42"/>
  <c r="H13" i="42" s="1"/>
  <c r="B15" i="37"/>
  <c r="C14" i="37"/>
  <c r="B15" i="45"/>
  <c r="C14" i="45"/>
  <c r="B15" i="43"/>
  <c r="C14" i="43"/>
  <c r="B15" i="38"/>
  <c r="C14" i="38"/>
  <c r="G13" i="36"/>
  <c r="F13" i="36"/>
  <c r="H13" i="36" s="1"/>
  <c r="G13" i="44"/>
  <c r="F13" i="44"/>
  <c r="H13" i="44" s="1"/>
  <c r="F13" i="39"/>
  <c r="G13" i="39"/>
  <c r="G13" i="41"/>
  <c r="F13" i="41"/>
  <c r="H13" i="41" s="1"/>
  <c r="F13" i="35"/>
  <c r="G13" i="35"/>
  <c r="H12" i="45"/>
  <c r="B15" i="36"/>
  <c r="C14" i="36"/>
  <c r="B15" i="44"/>
  <c r="C14" i="44"/>
  <c r="H12" i="14"/>
  <c r="G13" i="14"/>
  <c r="F13" i="14"/>
  <c r="B15" i="14"/>
  <c r="C14" i="14"/>
  <c r="G14" i="38" l="1"/>
  <c r="F14" i="38"/>
  <c r="H14" i="38" s="1"/>
  <c r="G14" i="45"/>
  <c r="F14" i="45"/>
  <c r="H14" i="45" s="1"/>
  <c r="B16" i="41"/>
  <c r="C15" i="41"/>
  <c r="G14" i="42"/>
  <c r="F14" i="42"/>
  <c r="H14" i="42" s="1"/>
  <c r="B16" i="36"/>
  <c r="C15" i="36"/>
  <c r="G14" i="44"/>
  <c r="F14" i="44"/>
  <c r="H14" i="44" s="1"/>
  <c r="B16" i="38"/>
  <c r="C15" i="38"/>
  <c r="B16" i="45"/>
  <c r="C15" i="45"/>
  <c r="F14" i="35"/>
  <c r="G14" i="35"/>
  <c r="B16" i="42"/>
  <c r="C15" i="42"/>
  <c r="B16" i="44"/>
  <c r="C15" i="44"/>
  <c r="F14" i="43"/>
  <c r="G14" i="43"/>
  <c r="G14" i="37"/>
  <c r="F14" i="37"/>
  <c r="H14" i="37" s="1"/>
  <c r="G14" i="40"/>
  <c r="F14" i="40"/>
  <c r="H14" i="40" s="1"/>
  <c r="B16" i="35"/>
  <c r="C15" i="35"/>
  <c r="F14" i="39"/>
  <c r="G14" i="39"/>
  <c r="G14" i="36"/>
  <c r="F14" i="36"/>
  <c r="H14" i="36" s="1"/>
  <c r="H13" i="35"/>
  <c r="H13" i="39"/>
  <c r="B16" i="43"/>
  <c r="C15" i="43"/>
  <c r="B16" i="37"/>
  <c r="C15" i="37"/>
  <c r="B16" i="40"/>
  <c r="C15" i="40"/>
  <c r="G14" i="41"/>
  <c r="F14" i="41"/>
  <c r="H14" i="41" s="1"/>
  <c r="B16" i="39"/>
  <c r="C15" i="39"/>
  <c r="H13" i="14"/>
  <c r="G14" i="14"/>
  <c r="F14" i="14"/>
  <c r="B16" i="14"/>
  <c r="C15" i="14"/>
  <c r="G15" i="37" l="1"/>
  <c r="F15" i="37"/>
  <c r="H15" i="37" s="1"/>
  <c r="G15" i="42"/>
  <c r="F15" i="42"/>
  <c r="H15" i="42" s="1"/>
  <c r="G15" i="45"/>
  <c r="F15" i="45"/>
  <c r="H15" i="45" s="1"/>
  <c r="F15" i="40"/>
  <c r="G15" i="40"/>
  <c r="B17" i="37"/>
  <c r="C16" i="37"/>
  <c r="H14" i="39"/>
  <c r="H14" i="43"/>
  <c r="B17" i="42"/>
  <c r="C16" i="42"/>
  <c r="B17" i="45"/>
  <c r="C16" i="45"/>
  <c r="G15" i="43"/>
  <c r="F15" i="43"/>
  <c r="H15" i="43" s="1"/>
  <c r="G15" i="44"/>
  <c r="F15" i="44"/>
  <c r="H15" i="44" s="1"/>
  <c r="G15" i="38"/>
  <c r="F15" i="38"/>
  <c r="H15" i="38" s="1"/>
  <c r="F15" i="36"/>
  <c r="G15" i="36"/>
  <c r="G15" i="41"/>
  <c r="F15" i="41"/>
  <c r="H15" i="41" s="1"/>
  <c r="G15" i="39"/>
  <c r="F15" i="39"/>
  <c r="H15" i="39" s="1"/>
  <c r="G15" i="35"/>
  <c r="F15" i="35"/>
  <c r="H15" i="35" s="1"/>
  <c r="B17" i="39"/>
  <c r="C16" i="39"/>
  <c r="B17" i="40"/>
  <c r="C16" i="40"/>
  <c r="B17" i="43"/>
  <c r="C16" i="43"/>
  <c r="B17" i="35"/>
  <c r="C16" i="35"/>
  <c r="B17" i="44"/>
  <c r="C16" i="44"/>
  <c r="H14" i="35"/>
  <c r="B17" i="38"/>
  <c r="C16" i="38"/>
  <c r="B17" i="36"/>
  <c r="C16" i="36"/>
  <c r="B17" i="41"/>
  <c r="C16" i="41"/>
  <c r="H14" i="14"/>
  <c r="G15" i="14"/>
  <c r="F15" i="14"/>
  <c r="B17" i="14"/>
  <c r="C16" i="14"/>
  <c r="G16" i="44" l="1"/>
  <c r="F16" i="44"/>
  <c r="H16" i="44" s="1"/>
  <c r="G16" i="43"/>
  <c r="F16" i="43"/>
  <c r="H16" i="43" s="1"/>
  <c r="G16" i="39"/>
  <c r="F16" i="39"/>
  <c r="H16" i="39" s="1"/>
  <c r="G16" i="45"/>
  <c r="F16" i="45"/>
  <c r="H16" i="45" s="1"/>
  <c r="B18" i="36"/>
  <c r="C17" i="36"/>
  <c r="G16" i="41"/>
  <c r="F16" i="41"/>
  <c r="H16" i="41" s="1"/>
  <c r="G16" i="38"/>
  <c r="F16" i="38"/>
  <c r="H16" i="38" s="1"/>
  <c r="B18" i="44"/>
  <c r="C17" i="44"/>
  <c r="B18" i="43"/>
  <c r="C17" i="43"/>
  <c r="B18" i="39"/>
  <c r="C17" i="39"/>
  <c r="H15" i="36"/>
  <c r="B18" i="45"/>
  <c r="C17" i="45"/>
  <c r="H15" i="40"/>
  <c r="B18" i="41"/>
  <c r="C17" i="41"/>
  <c r="G16" i="35"/>
  <c r="F16" i="35"/>
  <c r="H16" i="35" s="1"/>
  <c r="G16" i="42"/>
  <c r="F16" i="42"/>
  <c r="H16" i="42" s="1"/>
  <c r="G16" i="37"/>
  <c r="F16" i="37"/>
  <c r="H16" i="37" s="1"/>
  <c r="B18" i="38"/>
  <c r="C17" i="38"/>
  <c r="F16" i="40"/>
  <c r="G16" i="40"/>
  <c r="F16" i="36"/>
  <c r="G16" i="36"/>
  <c r="B18" i="35"/>
  <c r="C17" i="35"/>
  <c r="B18" i="40"/>
  <c r="C17" i="40"/>
  <c r="B18" i="42"/>
  <c r="C17" i="42"/>
  <c r="B18" i="37"/>
  <c r="C17" i="37"/>
  <c r="F16" i="14"/>
  <c r="G16" i="14"/>
  <c r="H15" i="14"/>
  <c r="B18" i="14"/>
  <c r="C17" i="14"/>
  <c r="G17" i="35" l="1"/>
  <c r="F17" i="35"/>
  <c r="H17" i="35" s="1"/>
  <c r="G17" i="39"/>
  <c r="F17" i="39"/>
  <c r="G17" i="44"/>
  <c r="F17" i="44"/>
  <c r="H17" i="44" s="1"/>
  <c r="G17" i="42"/>
  <c r="F17" i="42"/>
  <c r="H17" i="42" s="1"/>
  <c r="B19" i="42"/>
  <c r="C18" i="42"/>
  <c r="B19" i="35"/>
  <c r="C18" i="35"/>
  <c r="H16" i="40"/>
  <c r="G17" i="45"/>
  <c r="F17" i="45"/>
  <c r="B19" i="39"/>
  <c r="C18" i="39"/>
  <c r="B19" i="44"/>
  <c r="C18" i="44"/>
  <c r="G17" i="40"/>
  <c r="F17" i="40"/>
  <c r="G17" i="38"/>
  <c r="F17" i="38"/>
  <c r="G17" i="43"/>
  <c r="F17" i="43"/>
  <c r="G17" i="36"/>
  <c r="F17" i="36"/>
  <c r="F17" i="37"/>
  <c r="H17" i="37" s="1"/>
  <c r="G17" i="37"/>
  <c r="G17" i="41"/>
  <c r="F17" i="41"/>
  <c r="B19" i="45"/>
  <c r="C18" i="45"/>
  <c r="B19" i="37"/>
  <c r="C18" i="37"/>
  <c r="B19" i="40"/>
  <c r="C18" i="40"/>
  <c r="H16" i="36"/>
  <c r="B19" i="38"/>
  <c r="C18" i="38"/>
  <c r="B19" i="41"/>
  <c r="C18" i="41"/>
  <c r="B19" i="43"/>
  <c r="C18" i="43"/>
  <c r="B19" i="36"/>
  <c r="C18" i="36"/>
  <c r="H16" i="14"/>
  <c r="F17" i="14"/>
  <c r="H17" i="14" s="1"/>
  <c r="G17" i="14"/>
  <c r="B19" i="14"/>
  <c r="C18" i="14"/>
  <c r="G18" i="43" l="1"/>
  <c r="F18" i="43"/>
  <c r="H18" i="43" s="1"/>
  <c r="G18" i="38"/>
  <c r="F18" i="38"/>
  <c r="H18" i="38" s="1"/>
  <c r="B20" i="40"/>
  <c r="C19" i="40"/>
  <c r="B20" i="45"/>
  <c r="C19" i="45"/>
  <c r="B20" i="39"/>
  <c r="C19" i="39"/>
  <c r="G18" i="35"/>
  <c r="F18" i="35"/>
  <c r="H18" i="35" s="1"/>
  <c r="H17" i="39"/>
  <c r="B20" i="43"/>
  <c r="C19" i="43"/>
  <c r="B20" i="38"/>
  <c r="C19" i="38"/>
  <c r="F18" i="37"/>
  <c r="H18" i="37" s="1"/>
  <c r="G18" i="37"/>
  <c r="H17" i="41"/>
  <c r="H17" i="36"/>
  <c r="H17" i="38"/>
  <c r="G18" i="44"/>
  <c r="F18" i="44"/>
  <c r="H18" i="44" s="1"/>
  <c r="H17" i="45"/>
  <c r="B20" i="35"/>
  <c r="C19" i="35"/>
  <c r="G18" i="36"/>
  <c r="F18" i="36"/>
  <c r="F18" i="41"/>
  <c r="H18" i="41" s="1"/>
  <c r="G18" i="41"/>
  <c r="B20" i="37"/>
  <c r="C19" i="37"/>
  <c r="B20" i="44"/>
  <c r="C19" i="44"/>
  <c r="G18" i="42"/>
  <c r="F18" i="42"/>
  <c r="H18" i="42" s="1"/>
  <c r="B20" i="36"/>
  <c r="C19" i="36"/>
  <c r="B20" i="41"/>
  <c r="C19" i="41"/>
  <c r="G18" i="40"/>
  <c r="F18" i="40"/>
  <c r="H18" i="40" s="1"/>
  <c r="G18" i="45"/>
  <c r="F18" i="45"/>
  <c r="H18" i="45" s="1"/>
  <c r="H17" i="43"/>
  <c r="H17" i="40"/>
  <c r="G18" i="39"/>
  <c r="F18" i="39"/>
  <c r="H18" i="39" s="1"/>
  <c r="B20" i="42"/>
  <c r="C19" i="42"/>
  <c r="F18" i="14"/>
  <c r="G18" i="14"/>
  <c r="B20" i="14"/>
  <c r="C19" i="14"/>
  <c r="G19" i="42" l="1"/>
  <c r="F19" i="42"/>
  <c r="H19" i="42" s="1"/>
  <c r="B21" i="41"/>
  <c r="C20" i="41"/>
  <c r="B21" i="37"/>
  <c r="C20" i="37"/>
  <c r="B21" i="38"/>
  <c r="C20" i="38"/>
  <c r="G19" i="45"/>
  <c r="F19" i="45"/>
  <c r="H19" i="45" s="1"/>
  <c r="G19" i="36"/>
  <c r="F19" i="36"/>
  <c r="H19" i="36" s="1"/>
  <c r="G19" i="44"/>
  <c r="F19" i="44"/>
  <c r="H19" i="44" s="1"/>
  <c r="G19" i="35"/>
  <c r="F19" i="35"/>
  <c r="H19" i="35" s="1"/>
  <c r="G19" i="43"/>
  <c r="F19" i="43"/>
  <c r="H19" i="43" s="1"/>
  <c r="B21" i="45"/>
  <c r="C20" i="45"/>
  <c r="B21" i="42"/>
  <c r="C20" i="42"/>
  <c r="B21" i="36"/>
  <c r="C20" i="36"/>
  <c r="B21" i="44"/>
  <c r="C20" i="44"/>
  <c r="B21" i="35"/>
  <c r="C20" i="35"/>
  <c r="B21" i="43"/>
  <c r="C20" i="43"/>
  <c r="G19" i="39"/>
  <c r="F19" i="39"/>
  <c r="H19" i="39" s="1"/>
  <c r="G19" i="40"/>
  <c r="F19" i="40"/>
  <c r="H19" i="40" s="1"/>
  <c r="G19" i="41"/>
  <c r="F19" i="41"/>
  <c r="H19" i="41" s="1"/>
  <c r="G19" i="37"/>
  <c r="F19" i="37"/>
  <c r="H19" i="37" s="1"/>
  <c r="H18" i="36"/>
  <c r="F19" i="38"/>
  <c r="H19" i="38" s="1"/>
  <c r="G19" i="38"/>
  <c r="B21" i="39"/>
  <c r="C20" i="39"/>
  <c r="B21" i="40"/>
  <c r="C20" i="40"/>
  <c r="H18" i="14"/>
  <c r="G19" i="14"/>
  <c r="F19" i="14"/>
  <c r="H19" i="14" s="1"/>
  <c r="B21" i="14"/>
  <c r="C20" i="14"/>
  <c r="B22" i="40" l="1"/>
  <c r="C21" i="40"/>
  <c r="G20" i="36"/>
  <c r="F20" i="36"/>
  <c r="H20" i="36" s="1"/>
  <c r="G20" i="45"/>
  <c r="F20" i="45"/>
  <c r="H20" i="45" s="1"/>
  <c r="F20" i="38"/>
  <c r="G20" i="38"/>
  <c r="G20" i="41"/>
  <c r="F20" i="41"/>
  <c r="H20" i="41" s="1"/>
  <c r="G20" i="35"/>
  <c r="F20" i="35"/>
  <c r="H20" i="35" s="1"/>
  <c r="G20" i="39"/>
  <c r="F20" i="39"/>
  <c r="H20" i="39" s="1"/>
  <c r="B22" i="35"/>
  <c r="C21" i="35"/>
  <c r="B22" i="36"/>
  <c r="C21" i="36"/>
  <c r="B22" i="45"/>
  <c r="C21" i="45"/>
  <c r="B22" i="38"/>
  <c r="C21" i="38"/>
  <c r="B22" i="41"/>
  <c r="C21" i="41"/>
  <c r="B22" i="39"/>
  <c r="C21" i="39"/>
  <c r="G20" i="43"/>
  <c r="F20" i="43"/>
  <c r="H20" i="43" s="1"/>
  <c r="G20" i="44"/>
  <c r="F20" i="44"/>
  <c r="H20" i="44" s="1"/>
  <c r="F20" i="42"/>
  <c r="G20" i="42"/>
  <c r="G20" i="37"/>
  <c r="F20" i="37"/>
  <c r="H20" i="37" s="1"/>
  <c r="G20" i="40"/>
  <c r="F20" i="40"/>
  <c r="H20" i="40" s="1"/>
  <c r="B22" i="43"/>
  <c r="C21" i="43"/>
  <c r="B22" i="44"/>
  <c r="C21" i="44"/>
  <c r="B22" i="42"/>
  <c r="C21" i="42"/>
  <c r="B22" i="37"/>
  <c r="C21" i="37"/>
  <c r="G20" i="14"/>
  <c r="F20" i="14"/>
  <c r="B22" i="14"/>
  <c r="C21" i="14"/>
  <c r="G21" i="44" l="1"/>
  <c r="F21" i="44"/>
  <c r="H21" i="44" s="1"/>
  <c r="G21" i="45"/>
  <c r="F21" i="45"/>
  <c r="H21" i="45" s="1"/>
  <c r="F21" i="35"/>
  <c r="H21" i="35" s="1"/>
  <c r="G21" i="35"/>
  <c r="G21" i="37"/>
  <c r="F21" i="37"/>
  <c r="H21" i="37" s="1"/>
  <c r="G21" i="41"/>
  <c r="F21" i="41"/>
  <c r="H21" i="41" s="1"/>
  <c r="B23" i="37"/>
  <c r="C22" i="37"/>
  <c r="B23" i="44"/>
  <c r="C22" i="44"/>
  <c r="H20" i="42"/>
  <c r="B23" i="41"/>
  <c r="C22" i="41"/>
  <c r="B23" i="45"/>
  <c r="C22" i="45"/>
  <c r="B23" i="35"/>
  <c r="C22" i="35"/>
  <c r="H20" i="38"/>
  <c r="F21" i="43"/>
  <c r="G21" i="43"/>
  <c r="F21" i="39"/>
  <c r="G21" i="39"/>
  <c r="G21" i="36"/>
  <c r="F21" i="36"/>
  <c r="H21" i="36" s="1"/>
  <c r="G21" i="40"/>
  <c r="F21" i="40"/>
  <c r="H21" i="40" s="1"/>
  <c r="G21" i="42"/>
  <c r="F21" i="42"/>
  <c r="H21" i="42" s="1"/>
  <c r="G21" i="38"/>
  <c r="F21" i="38"/>
  <c r="H21" i="38" s="1"/>
  <c r="B23" i="42"/>
  <c r="C22" i="42"/>
  <c r="B23" i="43"/>
  <c r="C22" i="43"/>
  <c r="B23" i="39"/>
  <c r="C22" i="39"/>
  <c r="B23" i="38"/>
  <c r="C22" i="38"/>
  <c r="B23" i="36"/>
  <c r="C22" i="36"/>
  <c r="B23" i="40"/>
  <c r="C22" i="40"/>
  <c r="H20" i="14"/>
  <c r="G21" i="14"/>
  <c r="F21" i="14"/>
  <c r="H21" i="14" s="1"/>
  <c r="B23" i="14"/>
  <c r="C22" i="14"/>
  <c r="G22" i="40" l="1"/>
  <c r="F22" i="40"/>
  <c r="H22" i="40" s="1"/>
  <c r="F22" i="39"/>
  <c r="G22" i="39"/>
  <c r="G22" i="42"/>
  <c r="F22" i="42"/>
  <c r="H22" i="42" s="1"/>
  <c r="B24" i="35"/>
  <c r="C23" i="35"/>
  <c r="B24" i="41"/>
  <c r="C23" i="41"/>
  <c r="G22" i="37"/>
  <c r="F22" i="37"/>
  <c r="H22" i="37" s="1"/>
  <c r="G22" i="38"/>
  <c r="F22" i="38"/>
  <c r="H22" i="38" s="1"/>
  <c r="B24" i="40"/>
  <c r="C23" i="40"/>
  <c r="B24" i="43"/>
  <c r="C23" i="43"/>
  <c r="G22" i="36"/>
  <c r="F22" i="36"/>
  <c r="H22" i="36" s="1"/>
  <c r="B24" i="36"/>
  <c r="C23" i="36"/>
  <c r="B24" i="39"/>
  <c r="C23" i="39"/>
  <c r="B24" i="42"/>
  <c r="C23" i="42"/>
  <c r="H21" i="43"/>
  <c r="G22" i="45"/>
  <c r="F22" i="45"/>
  <c r="B24" i="37"/>
  <c r="C23" i="37"/>
  <c r="B24" i="45"/>
  <c r="C23" i="45"/>
  <c r="G22" i="44"/>
  <c r="F22" i="44"/>
  <c r="H22" i="44" s="1"/>
  <c r="F22" i="43"/>
  <c r="H22" i="43" s="1"/>
  <c r="G22" i="43"/>
  <c r="B24" i="38"/>
  <c r="C23" i="38"/>
  <c r="H21" i="39"/>
  <c r="F22" i="35"/>
  <c r="G22" i="35"/>
  <c r="G22" i="41"/>
  <c r="F22" i="41"/>
  <c r="H22" i="41" s="1"/>
  <c r="B24" i="44"/>
  <c r="C23" i="44"/>
  <c r="G22" i="14"/>
  <c r="F22" i="14"/>
  <c r="B24" i="14"/>
  <c r="C23" i="14"/>
  <c r="B25" i="45" l="1"/>
  <c r="C24" i="45"/>
  <c r="G23" i="39"/>
  <c r="F23" i="39"/>
  <c r="H23" i="39" s="1"/>
  <c r="G23" i="35"/>
  <c r="F23" i="35"/>
  <c r="H23" i="35" s="1"/>
  <c r="G23" i="37"/>
  <c r="F23" i="37"/>
  <c r="H23" i="37" s="1"/>
  <c r="B25" i="39"/>
  <c r="C24" i="39"/>
  <c r="B25" i="40"/>
  <c r="C24" i="40"/>
  <c r="B25" i="35"/>
  <c r="C24" i="35"/>
  <c r="F23" i="44"/>
  <c r="G23" i="44"/>
  <c r="B25" i="38"/>
  <c r="C24" i="38"/>
  <c r="B25" i="37"/>
  <c r="C24" i="37"/>
  <c r="G23" i="42"/>
  <c r="F23" i="42"/>
  <c r="H23" i="42" s="1"/>
  <c r="F23" i="36"/>
  <c r="G23" i="36"/>
  <c r="G23" i="43"/>
  <c r="F23" i="43"/>
  <c r="H23" i="43" s="1"/>
  <c r="G23" i="41"/>
  <c r="F23" i="41"/>
  <c r="H23" i="41" s="1"/>
  <c r="F23" i="40"/>
  <c r="G23" i="40"/>
  <c r="G23" i="38"/>
  <c r="F23" i="38"/>
  <c r="H23" i="38" s="1"/>
  <c r="H22" i="39"/>
  <c r="B25" i="44"/>
  <c r="C24" i="44"/>
  <c r="H22" i="35"/>
  <c r="G23" i="45"/>
  <c r="F23" i="45"/>
  <c r="H23" i="45" s="1"/>
  <c r="H22" i="45"/>
  <c r="B25" i="42"/>
  <c r="C24" i="42"/>
  <c r="B25" i="36"/>
  <c r="C24" i="36"/>
  <c r="B25" i="43"/>
  <c r="C24" i="43"/>
  <c r="B25" i="41"/>
  <c r="C24" i="41"/>
  <c r="H22" i="14"/>
  <c r="F23" i="14"/>
  <c r="G23" i="14"/>
  <c r="B25" i="14"/>
  <c r="C24" i="14"/>
  <c r="G24" i="37" l="1"/>
  <c r="F24" i="37"/>
  <c r="H24" i="37" s="1"/>
  <c r="G24" i="41"/>
  <c r="F24" i="41"/>
  <c r="H24" i="41" s="1"/>
  <c r="F24" i="36"/>
  <c r="G24" i="36"/>
  <c r="F24" i="44"/>
  <c r="G24" i="44"/>
  <c r="H23" i="36"/>
  <c r="B26" i="37"/>
  <c r="C25" i="37"/>
  <c r="H23" i="44"/>
  <c r="B26" i="40"/>
  <c r="C25" i="40"/>
  <c r="B26" i="43"/>
  <c r="C25" i="43"/>
  <c r="F24" i="40"/>
  <c r="G24" i="40"/>
  <c r="B26" i="41"/>
  <c r="C25" i="41"/>
  <c r="G24" i="38"/>
  <c r="F24" i="38"/>
  <c r="H24" i="38" s="1"/>
  <c r="G24" i="35"/>
  <c r="F24" i="35"/>
  <c r="H24" i="35" s="1"/>
  <c r="G24" i="39"/>
  <c r="F24" i="39"/>
  <c r="H24" i="39" s="1"/>
  <c r="G24" i="45"/>
  <c r="F24" i="45"/>
  <c r="H24" i="45" s="1"/>
  <c r="B26" i="42"/>
  <c r="C25" i="42"/>
  <c r="B26" i="36"/>
  <c r="C25" i="36"/>
  <c r="B26" i="44"/>
  <c r="C25" i="44"/>
  <c r="G24" i="43"/>
  <c r="F24" i="43"/>
  <c r="H24" i="43" s="1"/>
  <c r="G24" i="42"/>
  <c r="F24" i="42"/>
  <c r="H24" i="42" s="1"/>
  <c r="H23" i="40"/>
  <c r="B26" i="38"/>
  <c r="C25" i="38"/>
  <c r="B26" i="35"/>
  <c r="C25" i="35"/>
  <c r="B26" i="39"/>
  <c r="C25" i="39"/>
  <c r="B26" i="45"/>
  <c r="C25" i="45"/>
  <c r="F24" i="14"/>
  <c r="G24" i="14"/>
  <c r="H23" i="14"/>
  <c r="B26" i="14"/>
  <c r="C25" i="14"/>
  <c r="G25" i="36" l="1"/>
  <c r="F25" i="36"/>
  <c r="G25" i="43"/>
  <c r="F25" i="43"/>
  <c r="H25" i="43" s="1"/>
  <c r="F25" i="45"/>
  <c r="H25" i="45" s="1"/>
  <c r="G25" i="45"/>
  <c r="G25" i="35"/>
  <c r="F25" i="35"/>
  <c r="H25" i="35" s="1"/>
  <c r="B27" i="36"/>
  <c r="C26" i="36"/>
  <c r="B27" i="41"/>
  <c r="C26" i="41"/>
  <c r="B27" i="43"/>
  <c r="C26" i="43"/>
  <c r="F25" i="37"/>
  <c r="G25" i="37"/>
  <c r="H24" i="44"/>
  <c r="B27" i="39"/>
  <c r="C26" i="39"/>
  <c r="B27" i="38"/>
  <c r="C26" i="38"/>
  <c r="B27" i="35"/>
  <c r="C26" i="35"/>
  <c r="G25" i="44"/>
  <c r="F25" i="44"/>
  <c r="G25" i="42"/>
  <c r="F25" i="42"/>
  <c r="H25" i="42" s="1"/>
  <c r="G25" i="40"/>
  <c r="F25" i="40"/>
  <c r="B27" i="37"/>
  <c r="C26" i="37"/>
  <c r="G25" i="41"/>
  <c r="F25" i="41"/>
  <c r="B27" i="45"/>
  <c r="C26" i="45"/>
  <c r="G25" i="39"/>
  <c r="F25" i="39"/>
  <c r="G25" i="38"/>
  <c r="F25" i="38"/>
  <c r="H25" i="38" s="1"/>
  <c r="B27" i="44"/>
  <c r="C26" i="44"/>
  <c r="B27" i="42"/>
  <c r="C26" i="42"/>
  <c r="H24" i="40"/>
  <c r="B27" i="40"/>
  <c r="C26" i="40"/>
  <c r="H24" i="36"/>
  <c r="F25" i="14"/>
  <c r="G25" i="14"/>
  <c r="H24" i="14"/>
  <c r="B27" i="14"/>
  <c r="C26" i="14"/>
  <c r="F26" i="41" l="1"/>
  <c r="H26" i="41" s="1"/>
  <c r="G26" i="41"/>
  <c r="F26" i="45"/>
  <c r="G26" i="45"/>
  <c r="F26" i="37"/>
  <c r="H26" i="37" s="1"/>
  <c r="G26" i="37"/>
  <c r="G26" i="35"/>
  <c r="F26" i="35"/>
  <c r="H26" i="35" s="1"/>
  <c r="G26" i="39"/>
  <c r="F26" i="39"/>
  <c r="H25" i="37"/>
  <c r="B28" i="41"/>
  <c r="C27" i="41"/>
  <c r="B28" i="44"/>
  <c r="C27" i="44"/>
  <c r="G26" i="40"/>
  <c r="F26" i="40"/>
  <c r="B28" i="42"/>
  <c r="C27" i="42"/>
  <c r="B28" i="45"/>
  <c r="C27" i="45"/>
  <c r="B28" i="37"/>
  <c r="C27" i="37"/>
  <c r="B28" i="35"/>
  <c r="C27" i="35"/>
  <c r="B28" i="39"/>
  <c r="C27" i="39"/>
  <c r="G26" i="43"/>
  <c r="F26" i="43"/>
  <c r="H26" i="43" s="1"/>
  <c r="G26" i="36"/>
  <c r="F26" i="36"/>
  <c r="H26" i="36" s="1"/>
  <c r="H25" i="36"/>
  <c r="B28" i="38"/>
  <c r="C27" i="38"/>
  <c r="G26" i="42"/>
  <c r="F26" i="42"/>
  <c r="H26" i="42" s="1"/>
  <c r="B28" i="40"/>
  <c r="C27" i="40"/>
  <c r="G26" i="44"/>
  <c r="F26" i="44"/>
  <c r="H26" i="44" s="1"/>
  <c r="H25" i="39"/>
  <c r="H25" i="41"/>
  <c r="H25" i="40"/>
  <c r="H25" i="44"/>
  <c r="G26" i="38"/>
  <c r="F26" i="38"/>
  <c r="B28" i="43"/>
  <c r="C27" i="43"/>
  <c r="B28" i="36"/>
  <c r="C27" i="36"/>
  <c r="F26" i="14"/>
  <c r="G26" i="14"/>
  <c r="H25" i="14"/>
  <c r="B28" i="14"/>
  <c r="C27" i="14"/>
  <c r="B29" i="36" l="1"/>
  <c r="C28" i="36"/>
  <c r="G27" i="43"/>
  <c r="F27" i="43"/>
  <c r="H27" i="43" s="1"/>
  <c r="B29" i="45"/>
  <c r="C28" i="45"/>
  <c r="B29" i="41"/>
  <c r="C28" i="41"/>
  <c r="G27" i="39"/>
  <c r="F27" i="39"/>
  <c r="H27" i="39" s="1"/>
  <c r="G27" i="37"/>
  <c r="F27" i="37"/>
  <c r="H27" i="37" s="1"/>
  <c r="G27" i="42"/>
  <c r="F27" i="42"/>
  <c r="H27" i="42" s="1"/>
  <c r="G27" i="44"/>
  <c r="F27" i="44"/>
  <c r="H27" i="44" s="1"/>
  <c r="H26" i="45"/>
  <c r="B29" i="38"/>
  <c r="C28" i="38"/>
  <c r="B29" i="35"/>
  <c r="C28" i="35"/>
  <c r="B29" i="43"/>
  <c r="C28" i="43"/>
  <c r="G27" i="36"/>
  <c r="F27" i="36"/>
  <c r="H26" i="38"/>
  <c r="G27" i="40"/>
  <c r="F27" i="40"/>
  <c r="H27" i="40" s="1"/>
  <c r="F27" i="38"/>
  <c r="G27" i="38"/>
  <c r="B29" i="39"/>
  <c r="C28" i="39"/>
  <c r="B29" i="37"/>
  <c r="C28" i="37"/>
  <c r="B29" i="42"/>
  <c r="C28" i="42"/>
  <c r="B29" i="44"/>
  <c r="C28" i="44"/>
  <c r="H26" i="39"/>
  <c r="B29" i="40"/>
  <c r="C28" i="40"/>
  <c r="G27" i="35"/>
  <c r="F27" i="35"/>
  <c r="G27" i="45"/>
  <c r="F27" i="45"/>
  <c r="H26" i="40"/>
  <c r="G27" i="41"/>
  <c r="F27" i="41"/>
  <c r="H27" i="41" s="1"/>
  <c r="F27" i="14"/>
  <c r="G27" i="14"/>
  <c r="H26" i="14"/>
  <c r="B29" i="14"/>
  <c r="C28" i="14"/>
  <c r="F28" i="42" l="1"/>
  <c r="H28" i="42" s="1"/>
  <c r="G28" i="42"/>
  <c r="G28" i="41"/>
  <c r="F28" i="41"/>
  <c r="H28" i="41" s="1"/>
  <c r="H27" i="35"/>
  <c r="B30" i="42"/>
  <c r="C29" i="42"/>
  <c r="B30" i="39"/>
  <c r="C29" i="39"/>
  <c r="G28" i="43"/>
  <c r="F28" i="43"/>
  <c r="H28" i="43" s="1"/>
  <c r="F28" i="38"/>
  <c r="H28" i="38" s="1"/>
  <c r="G28" i="38"/>
  <c r="B30" i="41"/>
  <c r="C29" i="41"/>
  <c r="B30" i="40"/>
  <c r="C29" i="40"/>
  <c r="G28" i="44"/>
  <c r="F28" i="44"/>
  <c r="H28" i="44" s="1"/>
  <c r="G28" i="37"/>
  <c r="F28" i="37"/>
  <c r="B30" i="43"/>
  <c r="C29" i="43"/>
  <c r="B30" i="38"/>
  <c r="C29" i="38"/>
  <c r="G28" i="45"/>
  <c r="F28" i="45"/>
  <c r="H28" i="45" s="1"/>
  <c r="G28" i="36"/>
  <c r="F28" i="36"/>
  <c r="G28" i="39"/>
  <c r="F28" i="39"/>
  <c r="H28" i="39" s="1"/>
  <c r="B30" i="35"/>
  <c r="C29" i="35"/>
  <c r="H27" i="45"/>
  <c r="G28" i="40"/>
  <c r="F28" i="40"/>
  <c r="H28" i="40" s="1"/>
  <c r="B30" i="44"/>
  <c r="C29" i="44"/>
  <c r="B30" i="37"/>
  <c r="C29" i="37"/>
  <c r="H27" i="38"/>
  <c r="H27" i="36"/>
  <c r="G28" i="35"/>
  <c r="F28" i="35"/>
  <c r="H28" i="35" s="1"/>
  <c r="B30" i="45"/>
  <c r="C29" i="45"/>
  <c r="B30" i="36"/>
  <c r="C29" i="36"/>
  <c r="H27" i="14"/>
  <c r="F28" i="14"/>
  <c r="G28" i="14"/>
  <c r="B30" i="14"/>
  <c r="C29" i="14"/>
  <c r="G29" i="37" l="1"/>
  <c r="F29" i="37"/>
  <c r="H29" i="37" s="1"/>
  <c r="B31" i="35"/>
  <c r="C30" i="35"/>
  <c r="B31" i="38"/>
  <c r="C30" i="38"/>
  <c r="B31" i="39"/>
  <c r="C30" i="39"/>
  <c r="B31" i="37"/>
  <c r="C30" i="37"/>
  <c r="G29" i="43"/>
  <c r="F29" i="43"/>
  <c r="H29" i="43" s="1"/>
  <c r="G29" i="41"/>
  <c r="F29" i="41"/>
  <c r="H29" i="41" s="1"/>
  <c r="G29" i="42"/>
  <c r="F29" i="42"/>
  <c r="H29" i="42" s="1"/>
  <c r="G29" i="36"/>
  <c r="F29" i="36"/>
  <c r="H29" i="36" s="1"/>
  <c r="B31" i="40"/>
  <c r="C30" i="40"/>
  <c r="B31" i="36"/>
  <c r="C30" i="36"/>
  <c r="G29" i="45"/>
  <c r="F29" i="45"/>
  <c r="H29" i="45" s="1"/>
  <c r="G29" i="44"/>
  <c r="F29" i="44"/>
  <c r="H29" i="44" s="1"/>
  <c r="B31" i="43"/>
  <c r="C30" i="43"/>
  <c r="B31" i="41"/>
  <c r="C30" i="41"/>
  <c r="B31" i="42"/>
  <c r="C30" i="42"/>
  <c r="B31" i="45"/>
  <c r="C30" i="45"/>
  <c r="B31" i="44"/>
  <c r="C30" i="44"/>
  <c r="F29" i="35"/>
  <c r="G29" i="35"/>
  <c r="H28" i="36"/>
  <c r="G29" i="38"/>
  <c r="F29" i="38"/>
  <c r="H28" i="37"/>
  <c r="G29" i="40"/>
  <c r="F29" i="40"/>
  <c r="H29" i="40" s="1"/>
  <c r="F29" i="39"/>
  <c r="G29" i="39"/>
  <c r="G29" i="14"/>
  <c r="F29" i="14"/>
  <c r="H28" i="14"/>
  <c r="B31" i="14"/>
  <c r="C30" i="14"/>
  <c r="G30" i="42" l="1"/>
  <c r="F30" i="42"/>
  <c r="F30" i="39"/>
  <c r="G30" i="39"/>
  <c r="F30" i="35"/>
  <c r="H30" i="35" s="1"/>
  <c r="G30" i="35"/>
  <c r="B32" i="44"/>
  <c r="C31" i="44"/>
  <c r="B32" i="42"/>
  <c r="C31" i="42"/>
  <c r="B32" i="43"/>
  <c r="C31" i="43"/>
  <c r="B32" i="40"/>
  <c r="C31" i="40"/>
  <c r="B32" i="39"/>
  <c r="C31" i="39"/>
  <c r="B32" i="35"/>
  <c r="C31" i="35"/>
  <c r="F30" i="43"/>
  <c r="G30" i="43"/>
  <c r="G30" i="41"/>
  <c r="F30" i="41"/>
  <c r="H30" i="41" s="1"/>
  <c r="G30" i="37"/>
  <c r="F30" i="37"/>
  <c r="H30" i="37" s="1"/>
  <c r="G30" i="38"/>
  <c r="F30" i="38"/>
  <c r="H30" i="38" s="1"/>
  <c r="G30" i="44"/>
  <c r="F30" i="44"/>
  <c r="H30" i="44" s="1"/>
  <c r="G30" i="40"/>
  <c r="F30" i="40"/>
  <c r="H30" i="40" s="1"/>
  <c r="G30" i="45"/>
  <c r="F30" i="45"/>
  <c r="H30" i="45" s="1"/>
  <c r="G30" i="36"/>
  <c r="F30" i="36"/>
  <c r="H30" i="36" s="1"/>
  <c r="H29" i="39"/>
  <c r="H29" i="38"/>
  <c r="H29" i="35"/>
  <c r="B32" i="45"/>
  <c r="C31" i="45"/>
  <c r="B32" i="41"/>
  <c r="C31" i="41"/>
  <c r="B32" i="36"/>
  <c r="C31" i="36"/>
  <c r="B32" i="37"/>
  <c r="C31" i="37"/>
  <c r="B32" i="38"/>
  <c r="C31" i="38"/>
  <c r="G30" i="14"/>
  <c r="F30" i="14"/>
  <c r="H29" i="14"/>
  <c r="B32" i="14"/>
  <c r="C31" i="14"/>
  <c r="G31" i="44" l="1"/>
  <c r="F31" i="44"/>
  <c r="H31" i="44" s="1"/>
  <c r="G31" i="38"/>
  <c r="F31" i="38"/>
  <c r="H31" i="38" s="1"/>
  <c r="F31" i="36"/>
  <c r="G31" i="36"/>
  <c r="G31" i="45"/>
  <c r="F31" i="45"/>
  <c r="H31" i="45" s="1"/>
  <c r="H30" i="43"/>
  <c r="B33" i="39"/>
  <c r="C32" i="39"/>
  <c r="B33" i="43"/>
  <c r="C32" i="43"/>
  <c r="B33" i="44"/>
  <c r="C32" i="44"/>
  <c r="H30" i="39"/>
  <c r="B33" i="37"/>
  <c r="C32" i="37"/>
  <c r="G31" i="43"/>
  <c r="F31" i="43"/>
  <c r="H31" i="43" s="1"/>
  <c r="B33" i="38"/>
  <c r="C32" i="38"/>
  <c r="B33" i="36"/>
  <c r="C32" i="36"/>
  <c r="B33" i="45"/>
  <c r="C32" i="45"/>
  <c r="G31" i="35"/>
  <c r="F31" i="35"/>
  <c r="H31" i="35" s="1"/>
  <c r="F31" i="40"/>
  <c r="G31" i="40"/>
  <c r="G31" i="42"/>
  <c r="F31" i="42"/>
  <c r="H31" i="42" s="1"/>
  <c r="H30" i="42"/>
  <c r="B33" i="41"/>
  <c r="C32" i="41"/>
  <c r="G31" i="39"/>
  <c r="F31" i="39"/>
  <c r="H30" i="14"/>
  <c r="G31" i="37"/>
  <c r="F31" i="37"/>
  <c r="H31" i="37" s="1"/>
  <c r="G31" i="41"/>
  <c r="F31" i="41"/>
  <c r="H31" i="41" s="1"/>
  <c r="B33" i="35"/>
  <c r="C32" i="35"/>
  <c r="B33" i="40"/>
  <c r="C32" i="40"/>
  <c r="B33" i="42"/>
  <c r="C32" i="42"/>
  <c r="F31" i="14"/>
  <c r="G31" i="14"/>
  <c r="B33" i="14"/>
  <c r="C32" i="14"/>
  <c r="G32" i="35" l="1"/>
  <c r="F32" i="35"/>
  <c r="H32" i="35" s="1"/>
  <c r="B34" i="42"/>
  <c r="C33" i="42"/>
  <c r="B34" i="35"/>
  <c r="C33" i="35"/>
  <c r="G32" i="41"/>
  <c r="F32" i="41"/>
  <c r="H32" i="41" s="1"/>
  <c r="B34" i="36"/>
  <c r="C33" i="36"/>
  <c r="G32" i="44"/>
  <c r="F32" i="44"/>
  <c r="H32" i="44" s="1"/>
  <c r="G32" i="39"/>
  <c r="F32" i="39"/>
  <c r="G32" i="42"/>
  <c r="F32" i="42"/>
  <c r="H32" i="42" s="1"/>
  <c r="B34" i="43"/>
  <c r="C33" i="43"/>
  <c r="F32" i="40"/>
  <c r="G32" i="40"/>
  <c r="B34" i="41"/>
  <c r="C33" i="41"/>
  <c r="G32" i="45"/>
  <c r="F32" i="45"/>
  <c r="H32" i="45" s="1"/>
  <c r="G32" i="38"/>
  <c r="F32" i="38"/>
  <c r="G32" i="37"/>
  <c r="F32" i="37"/>
  <c r="H32" i="37" s="1"/>
  <c r="B34" i="44"/>
  <c r="C33" i="44"/>
  <c r="B34" i="39"/>
  <c r="C33" i="39"/>
  <c r="F32" i="36"/>
  <c r="H32" i="36" s="1"/>
  <c r="G32" i="36"/>
  <c r="B34" i="40"/>
  <c r="C33" i="40"/>
  <c r="H31" i="39"/>
  <c r="H31" i="40"/>
  <c r="B34" i="45"/>
  <c r="C33" i="45"/>
  <c r="B34" i="38"/>
  <c r="C33" i="38"/>
  <c r="B34" i="37"/>
  <c r="C33" i="37"/>
  <c r="G32" i="43"/>
  <c r="F32" i="43"/>
  <c r="H31" i="36"/>
  <c r="G32" i="14"/>
  <c r="F32" i="14"/>
  <c r="H31" i="14"/>
  <c r="B34" i="14"/>
  <c r="C33" i="14"/>
  <c r="B35" i="38" l="1"/>
  <c r="C34" i="38"/>
  <c r="B35" i="44"/>
  <c r="C34" i="44"/>
  <c r="B35" i="41"/>
  <c r="C34" i="41"/>
  <c r="B35" i="36"/>
  <c r="C34" i="36"/>
  <c r="G33" i="45"/>
  <c r="F33" i="45"/>
  <c r="H33" i="45" s="1"/>
  <c r="G33" i="39"/>
  <c r="F33" i="39"/>
  <c r="H33" i="39" s="1"/>
  <c r="G33" i="42"/>
  <c r="F33" i="42"/>
  <c r="H33" i="42" s="1"/>
  <c r="B35" i="37"/>
  <c r="C34" i="37"/>
  <c r="B35" i="45"/>
  <c r="C34" i="45"/>
  <c r="B35" i="40"/>
  <c r="C34" i="40"/>
  <c r="B35" i="39"/>
  <c r="C34" i="39"/>
  <c r="H32" i="40"/>
  <c r="B35" i="42"/>
  <c r="C34" i="42"/>
  <c r="B35" i="43"/>
  <c r="C34" i="43"/>
  <c r="F33" i="37"/>
  <c r="H33" i="37" s="1"/>
  <c r="G33" i="37"/>
  <c r="G33" i="40"/>
  <c r="F33" i="40"/>
  <c r="H32" i="43"/>
  <c r="G33" i="38"/>
  <c r="F33" i="38"/>
  <c r="H33" i="38" s="1"/>
  <c r="G33" i="44"/>
  <c r="F33" i="44"/>
  <c r="H33" i="44" s="1"/>
  <c r="H32" i="38"/>
  <c r="F33" i="41"/>
  <c r="G33" i="41"/>
  <c r="G33" i="43"/>
  <c r="F33" i="43"/>
  <c r="H32" i="39"/>
  <c r="G33" i="36"/>
  <c r="F33" i="36"/>
  <c r="H33" i="36" s="1"/>
  <c r="G33" i="35"/>
  <c r="F33" i="35"/>
  <c r="H33" i="35" s="1"/>
  <c r="B35" i="35"/>
  <c r="C34" i="35"/>
  <c r="H32" i="14"/>
  <c r="F33" i="14"/>
  <c r="G33" i="14"/>
  <c r="B35" i="14"/>
  <c r="C34" i="14"/>
  <c r="G34" i="35" l="1"/>
  <c r="F34" i="35"/>
  <c r="H34" i="35" s="1"/>
  <c r="G34" i="40"/>
  <c r="F34" i="40"/>
  <c r="H34" i="40" s="1"/>
  <c r="G34" i="44"/>
  <c r="F34" i="44"/>
  <c r="H34" i="44" s="1"/>
  <c r="G34" i="43"/>
  <c r="F34" i="43"/>
  <c r="H34" i="43" s="1"/>
  <c r="B36" i="40"/>
  <c r="C36" i="40" s="1"/>
  <c r="C35" i="40"/>
  <c r="B36" i="37"/>
  <c r="C36" i="37" s="1"/>
  <c r="C35" i="37"/>
  <c r="B36" i="36"/>
  <c r="C36" i="36" s="1"/>
  <c r="C35" i="36"/>
  <c r="B36" i="44"/>
  <c r="C36" i="44" s="1"/>
  <c r="C35" i="44"/>
  <c r="B36" i="42"/>
  <c r="C36" i="42" s="1"/>
  <c r="C35" i="42"/>
  <c r="F34" i="37"/>
  <c r="G34" i="37"/>
  <c r="G34" i="36"/>
  <c r="F34" i="36"/>
  <c r="H33" i="40"/>
  <c r="H33" i="41"/>
  <c r="G34" i="39"/>
  <c r="F34" i="39"/>
  <c r="G34" i="45"/>
  <c r="F34" i="45"/>
  <c r="H34" i="45" s="1"/>
  <c r="F34" i="41"/>
  <c r="H34" i="41" s="1"/>
  <c r="G34" i="41"/>
  <c r="G34" i="38"/>
  <c r="F34" i="38"/>
  <c r="H34" i="38" s="1"/>
  <c r="B36" i="35"/>
  <c r="C36" i="35" s="1"/>
  <c r="C35" i="35"/>
  <c r="B36" i="43"/>
  <c r="C36" i="43" s="1"/>
  <c r="C35" i="43"/>
  <c r="H33" i="43"/>
  <c r="G34" i="42"/>
  <c r="F34" i="42"/>
  <c r="H34" i="42" s="1"/>
  <c r="B36" i="39"/>
  <c r="C36" i="39" s="1"/>
  <c r="C35" i="39"/>
  <c r="B36" i="45"/>
  <c r="C36" i="45" s="1"/>
  <c r="C35" i="45"/>
  <c r="B36" i="41"/>
  <c r="C36" i="41" s="1"/>
  <c r="C35" i="41"/>
  <c r="B36" i="38"/>
  <c r="C36" i="38" s="1"/>
  <c r="C35" i="38"/>
  <c r="F34" i="14"/>
  <c r="H34" i="14" s="1"/>
  <c r="G34" i="14"/>
  <c r="H33" i="14"/>
  <c r="B36" i="14"/>
  <c r="C36" i="14" s="1"/>
  <c r="C35" i="14"/>
  <c r="G36" i="41" l="1"/>
  <c r="F36" i="41"/>
  <c r="G35" i="43"/>
  <c r="F35" i="43"/>
  <c r="H35" i="43" s="1"/>
  <c r="G35" i="37"/>
  <c r="F35" i="37"/>
  <c r="F35" i="38"/>
  <c r="G35" i="38"/>
  <c r="G36" i="43"/>
  <c r="F36" i="43"/>
  <c r="G36" i="44"/>
  <c r="F36" i="44"/>
  <c r="G36" i="37"/>
  <c r="D9" i="47" s="1"/>
  <c r="F36" i="37"/>
  <c r="F36" i="38"/>
  <c r="G36" i="38"/>
  <c r="D10" i="47" s="1"/>
  <c r="G36" i="45"/>
  <c r="F36" i="45"/>
  <c r="G35" i="35"/>
  <c r="F35" i="35"/>
  <c r="H35" i="35" s="1"/>
  <c r="H34" i="39"/>
  <c r="H34" i="36"/>
  <c r="F35" i="42"/>
  <c r="G35" i="42"/>
  <c r="G35" i="36"/>
  <c r="F35" i="36"/>
  <c r="G35" i="40"/>
  <c r="F35" i="40"/>
  <c r="H35" i="40" s="1"/>
  <c r="G36" i="39"/>
  <c r="D11" i="47" s="1"/>
  <c r="F36" i="39"/>
  <c r="G35" i="44"/>
  <c r="F35" i="44"/>
  <c r="H35" i="44" s="1"/>
  <c r="G35" i="45"/>
  <c r="F35" i="45"/>
  <c r="H34" i="37"/>
  <c r="G35" i="41"/>
  <c r="F35" i="41"/>
  <c r="G35" i="39"/>
  <c r="F35" i="39"/>
  <c r="H35" i="39" s="1"/>
  <c r="G36" i="35"/>
  <c r="D7" i="47" s="1"/>
  <c r="F36" i="35"/>
  <c r="G36" i="42"/>
  <c r="F36" i="42"/>
  <c r="G36" i="36"/>
  <c r="D8" i="47" s="1"/>
  <c r="F36" i="36"/>
  <c r="G36" i="40"/>
  <c r="F36" i="40"/>
  <c r="G35" i="14"/>
  <c r="F35" i="14"/>
  <c r="G36" i="14"/>
  <c r="F36" i="14"/>
  <c r="H36" i="42" l="1"/>
  <c r="C14" i="47"/>
  <c r="D16" i="47"/>
  <c r="H35" i="38"/>
  <c r="D6" i="47"/>
  <c r="D12" i="47"/>
  <c r="D14" i="47"/>
  <c r="H35" i="45"/>
  <c r="H36" i="39"/>
  <c r="C11" i="47"/>
  <c r="E11" i="47" s="1"/>
  <c r="H35" i="36"/>
  <c r="H36" i="45"/>
  <c r="C17" i="47"/>
  <c r="H36" i="37"/>
  <c r="C9" i="47"/>
  <c r="E9" i="47" s="1"/>
  <c r="H36" i="43"/>
  <c r="C15" i="47"/>
  <c r="H35" i="37"/>
  <c r="H36" i="41"/>
  <c r="C13" i="47"/>
  <c r="H36" i="44"/>
  <c r="C16" i="47"/>
  <c r="H36" i="40"/>
  <c r="C12" i="47"/>
  <c r="E12" i="47" s="1"/>
  <c r="H35" i="42"/>
  <c r="H36" i="38"/>
  <c r="C10" i="47"/>
  <c r="E10" i="47" s="1"/>
  <c r="H36" i="36"/>
  <c r="C8" i="47"/>
  <c r="E8" i="47" s="1"/>
  <c r="H36" i="35"/>
  <c r="C7" i="47"/>
  <c r="E7" i="47" s="1"/>
  <c r="H35" i="41"/>
  <c r="D17" i="47"/>
  <c r="D15" i="47"/>
  <c r="D13" i="47"/>
  <c r="H35" i="14"/>
  <c r="H36" i="14"/>
  <c r="C6" i="47"/>
  <c r="E13" i="47" l="1"/>
  <c r="E16" i="47"/>
  <c r="E14" i="47"/>
  <c r="E15" i="47"/>
  <c r="E17" i="47"/>
  <c r="D19" i="47"/>
  <c r="C19" i="47"/>
  <c r="E6" i="47"/>
  <c r="E19" i="47" s="1"/>
</calcChain>
</file>

<file path=xl/sharedStrings.xml><?xml version="1.0" encoding="utf-8"?>
<sst xmlns="http://schemas.openxmlformats.org/spreadsheetml/2006/main" count="447" uniqueCount="94">
  <si>
    <t xml:space="preserve">ENGINEER 2 </t>
  </si>
  <si>
    <t>ON CALL (YES/NO)</t>
  </si>
  <si>
    <t>FSR#</t>
  </si>
  <si>
    <t>MAT REG#</t>
  </si>
  <si>
    <t>FAB</t>
  </si>
  <si>
    <t>MODEL</t>
  </si>
  <si>
    <t>Yes</t>
  </si>
  <si>
    <t>Yi Hong</t>
  </si>
  <si>
    <t>Indo Solar</t>
  </si>
  <si>
    <t>Parts Replacement
(Parts Name)</t>
  </si>
  <si>
    <t>Parts Replacement
(Parts No.)</t>
  </si>
  <si>
    <t>QTY</t>
  </si>
  <si>
    <t>Ronaldo</t>
  </si>
  <si>
    <t>Warranty</t>
  </si>
  <si>
    <t>Svc Contract</t>
  </si>
  <si>
    <t>APM</t>
  </si>
  <si>
    <t>Facility Hookup</t>
  </si>
  <si>
    <t>Aquabate Flex</t>
  </si>
  <si>
    <t>Salix Mini</t>
  </si>
  <si>
    <t>Escape Inline</t>
  </si>
  <si>
    <t>Wee Min</t>
  </si>
  <si>
    <t>Allen</t>
  </si>
  <si>
    <t>Billable</t>
  </si>
  <si>
    <t>Administrative</t>
  </si>
  <si>
    <t>Service Meeting</t>
  </si>
  <si>
    <t>Signal Interface</t>
  </si>
  <si>
    <t>Commissioning</t>
  </si>
  <si>
    <t>Round Check</t>
  </si>
  <si>
    <t>Maintenance</t>
  </si>
  <si>
    <t>MPM</t>
  </si>
  <si>
    <t>QPM</t>
  </si>
  <si>
    <t>CM</t>
  </si>
  <si>
    <t>AMF</t>
  </si>
  <si>
    <t>AMS</t>
  </si>
  <si>
    <t>Seris</t>
  </si>
  <si>
    <t>IME</t>
  </si>
  <si>
    <t>JA Solar</t>
  </si>
  <si>
    <t>Jinko Solar</t>
  </si>
  <si>
    <t>Leeden Gas</t>
  </si>
  <si>
    <t>Linde Gas</t>
  </si>
  <si>
    <t>Longi</t>
  </si>
  <si>
    <t>Micron</t>
  </si>
  <si>
    <t>SSMC</t>
  </si>
  <si>
    <t>Sterlite Tech</t>
  </si>
  <si>
    <t>Trina Solar (VN)</t>
  </si>
  <si>
    <t>UMC</t>
  </si>
  <si>
    <t>X-Fab</t>
  </si>
  <si>
    <t>Aquabate</t>
  </si>
  <si>
    <t>Combibum</t>
  </si>
  <si>
    <t>Escape Duo</t>
  </si>
  <si>
    <t>Salix</t>
  </si>
  <si>
    <t>Styrax</t>
  </si>
  <si>
    <t>Styrax Duo</t>
  </si>
  <si>
    <t>Uptimum</t>
  </si>
  <si>
    <t>Uptimum Plus</t>
  </si>
  <si>
    <t>Dropdown List Data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</si>
  <si>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</si>
  <si>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</si>
  <si>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</si>
  <si>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</si>
  <si>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</si>
  <si>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</si>
  <si>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</si>
  <si>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</si>
  <si>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</si>
  <si>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</si>
  <si>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</si>
  <si>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</si>
  <si>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</si>
  <si>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MR.A</t>
  </si>
  <si>
    <t>Mr.A</t>
  </si>
  <si>
    <t>Bulan</t>
  </si>
  <si>
    <t>Jam Kerja</t>
  </si>
  <si>
    <t>Jam Lembur</t>
  </si>
  <si>
    <t>Total Jam</t>
  </si>
  <si>
    <t>TIPE KONTRAK</t>
  </si>
  <si>
    <t>Sifat Kegiatan</t>
  </si>
  <si>
    <t>TANGGAL</t>
  </si>
  <si>
    <t>HARI</t>
  </si>
  <si>
    <t>WAKTU KERJA</t>
  </si>
  <si>
    <t>Waktu Mulai
(24:00)</t>
  </si>
  <si>
    <t>Waktu Selesai
(24:00)</t>
  </si>
  <si>
    <t>KEGIATAN PELAYANAN</t>
  </si>
  <si>
    <t>SIFAT KEGIATAN</t>
  </si>
  <si>
    <t xml:space="preserve">INFORMASI TOOL </t>
  </si>
  <si>
    <t>NO SERIAL</t>
  </si>
  <si>
    <t>ID TOOL</t>
  </si>
  <si>
    <t>PENYELESAIAN MASALAH</t>
  </si>
  <si>
    <t>KODE ALARM</t>
  </si>
  <si>
    <t>AKAR MASALAH</t>
  </si>
  <si>
    <t>AKSI</t>
  </si>
  <si>
    <t>Liburan</t>
  </si>
  <si>
    <t>Akhir Pekan</t>
  </si>
  <si>
    <t>Hari 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</si>
</sst>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h:mm;@"/>
    <numFmt numFmtId="166" formatCode="[$-409]d\-mmm\-yyyy;@"/>
  </numFmts>
  <fonts count="1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9DAF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4" fillId="6" borderId="0" xfId="0" applyNumberFormat="1" applyFont="1" applyFill="1" applyBorder="1" applyAlignment="1" applyProtection="1">
      <alignment vertical="center"/>
      <protection hidden="1"/>
    </xf>
    <xf numFmtId="166" fontId="0" fillId="0" borderId="1" xfId="0" applyNumberFormat="1" applyFont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65" fontId="0" fillId="0" borderId="7" xfId="1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left" vertical="center"/>
    </xf>
    <xf numFmtId="166" fontId="6" fillId="4" borderId="1" xfId="0" applyNumberFormat="1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0" borderId="1" xfId="0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2" fontId="3" fillId="5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2" fontId="8" fillId="5" borderId="1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164" fontId="4" fillId="15" borderId="2" xfId="0" applyNumberFormat="1" applyFont="1" applyFill="1" applyBorder="1" applyAlignment="1" applyProtection="1">
      <alignment horizontal="center" vertical="center"/>
      <protection hidden="1"/>
    </xf>
    <xf numFmtId="164" fontId="4" fillId="15" borderId="3" xfId="0" applyNumberFormat="1" applyFont="1" applyFill="1" applyBorder="1" applyAlignment="1" applyProtection="1">
      <alignment horizontal="center" vertical="center"/>
      <protection hidden="1"/>
    </xf>
    <xf numFmtId="164" fontId="4" fillId="15" borderId="4" xfId="0" applyNumberFormat="1" applyFont="1" applyFill="1" applyBorder="1" applyAlignment="1" applyProtection="1">
      <alignment horizontal="center" vertical="center"/>
      <protection hidden="1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 applyProtection="1">
      <alignment horizontal="center" vertical="center"/>
      <protection hidden="1"/>
    </xf>
    <xf numFmtId="164" fontId="4" fillId="7" borderId="3" xfId="0" applyNumberFormat="1" applyFont="1" applyFill="1" applyBorder="1" applyAlignment="1" applyProtection="1">
      <alignment horizontal="center" vertical="center"/>
      <protection hidden="1"/>
    </xf>
    <xf numFmtId="164" fontId="4" fillId="7" borderId="4" xfId="0" applyNumberFormat="1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一般 3" xfId="1" xr:uid="{00000000-0005-0000-0000-000001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FF99FF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Summary!$C$4</c:f>
              <c:strCache>
                <c:ptCount val="1"/>
                <c:pt idx="0">
                  <c:v>Jam Kerja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Summary!$B$5:$B$17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Summary!$C$5:$C$17</c:f>
              <c:numCache>
                <c:formatCode>0.00</c:formatCode>
                <c:ptCount val="13"/>
                <c:pt idx="1">
                  <c:v>189</c:v>
                </c:pt>
                <c:pt idx="2">
                  <c:v>207</c:v>
                </c:pt>
                <c:pt idx="3">
                  <c:v>207</c:v>
                </c:pt>
                <c:pt idx="4">
                  <c:v>198</c:v>
                </c:pt>
                <c:pt idx="5">
                  <c:v>198</c:v>
                </c:pt>
                <c:pt idx="6">
                  <c:v>207</c:v>
                </c:pt>
                <c:pt idx="7">
                  <c:v>189</c:v>
                </c:pt>
                <c:pt idx="8">
                  <c:v>207</c:v>
                </c:pt>
                <c:pt idx="9">
                  <c:v>207</c:v>
                </c:pt>
                <c:pt idx="10">
                  <c:v>189</c:v>
                </c:pt>
                <c:pt idx="11">
                  <c:v>207</c:v>
                </c:pt>
                <c:pt idx="1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8-4F32-B619-D6E97167E84E}"/>
            </c:ext>
          </c:extLst>
        </c:ser>
        <c:ser>
          <c:idx val="1"/>
          <c:order val="1"/>
          <c:tx>
            <c:strRef>
              <c:f>Summary!$D$4</c:f>
              <c:strCache>
                <c:ptCount val="1"/>
                <c:pt idx="0">
                  <c:v>Jam Lembur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Summary!$B$5:$B$17</c:f>
              <c:strCache>
                <c:ptCount val="13"/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Summary!$D$5:$D$17</c:f>
              <c:numCache>
                <c:formatCode>0.00</c:formatCode>
                <c:ptCount val="13"/>
                <c:pt idx="1">
                  <c:v>90</c:v>
                </c:pt>
                <c:pt idx="2">
                  <c:v>72</c:v>
                </c:pt>
                <c:pt idx="3">
                  <c:v>72</c:v>
                </c:pt>
                <c:pt idx="4">
                  <c:v>81</c:v>
                </c:pt>
                <c:pt idx="5">
                  <c:v>81</c:v>
                </c:pt>
                <c:pt idx="6">
                  <c:v>72</c:v>
                </c:pt>
                <c:pt idx="7">
                  <c:v>90</c:v>
                </c:pt>
                <c:pt idx="8">
                  <c:v>72</c:v>
                </c:pt>
                <c:pt idx="9">
                  <c:v>72</c:v>
                </c:pt>
                <c:pt idx="10">
                  <c:v>90</c:v>
                </c:pt>
                <c:pt idx="11">
                  <c:v>72</c:v>
                </c:pt>
                <c:pt idx="1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8-4F32-B619-D6E97167E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0625295"/>
        <c:axId val="1560626543"/>
      </c:barChart>
      <c:catAx>
        <c:axId val="1560625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26543"/>
        <c:crosses val="autoZero"/>
        <c:auto val="1"/>
        <c:lblAlgn val="ctr"/>
        <c:lblOffset val="100"/>
        <c:noMultiLvlLbl val="0"/>
      </c:catAx>
      <c:valAx>
        <c:axId val="15606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2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906780</xdr:colOff>
      <xdr:row>3</xdr:row>
      <xdr:rowOff>0</xdr:rowOff>
    </xdr:from>
    <xdr:to>
      <xdr:col>14</xdr:col>
      <xdr:colOff>441960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showRowColHeaders="0" tabSelected="1" workbookViewId="0">
      <selection activeCell="E6" sqref="E6"/>
    </sheetView>
  </sheetViews>
  <sheetFormatPr defaultColWidth="8.7109375" defaultRowHeight="15"/>
  <cols>
    <col min="1" max="1" width="1.140625" style="3" customWidth="1"/>
    <col min="2" max="5" width="13.28515625" style="2" customWidth="1"/>
    <col min="6" max="16384" width="8.7109375" style="3"/>
  </cols>
  <sheetData>
    <row r="1" spans="2:5" ht="18" customHeight="1">
      <c r="B1" s="7"/>
    </row>
    <row r="2" spans="2:5" ht="31.9" customHeight="1">
      <c r="B2" s="31" t="str">
        <f>JAN!B2</f>
        <v>Mr.A</v>
      </c>
      <c r="C2" s="32"/>
      <c r="D2" s="33"/>
    </row>
    <row r="3" spans="2:5" ht="18" customHeight="1"/>
    <row r="4" spans="2:5" s="1" customFormat="1" ht="30" customHeight="1">
      <c r="B4" s="29" t="s">
        <v>71</v>
      </c>
      <c r="C4" s="29" t="s">
        <v>72</v>
      </c>
      <c r="D4" s="29" t="s">
        <v>73</v>
      </c>
      <c r="E4" s="29" t="s">
        <v>74</v>
      </c>
    </row>
    <row r="5" spans="2:5" s="2" customFormat="1" ht="30" customHeight="1">
      <c r="B5" s="30"/>
      <c r="C5" s="30"/>
      <c r="D5" s="30"/>
      <c r="E5" s="30"/>
    </row>
    <row r="6" spans="2:5" s="2" customFormat="1" ht="21" customHeight="1">
      <c r="B6" s="9" t="s">
        <v>56</v>
      </c>
      <c r="C6" s="5">
        <f>SUM(JAN!F6:F36)</f>
        <v>189</v>
      </c>
      <c r="D6" s="5">
        <f>SUM(JAN!G6:G36)</f>
        <v>90</v>
      </c>
      <c r="E6" s="6">
        <f>SUM(C6:D6)</f>
        <v>279</v>
      </c>
    </row>
    <row r="7" spans="2:5" s="2" customFormat="1" ht="21" customHeight="1">
      <c r="B7" s="9" t="s">
        <v>57</v>
      </c>
      <c r="C7" s="5">
        <f>SUM(FEB!F6:F36)</f>
        <v>207</v>
      </c>
      <c r="D7" s="5">
        <f>SUM(FEB!G6:G36)</f>
        <v>72</v>
      </c>
      <c r="E7" s="6">
        <f t="shared" ref="E7:E17" si="0">SUM(C7:D7)</f>
        <v>279</v>
      </c>
    </row>
    <row r="8" spans="2:5" s="2" customFormat="1" ht="21" customHeight="1">
      <c r="B8" s="9" t="s">
        <v>58</v>
      </c>
      <c r="C8" s="5">
        <f>SUM(MAR!F6:F36)</f>
        <v>207</v>
      </c>
      <c r="D8" s="5">
        <f>SUM(MAR!G6:G36)</f>
        <v>72</v>
      </c>
      <c r="E8" s="6">
        <f t="shared" si="0"/>
        <v>279</v>
      </c>
    </row>
    <row r="9" spans="2:5" s="2" customFormat="1" ht="21" customHeight="1">
      <c r="B9" s="9" t="s">
        <v>59</v>
      </c>
      <c r="C9" s="5">
        <f>SUM(APR!F6:F36)</f>
        <v>198</v>
      </c>
      <c r="D9" s="5">
        <f>SUM(APR!G6:G36)</f>
        <v>81</v>
      </c>
      <c r="E9" s="6">
        <f t="shared" si="0"/>
        <v>279</v>
      </c>
    </row>
    <row r="10" spans="2:5" s="2" customFormat="1" ht="21" customHeight="1">
      <c r="B10" s="9" t="s">
        <v>60</v>
      </c>
      <c r="C10" s="5">
        <f>SUM(MAY!F6:F36)</f>
        <v>198</v>
      </c>
      <c r="D10" s="5">
        <f>SUM(MAY!G6:G36)</f>
        <v>81</v>
      </c>
      <c r="E10" s="6">
        <f t="shared" si="0"/>
        <v>279</v>
      </c>
    </row>
    <row r="11" spans="2:5" s="2" customFormat="1" ht="21" customHeight="1">
      <c r="B11" s="9" t="s">
        <v>61</v>
      </c>
      <c r="C11" s="5">
        <f>SUM(JUN!F6:F36)</f>
        <v>207</v>
      </c>
      <c r="D11" s="5">
        <f>SUM(JUN!G6:G36)</f>
        <v>72</v>
      </c>
      <c r="E11" s="6">
        <f t="shared" si="0"/>
        <v>279</v>
      </c>
    </row>
    <row r="12" spans="2:5" s="2" customFormat="1" ht="21" customHeight="1">
      <c r="B12" s="9" t="s">
        <v>62</v>
      </c>
      <c r="C12" s="5">
        <f>SUM(JUL!F6:F36)</f>
        <v>189</v>
      </c>
      <c r="D12" s="5">
        <f>SUM(JUL!G6:G36)</f>
        <v>90</v>
      </c>
      <c r="E12" s="6">
        <f t="shared" si="0"/>
        <v>279</v>
      </c>
    </row>
    <row r="13" spans="2:5" s="2" customFormat="1" ht="21" customHeight="1">
      <c r="B13" s="9" t="s">
        <v>63</v>
      </c>
      <c r="C13" s="5">
        <f>SUM(AUG!F6:F36)</f>
        <v>207</v>
      </c>
      <c r="D13" s="5">
        <f>SUM(AUG!G6:G36)</f>
        <v>72</v>
      </c>
      <c r="E13" s="6">
        <f t="shared" si="0"/>
        <v>279</v>
      </c>
    </row>
    <row r="14" spans="2:5" s="2" customFormat="1" ht="21" customHeight="1">
      <c r="B14" s="9" t="s">
        <v>64</v>
      </c>
      <c r="C14" s="5">
        <f>SUM(SEP!F6:F36)</f>
        <v>207</v>
      </c>
      <c r="D14" s="5">
        <f>SUM(SEP!G6:G36)</f>
        <v>72</v>
      </c>
      <c r="E14" s="6">
        <f t="shared" si="0"/>
        <v>279</v>
      </c>
    </row>
    <row r="15" spans="2:5" s="2" customFormat="1" ht="21" customHeight="1">
      <c r="B15" s="9" t="s">
        <v>65</v>
      </c>
      <c r="C15" s="5">
        <f>SUM(OCT!F6:F36)</f>
        <v>189</v>
      </c>
      <c r="D15" s="5">
        <f>SUM(OCT!G6:G36)</f>
        <v>90</v>
      </c>
      <c r="E15" s="6">
        <f t="shared" si="0"/>
        <v>279</v>
      </c>
    </row>
    <row r="16" spans="2:5" s="2" customFormat="1" ht="21" customHeight="1">
      <c r="B16" s="9" t="s">
        <v>66</v>
      </c>
      <c r="C16" s="5">
        <f>SUM(NOV!F6:F36)</f>
        <v>207</v>
      </c>
      <c r="D16" s="5">
        <f>SUM(NOV!G6:G36)</f>
        <v>72</v>
      </c>
      <c r="E16" s="6">
        <f t="shared" si="0"/>
        <v>279</v>
      </c>
    </row>
    <row r="17" spans="1:7" s="2" customFormat="1" ht="21" customHeight="1">
      <c r="B17" s="9" t="s">
        <v>67</v>
      </c>
      <c r="C17" s="5">
        <f>SUM(DEC!F6:F36)</f>
        <v>198</v>
      </c>
      <c r="D17" s="5">
        <f>SUM(DEC!G6:G36)</f>
        <v>81</v>
      </c>
      <c r="E17" s="6">
        <f t="shared" si="0"/>
        <v>279</v>
      </c>
    </row>
    <row r="18" spans="1:7" s="2" customFormat="1" ht="21" customHeight="1">
      <c r="A18" s="23"/>
      <c r="B18" s="16"/>
      <c r="C18" s="24"/>
      <c r="D18" s="24"/>
      <c r="E18" s="25"/>
      <c r="F18" s="23"/>
      <c r="G18" s="23"/>
    </row>
    <row r="19" spans="1:7" s="2" customFormat="1" ht="21" customHeight="1" thickBot="1">
      <c r="B19" s="26" t="s">
        <v>68</v>
      </c>
      <c r="C19" s="27">
        <f>SUM(C6:C17)</f>
        <v>2403</v>
      </c>
      <c r="D19" s="27">
        <f>SUM(D6:D17)</f>
        <v>945</v>
      </c>
      <c r="E19" s="27">
        <f>SUM(E6:E17)</f>
        <v>3348</v>
      </c>
    </row>
    <row r="20" spans="1:7" ht="15.75" thickTop="1"/>
  </sheetData>
  <mergeCells count="5">
    <mergeCell ref="D4:D5"/>
    <mergeCell ref="E4:E5"/>
    <mergeCell ref="B2:D2"/>
    <mergeCell ref="B4:B5"/>
    <mergeCell ref="C4:C5"/>
  </mergeCells>
  <printOptions horizontalCentered="1"/>
  <pageMargins left="0" right="0" top="0.5" bottom="0" header="0.3" footer="0.3"/>
  <pageSetup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1"/>
  <sheetViews>
    <sheetView showGridLines="0" showRowColHeaders="0" zoomScaleNormal="100" zoomScaleSheetLayoutView="100" workbookViewId="0">
      <selection activeCell="F10" sqref="F10"/>
    </sheetView>
  </sheetViews>
  <sheetFormatPr defaultRowHeight="15"/>
  <cols>
    <col min="1" max="1" width="1.140625" customWidth="1"/>
    <col min="2" max="2" width="14" bestFit="1" customWidth="1"/>
    <col min="3" max="3" width="19.85546875" customWidth="1"/>
    <col min="4" max="4" width="19.5703125" customWidth="1"/>
    <col min="5" max="5" width="14.140625" customWidth="1"/>
    <col min="6" max="6" width="15.5703125" customWidth="1"/>
    <col min="7" max="7" width="1.140625" customWidth="1"/>
  </cols>
  <sheetData>
    <row r="1" spans="2:6" ht="6" customHeight="1"/>
    <row r="2" spans="2:6" ht="23.25">
      <c r="B2" s="34" t="s">
        <v>55</v>
      </c>
      <c r="C2" s="35"/>
      <c r="D2" s="35"/>
      <c r="E2" s="35"/>
      <c r="F2" s="35"/>
    </row>
    <row r="3" spans="2:6" ht="15.75">
      <c r="B3" s="22" t="s">
        <v>0</v>
      </c>
      <c r="C3" s="22" t="s">
        <v>75</v>
      </c>
      <c r="D3" s="22" t="s">
        <v>76</v>
      </c>
      <c r="E3" s="22" t="s">
        <v>4</v>
      </c>
      <c r="F3" s="22" t="s">
        <v>5</v>
      </c>
    </row>
    <row r="4" spans="2:6">
      <c r="B4" s="21" t="s">
        <v>20</v>
      </c>
      <c r="C4" s="21" t="s">
        <v>14</v>
      </c>
      <c r="D4" s="21" t="s">
        <v>23</v>
      </c>
      <c r="E4" s="21" t="s">
        <v>32</v>
      </c>
      <c r="F4" s="21" t="s">
        <v>47</v>
      </c>
    </row>
    <row r="5" spans="2:6">
      <c r="B5" s="21" t="s">
        <v>21</v>
      </c>
      <c r="C5" s="21" t="s">
        <v>13</v>
      </c>
      <c r="D5" s="21" t="s">
        <v>24</v>
      </c>
      <c r="E5" s="21" t="s">
        <v>33</v>
      </c>
      <c r="F5" s="21" t="s">
        <v>48</v>
      </c>
    </row>
    <row r="6" spans="2:6">
      <c r="B6" s="21" t="s">
        <v>12</v>
      </c>
      <c r="C6" s="21" t="s">
        <v>22</v>
      </c>
      <c r="D6" s="21" t="s">
        <v>16</v>
      </c>
      <c r="E6" s="21" t="s">
        <v>34</v>
      </c>
      <c r="F6" s="21" t="s">
        <v>49</v>
      </c>
    </row>
    <row r="7" spans="2:6">
      <c r="B7" s="21" t="s">
        <v>7</v>
      </c>
      <c r="C7" s="21"/>
      <c r="D7" s="21" t="s">
        <v>25</v>
      </c>
      <c r="E7" s="21" t="s">
        <v>35</v>
      </c>
      <c r="F7" s="21" t="s">
        <v>19</v>
      </c>
    </row>
    <row r="8" spans="2:6">
      <c r="B8" s="21" t="s">
        <v>69</v>
      </c>
      <c r="C8" s="21"/>
      <c r="D8" s="21" t="s">
        <v>26</v>
      </c>
      <c r="E8" s="21" t="s">
        <v>8</v>
      </c>
      <c r="F8" s="21" t="s">
        <v>50</v>
      </c>
    </row>
    <row r="9" spans="2:6">
      <c r="B9" s="21"/>
      <c r="C9" s="21"/>
      <c r="D9" s="21" t="s">
        <v>27</v>
      </c>
      <c r="E9" s="21" t="s">
        <v>36</v>
      </c>
      <c r="F9" s="21" t="s">
        <v>18</v>
      </c>
    </row>
    <row r="10" spans="2:6">
      <c r="B10" s="21"/>
      <c r="C10" s="21"/>
      <c r="D10" s="21" t="s">
        <v>28</v>
      </c>
      <c r="E10" s="21" t="s">
        <v>37</v>
      </c>
      <c r="F10" s="21" t="s">
        <v>17</v>
      </c>
    </row>
    <row r="11" spans="2:6">
      <c r="B11" s="21"/>
      <c r="C11" s="21"/>
      <c r="D11" s="21" t="s">
        <v>29</v>
      </c>
      <c r="E11" s="21" t="s">
        <v>38</v>
      </c>
      <c r="F11" s="21" t="s">
        <v>51</v>
      </c>
    </row>
    <row r="12" spans="2:6">
      <c r="B12" s="21"/>
      <c r="C12" s="21"/>
      <c r="D12" s="21" t="s">
        <v>30</v>
      </c>
      <c r="E12" s="21" t="s">
        <v>39</v>
      </c>
      <c r="F12" s="21" t="s">
        <v>52</v>
      </c>
    </row>
    <row r="13" spans="2:6">
      <c r="B13" s="21"/>
      <c r="C13" s="21"/>
      <c r="D13" s="21" t="s">
        <v>15</v>
      </c>
      <c r="E13" s="21" t="s">
        <v>40</v>
      </c>
      <c r="F13" s="21" t="s">
        <v>53</v>
      </c>
    </row>
    <row r="14" spans="2:6">
      <c r="B14" s="21"/>
      <c r="C14" s="21"/>
      <c r="D14" s="21" t="s">
        <v>31</v>
      </c>
      <c r="E14" s="21" t="s">
        <v>41</v>
      </c>
      <c r="F14" s="21" t="s">
        <v>54</v>
      </c>
    </row>
    <row r="15" spans="2:6">
      <c r="B15" s="21"/>
      <c r="C15" s="21"/>
      <c r="D15" s="21"/>
      <c r="E15" s="21" t="s">
        <v>42</v>
      </c>
      <c r="F15" s="21"/>
    </row>
    <row r="16" spans="2:6">
      <c r="B16" s="21"/>
      <c r="C16" s="21"/>
      <c r="D16" s="21"/>
      <c r="E16" s="21" t="s">
        <v>43</v>
      </c>
      <c r="F16" s="21"/>
    </row>
    <row r="17" spans="2:6">
      <c r="B17" s="21"/>
      <c r="C17" s="21"/>
      <c r="D17" s="21"/>
      <c r="E17" s="21" t="s">
        <v>44</v>
      </c>
      <c r="F17" s="21"/>
    </row>
    <row r="18" spans="2:6">
      <c r="B18" s="21"/>
      <c r="C18" s="21"/>
      <c r="D18" s="21"/>
      <c r="E18" s="21" t="s">
        <v>45</v>
      </c>
      <c r="F18" s="21"/>
    </row>
    <row r="19" spans="2:6">
      <c r="B19" s="21"/>
      <c r="C19" s="21"/>
      <c r="D19" s="21"/>
      <c r="E19" s="21" t="s">
        <v>46</v>
      </c>
      <c r="F19" s="21"/>
    </row>
    <row r="20" spans="2:6">
      <c r="B20" s="21"/>
      <c r="C20" s="21"/>
      <c r="D20" s="21"/>
      <c r="E20" s="21"/>
      <c r="F20" s="21"/>
    </row>
    <row r="21" spans="2:6">
      <c r="B21" s="21"/>
      <c r="C21" s="21"/>
      <c r="D21" s="21"/>
      <c r="E21" s="21"/>
      <c r="F21" s="21"/>
    </row>
    <row r="22" spans="2:6">
      <c r="B22" s="21"/>
      <c r="C22" s="21"/>
      <c r="D22" s="21"/>
      <c r="E22" s="21"/>
      <c r="F22" s="21"/>
    </row>
    <row r="23" spans="2:6">
      <c r="B23" s="21"/>
      <c r="C23" s="21"/>
      <c r="D23" s="21"/>
      <c r="E23" s="21"/>
      <c r="F23" s="21"/>
    </row>
    <row r="24" spans="2:6">
      <c r="B24" s="21"/>
      <c r="C24" s="21"/>
      <c r="D24" s="21"/>
      <c r="E24" s="21"/>
      <c r="F24" s="21"/>
    </row>
    <row r="25" spans="2:6">
      <c r="B25" s="21"/>
      <c r="C25" s="21"/>
      <c r="D25" s="21"/>
      <c r="E25" s="21"/>
      <c r="F25" s="21"/>
    </row>
    <row r="26" spans="2:6">
      <c r="B26" s="21"/>
      <c r="C26" s="21"/>
      <c r="D26" s="21"/>
      <c r="E26" s="21"/>
      <c r="F26" s="21"/>
    </row>
    <row r="27" spans="2:6">
      <c r="B27" s="21"/>
      <c r="C27" s="21"/>
      <c r="D27" s="21"/>
      <c r="E27" s="21"/>
      <c r="F27" s="21"/>
    </row>
    <row r="28" spans="2:6">
      <c r="B28" s="21"/>
      <c r="C28" s="21"/>
      <c r="D28" s="21"/>
      <c r="E28" s="21"/>
      <c r="F28" s="21"/>
    </row>
    <row r="29" spans="2:6">
      <c r="B29" s="21"/>
      <c r="C29" s="21"/>
      <c r="D29" s="21"/>
      <c r="E29" s="21"/>
      <c r="F29" s="21"/>
    </row>
    <row r="30" spans="2:6">
      <c r="B30" s="21"/>
      <c r="C30" s="21"/>
      <c r="D30" s="21"/>
      <c r="E30" s="21"/>
      <c r="F30" s="21"/>
    </row>
    <row r="31" spans="2:6">
      <c r="B31" s="21"/>
      <c r="C31" s="21"/>
      <c r="D31" s="21"/>
      <c r="E31" s="21"/>
      <c r="F31" s="21"/>
    </row>
  </sheetData>
  <mergeCells count="1">
    <mergeCell ref="B2:F2"/>
  </mergeCells>
  <pageMargins left="0.7" right="0.7" top="0.75" bottom="0.7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36"/>
  <sheetViews>
    <sheetView showGridLines="0" showRowColHeaders="0" workbookViewId="0">
      <selection activeCell="K2" sqref="K2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30" ht="6" customHeight="1">
      <c r="B1" s="7"/>
      <c r="C1" s="7"/>
    </row>
    <row r="2" spans="2:30" ht="31.9" customHeight="1">
      <c r="B2" s="36" t="s">
        <v>70</v>
      </c>
      <c r="C2" s="37"/>
      <c r="D2" s="37"/>
      <c r="E2" s="38"/>
      <c r="F2" s="8"/>
      <c r="G2" s="19" t="s">
        <v>91</v>
      </c>
      <c r="H2" s="8"/>
      <c r="I2" s="20" t="s">
        <v>92</v>
      </c>
    </row>
    <row r="3" spans="2:30" ht="6" customHeight="1"/>
    <row r="4" spans="2:30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30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  <c r="AB5" s="28"/>
      <c r="AC5" s="28"/>
      <c r="AD5" s="28"/>
    </row>
    <row r="6" spans="2:30" s="2" customFormat="1" ht="21" customHeight="1">
      <c r="B6" s="9">
        <v>44562</v>
      </c>
      <c r="C6" s="17" t="str">
        <f>TEXT(B6,"dddd")</f>
        <v>Saturday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0</v>
      </c>
      <c r="G6" s="5">
        <f>IF((OR(C6="Sunday",C6="Saturday")),(IFERROR(((E6-D6)*24),"")),(IF((IFERROR(((E6-D6)*24),""))&gt;9,((IFERROR(((E6-D6)*24),""))-9),0)))</f>
        <v>9</v>
      </c>
      <c r="H6" s="6">
        <f t="shared" ref="H6:H11" si="0">IFERROR((F6+G6),"")</f>
        <v>9</v>
      </c>
      <c r="I6" s="4" t="s">
        <v>20</v>
      </c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AB6" s="28"/>
      <c r="AC6" s="28"/>
      <c r="AD6" s="28"/>
    </row>
    <row r="7" spans="2:30" s="2" customFormat="1" ht="21" customHeight="1">
      <c r="B7" s="9">
        <f>IFERROR((IF(MONTH(B6+1)=MONTH(B6),(B6+1),"")),"")</f>
        <v>44563</v>
      </c>
      <c r="C7" s="17" t="str">
        <f t="shared" ref="C7:C36" si="1">TEXT(B7,"dddd")</f>
        <v>Sunday</v>
      </c>
      <c r="D7" s="15">
        <v>0.375</v>
      </c>
      <c r="E7" s="15">
        <v>0.75</v>
      </c>
      <c r="F7" s="5">
        <f t="shared" ref="F7:F36" si="2">IF((OR(C7="Sunday",C7="Saturday")),0,(IF((IFERROR(((E7-D7)*24),""))&lt;=9,(IFERROR(((E7-D7)*24),"")),9)))</f>
        <v>0</v>
      </c>
      <c r="G7" s="5">
        <f t="shared" ref="G7:G36" si="3">IF((OR(C7="Sunday",C7="Saturday")),(IFERROR(((E7-D7)*24),"")),(IF((IFERROR(((E7-D7)*24),""))&gt;9,((IFERROR(((E7-D7)*24),""))-9),0)))</f>
        <v>9</v>
      </c>
      <c r="H7" s="6">
        <f t="shared" si="0"/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B7" s="28"/>
      <c r="AC7" s="28"/>
      <c r="AD7" s="28"/>
    </row>
    <row r="8" spans="2:30" s="2" customFormat="1" ht="21" customHeight="1">
      <c r="B8" s="9">
        <f t="shared" ref="B8:B36" si="4">IFERROR((IF(MONTH(B7+1)=MONTH(B7),(B7+1),"")),"")</f>
        <v>44564</v>
      </c>
      <c r="C8" s="17" t="str">
        <f t="shared" si="1"/>
        <v>Monday</v>
      </c>
      <c r="D8" s="15">
        <v>0.375</v>
      </c>
      <c r="E8" s="15">
        <v>0.75</v>
      </c>
      <c r="F8" s="5">
        <f t="shared" si="2"/>
        <v>9</v>
      </c>
      <c r="G8" s="5">
        <f t="shared" si="3"/>
        <v>0</v>
      </c>
      <c r="H8" s="6">
        <f t="shared" si="0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AB8" s="28"/>
      <c r="AC8" s="28"/>
      <c r="AD8" s="28"/>
    </row>
    <row r="9" spans="2:30" s="2" customFormat="1" ht="21" customHeight="1">
      <c r="B9" s="9">
        <f t="shared" si="4"/>
        <v>44565</v>
      </c>
      <c r="C9" s="17" t="str">
        <f t="shared" si="1"/>
        <v>Tuesday</v>
      </c>
      <c r="D9" s="15">
        <v>0.375</v>
      </c>
      <c r="E9" s="15">
        <v>0.75</v>
      </c>
      <c r="F9" s="5">
        <f t="shared" si="2"/>
        <v>9</v>
      </c>
      <c r="G9" s="5">
        <f t="shared" si="3"/>
        <v>0</v>
      </c>
      <c r="H9" s="6">
        <f t="shared" si="0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AB9" s="28"/>
      <c r="AC9" s="28"/>
      <c r="AD9" s="28"/>
    </row>
    <row r="10" spans="2:30" s="2" customFormat="1" ht="21" customHeight="1">
      <c r="B10" s="9">
        <f t="shared" si="4"/>
        <v>44566</v>
      </c>
      <c r="C10" s="17" t="str">
        <f t="shared" si="1"/>
        <v>Wednesday</v>
      </c>
      <c r="D10" s="15">
        <v>0.375</v>
      </c>
      <c r="E10" s="15">
        <v>0.75</v>
      </c>
      <c r="F10" s="5">
        <f t="shared" si="2"/>
        <v>9</v>
      </c>
      <c r="G10" s="5">
        <f t="shared" si="3"/>
        <v>0</v>
      </c>
      <c r="H10" s="6">
        <f t="shared" si="0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30" s="2" customFormat="1" ht="21" customHeight="1">
      <c r="B11" s="9">
        <f t="shared" si="4"/>
        <v>44567</v>
      </c>
      <c r="C11" s="17" t="str">
        <f t="shared" si="1"/>
        <v>Thursday</v>
      </c>
      <c r="D11" s="15">
        <v>0.375</v>
      </c>
      <c r="E11" s="15">
        <v>0.75</v>
      </c>
      <c r="F11" s="5">
        <f t="shared" si="2"/>
        <v>9</v>
      </c>
      <c r="G11" s="5">
        <f t="shared" si="3"/>
        <v>0</v>
      </c>
      <c r="H11" s="6">
        <f t="shared" si="0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30" s="2" customFormat="1" ht="21" customHeight="1">
      <c r="B12" s="9">
        <f t="shared" si="4"/>
        <v>44568</v>
      </c>
      <c r="C12" s="17" t="str">
        <f t="shared" si="1"/>
        <v>Friday</v>
      </c>
      <c r="D12" s="15">
        <v>0.375</v>
      </c>
      <c r="E12" s="15">
        <v>0.75</v>
      </c>
      <c r="F12" s="5">
        <f t="shared" si="2"/>
        <v>9</v>
      </c>
      <c r="G12" s="5">
        <f t="shared" si="3"/>
        <v>0</v>
      </c>
      <c r="H12" s="6">
        <f t="shared" ref="H12:H36" si="5">IFERROR((F12+G12),"")</f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30" s="2" customFormat="1" ht="21" customHeight="1">
      <c r="B13" s="9">
        <f t="shared" si="4"/>
        <v>44569</v>
      </c>
      <c r="C13" s="17" t="str">
        <f t="shared" si="1"/>
        <v>Saturday</v>
      </c>
      <c r="D13" s="15">
        <v>0.375</v>
      </c>
      <c r="E13" s="15">
        <v>0.75</v>
      </c>
      <c r="F13" s="5">
        <f t="shared" si="2"/>
        <v>0</v>
      </c>
      <c r="G13" s="5">
        <f t="shared" si="3"/>
        <v>9</v>
      </c>
      <c r="H13" s="6">
        <f t="shared" si="5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30" s="2" customFormat="1" ht="21" customHeight="1">
      <c r="B14" s="9">
        <f t="shared" si="4"/>
        <v>44570</v>
      </c>
      <c r="C14" s="17" t="str">
        <f t="shared" si="1"/>
        <v>Sunday</v>
      </c>
      <c r="D14" s="15">
        <v>0.375</v>
      </c>
      <c r="E14" s="15">
        <v>0.75</v>
      </c>
      <c r="F14" s="5">
        <f t="shared" si="2"/>
        <v>0</v>
      </c>
      <c r="G14" s="5">
        <f t="shared" si="3"/>
        <v>9</v>
      </c>
      <c r="H14" s="6">
        <f t="shared" si="5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30" s="2" customFormat="1" ht="21" customHeight="1">
      <c r="B15" s="9">
        <f t="shared" si="4"/>
        <v>44571</v>
      </c>
      <c r="C15" s="17" t="str">
        <f t="shared" si="1"/>
        <v>Monday</v>
      </c>
      <c r="D15" s="15">
        <v>0.375</v>
      </c>
      <c r="E15" s="15">
        <v>0.75</v>
      </c>
      <c r="F15" s="5">
        <f t="shared" si="2"/>
        <v>9</v>
      </c>
      <c r="G15" s="5">
        <f t="shared" si="3"/>
        <v>0</v>
      </c>
      <c r="H15" s="6">
        <f t="shared" si="5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30" s="2" customFormat="1" ht="21" customHeight="1">
      <c r="B16" s="9">
        <f t="shared" si="4"/>
        <v>44572</v>
      </c>
      <c r="C16" s="17" t="str">
        <f t="shared" si="1"/>
        <v>Tuesday</v>
      </c>
      <c r="D16" s="15">
        <v>0.375</v>
      </c>
      <c r="E16" s="15">
        <v>0.75</v>
      </c>
      <c r="F16" s="5">
        <f t="shared" si="2"/>
        <v>9</v>
      </c>
      <c r="G16" s="5">
        <f t="shared" si="3"/>
        <v>0</v>
      </c>
      <c r="H16" s="6">
        <f t="shared" si="5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44573</v>
      </c>
      <c r="C17" s="17" t="str">
        <f t="shared" si="1"/>
        <v>Wednesday</v>
      </c>
      <c r="D17" s="15">
        <v>0.375</v>
      </c>
      <c r="E17" s="15">
        <v>0.75</v>
      </c>
      <c r="F17" s="5">
        <f t="shared" si="2"/>
        <v>9</v>
      </c>
      <c r="G17" s="5">
        <f t="shared" si="3"/>
        <v>0</v>
      </c>
      <c r="H17" s="6">
        <f t="shared" si="5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44574</v>
      </c>
      <c r="C18" s="17" t="str">
        <f t="shared" si="1"/>
        <v>Thursday</v>
      </c>
      <c r="D18" s="15">
        <v>0.375</v>
      </c>
      <c r="E18" s="15">
        <v>0.75</v>
      </c>
      <c r="F18" s="5">
        <f t="shared" si="2"/>
        <v>9</v>
      </c>
      <c r="G18" s="5">
        <f t="shared" si="3"/>
        <v>0</v>
      </c>
      <c r="H18" s="6">
        <f t="shared" si="5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44575</v>
      </c>
      <c r="C19" s="17" t="str">
        <f t="shared" si="1"/>
        <v>Friday</v>
      </c>
      <c r="D19" s="15">
        <v>0.375</v>
      </c>
      <c r="E19" s="15">
        <v>0.75</v>
      </c>
      <c r="F19" s="5">
        <f t="shared" si="2"/>
        <v>9</v>
      </c>
      <c r="G19" s="5">
        <f t="shared" si="3"/>
        <v>0</v>
      </c>
      <c r="H19" s="6">
        <f t="shared" ref="H19:H24" si="6">IFERROR((F19+G19),"")</f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44576</v>
      </c>
      <c r="C20" s="17" t="str">
        <f t="shared" si="1"/>
        <v>Saturday</v>
      </c>
      <c r="D20" s="15">
        <v>0.375</v>
      </c>
      <c r="E20" s="15">
        <v>0.75</v>
      </c>
      <c r="F20" s="5">
        <f t="shared" si="2"/>
        <v>0</v>
      </c>
      <c r="G20" s="5">
        <f t="shared" si="3"/>
        <v>9</v>
      </c>
      <c r="H20" s="6">
        <f t="shared" si="6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44577</v>
      </c>
      <c r="C21" s="17" t="str">
        <f t="shared" si="1"/>
        <v>Sunday</v>
      </c>
      <c r="D21" s="15">
        <v>0.375</v>
      </c>
      <c r="E21" s="15">
        <v>0.75</v>
      </c>
      <c r="F21" s="5">
        <f t="shared" si="2"/>
        <v>0</v>
      </c>
      <c r="G21" s="5">
        <f t="shared" si="3"/>
        <v>9</v>
      </c>
      <c r="H21" s="6">
        <f t="shared" si="6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44578</v>
      </c>
      <c r="C22" s="17" t="str">
        <f t="shared" si="1"/>
        <v>Monday</v>
      </c>
      <c r="D22" s="15">
        <v>0.375</v>
      </c>
      <c r="E22" s="15">
        <v>0.75</v>
      </c>
      <c r="F22" s="5">
        <f t="shared" si="2"/>
        <v>9</v>
      </c>
      <c r="G22" s="5">
        <f t="shared" si="3"/>
        <v>0</v>
      </c>
      <c r="H22" s="6">
        <f t="shared" si="6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44579</v>
      </c>
      <c r="C23" s="17" t="str">
        <f t="shared" si="1"/>
        <v>Tuesday</v>
      </c>
      <c r="D23" s="15">
        <v>0.375</v>
      </c>
      <c r="E23" s="15">
        <v>0.75</v>
      </c>
      <c r="F23" s="5">
        <f t="shared" si="2"/>
        <v>9</v>
      </c>
      <c r="G23" s="5">
        <f t="shared" si="3"/>
        <v>0</v>
      </c>
      <c r="H23" s="6">
        <f t="shared" si="6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44580</v>
      </c>
      <c r="C24" s="17" t="str">
        <f t="shared" si="1"/>
        <v>Wednesday</v>
      </c>
      <c r="D24" s="15">
        <v>0.375</v>
      </c>
      <c r="E24" s="15">
        <v>0.75</v>
      </c>
      <c r="F24" s="5">
        <f t="shared" si="2"/>
        <v>9</v>
      </c>
      <c r="G24" s="5">
        <f t="shared" si="3"/>
        <v>0</v>
      </c>
      <c r="H24" s="6">
        <f t="shared" si="6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44581</v>
      </c>
      <c r="C25" s="17" t="str">
        <f t="shared" si="1"/>
        <v>Thursday</v>
      </c>
      <c r="D25" s="15">
        <v>0.375</v>
      </c>
      <c r="E25" s="15">
        <v>0.75</v>
      </c>
      <c r="F25" s="5">
        <f t="shared" si="2"/>
        <v>9</v>
      </c>
      <c r="G25" s="5">
        <f t="shared" si="3"/>
        <v>0</v>
      </c>
      <c r="H25" s="6">
        <f t="shared" si="5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44582</v>
      </c>
      <c r="C26" s="17" t="str">
        <f t="shared" si="1"/>
        <v>Friday</v>
      </c>
      <c r="D26" s="15">
        <v>0.375</v>
      </c>
      <c r="E26" s="15">
        <v>0.75</v>
      </c>
      <c r="F26" s="5">
        <f t="shared" si="2"/>
        <v>9</v>
      </c>
      <c r="G26" s="5">
        <f t="shared" si="3"/>
        <v>0</v>
      </c>
      <c r="H26" s="6">
        <f t="shared" si="5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44583</v>
      </c>
      <c r="C27" s="17" t="str">
        <f t="shared" si="1"/>
        <v>Saturday</v>
      </c>
      <c r="D27" s="15">
        <v>0.375</v>
      </c>
      <c r="E27" s="15">
        <v>0.75</v>
      </c>
      <c r="F27" s="5">
        <f t="shared" si="2"/>
        <v>0</v>
      </c>
      <c r="G27" s="5">
        <f t="shared" si="3"/>
        <v>9</v>
      </c>
      <c r="H27" s="6">
        <f t="shared" si="5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44584</v>
      </c>
      <c r="C28" s="17" t="str">
        <f t="shared" si="1"/>
        <v>Sunday</v>
      </c>
      <c r="D28" s="15">
        <v>0.375</v>
      </c>
      <c r="E28" s="15">
        <v>0.75</v>
      </c>
      <c r="F28" s="5">
        <f t="shared" si="2"/>
        <v>0</v>
      </c>
      <c r="G28" s="5">
        <f t="shared" si="3"/>
        <v>9</v>
      </c>
      <c r="H28" s="6">
        <f t="shared" si="5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44585</v>
      </c>
      <c r="C29" s="17" t="str">
        <f t="shared" si="1"/>
        <v>Monday</v>
      </c>
      <c r="D29" s="15">
        <v>0.375</v>
      </c>
      <c r="E29" s="15">
        <v>0.75</v>
      </c>
      <c r="F29" s="5">
        <f t="shared" si="2"/>
        <v>9</v>
      </c>
      <c r="G29" s="5">
        <f t="shared" si="3"/>
        <v>0</v>
      </c>
      <c r="H29" s="6">
        <f t="shared" si="5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44586</v>
      </c>
      <c r="C30" s="17" t="str">
        <f t="shared" si="1"/>
        <v>Tuesday</v>
      </c>
      <c r="D30" s="15">
        <v>0.375</v>
      </c>
      <c r="E30" s="15">
        <v>0.75</v>
      </c>
      <c r="F30" s="5">
        <f t="shared" si="2"/>
        <v>9</v>
      </c>
      <c r="G30" s="5">
        <f t="shared" si="3"/>
        <v>0</v>
      </c>
      <c r="H30" s="6">
        <f t="shared" si="5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44587</v>
      </c>
      <c r="C31" s="17" t="str">
        <f t="shared" si="1"/>
        <v>Wednesday</v>
      </c>
      <c r="D31" s="15">
        <v>0.375</v>
      </c>
      <c r="E31" s="15">
        <v>0.75</v>
      </c>
      <c r="F31" s="5">
        <f t="shared" si="2"/>
        <v>9</v>
      </c>
      <c r="G31" s="5">
        <f t="shared" si="3"/>
        <v>0</v>
      </c>
      <c r="H31" s="6">
        <f t="shared" si="5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44588</v>
      </c>
      <c r="C32" s="17" t="str">
        <f t="shared" si="1"/>
        <v>Thursday</v>
      </c>
      <c r="D32" s="15">
        <v>0.375</v>
      </c>
      <c r="E32" s="15">
        <v>0.75</v>
      </c>
      <c r="F32" s="5">
        <f t="shared" si="2"/>
        <v>9</v>
      </c>
      <c r="G32" s="5">
        <f t="shared" si="3"/>
        <v>0</v>
      </c>
      <c r="H32" s="6">
        <f t="shared" si="5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44589</v>
      </c>
      <c r="C33" s="17" t="str">
        <f t="shared" si="1"/>
        <v>Friday</v>
      </c>
      <c r="D33" s="15">
        <v>0.375</v>
      </c>
      <c r="E33" s="15">
        <v>0.75</v>
      </c>
      <c r="F33" s="5">
        <f t="shared" si="2"/>
        <v>9</v>
      </c>
      <c r="G33" s="5">
        <f t="shared" si="3"/>
        <v>0</v>
      </c>
      <c r="H33" s="6">
        <f t="shared" si="5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44590</v>
      </c>
      <c r="C34" s="17" t="str">
        <f t="shared" si="1"/>
        <v>Saturday</v>
      </c>
      <c r="D34" s="15">
        <v>0.375</v>
      </c>
      <c r="E34" s="15">
        <v>0.75</v>
      </c>
      <c r="F34" s="5">
        <f t="shared" si="2"/>
        <v>0</v>
      </c>
      <c r="G34" s="5">
        <f t="shared" si="3"/>
        <v>9</v>
      </c>
      <c r="H34" s="6">
        <f t="shared" si="5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44591</v>
      </c>
      <c r="C35" s="17" t="str">
        <f t="shared" si="1"/>
        <v>Sunday</v>
      </c>
      <c r="D35" s="15">
        <v>0.375</v>
      </c>
      <c r="E35" s="15">
        <v>0.75</v>
      </c>
      <c r="F35" s="5">
        <f t="shared" si="2"/>
        <v>0</v>
      </c>
      <c r="G35" s="5">
        <f t="shared" si="3"/>
        <v>9</v>
      </c>
      <c r="H35" s="6">
        <f t="shared" si="5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44592</v>
      </c>
      <c r="C36" s="17" t="str">
        <f t="shared" si="1"/>
        <v>Monday</v>
      </c>
      <c r="D36" s="15">
        <v>0.375</v>
      </c>
      <c r="E36" s="15">
        <v>0.75</v>
      </c>
      <c r="F36" s="5">
        <f t="shared" si="2"/>
        <v>9</v>
      </c>
      <c r="G36" s="5">
        <f t="shared" si="3"/>
        <v>0</v>
      </c>
      <c r="H36" s="6">
        <f t="shared" si="5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B2:E2"/>
    <mergeCell ref="S4:X4"/>
    <mergeCell ref="O4:R4"/>
    <mergeCell ref="B4:B5"/>
    <mergeCell ref="D4:H4"/>
    <mergeCell ref="I4:N4"/>
    <mergeCell ref="C4:C5"/>
  </mergeCells>
  <conditionalFormatting sqref="C6:C36">
    <cfRule type="cellIs" dxfId="55" priority="3" operator="equal">
      <formula>"Sunday"</formula>
    </cfRule>
    <cfRule type="cellIs" dxfId="54" priority="4" operator="equal">
      <formula>"Saturday"</formula>
    </cfRule>
  </conditionalFormatting>
  <conditionalFormatting sqref="G2">
    <cfRule type="cellIs" dxfId="53" priority="1" operator="equal">
      <formula>"Sunday"</formula>
    </cfRule>
    <cfRule type="cellIs" dxfId="52" priority="2" operator="equal">
      <formula>"Saturday"</formula>
    </cfRule>
  </conditionalFormatting>
  <dataValidations count="1">
    <dataValidation type="list" allowBlank="1" showInputMessage="1" showErrorMessage="1" sqref="K6:K36" xr:uid="{00000000-0002-0000-02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1000000}">
          <x14:formula1>
            <xm:f>'Dropdown List Data'!$B$4:$B$31</xm:f>
          </x14:formula1>
          <xm:sqref>I6:I36</xm:sqref>
        </x14:dataValidation>
        <x14:dataValidation type="list" allowBlank="1" showInputMessage="1" showErrorMessage="1" xr:uid="{00000000-0002-0000-0200-000002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2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200-000004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200-000005000000}">
          <x14:formula1>
            <xm:f>'Dropdown List Data'!$F$4:$F$31</xm:f>
          </x14:formula1>
          <xm:sqref>P6:P36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36"/>
  <sheetViews>
    <sheetView showGridLines="0" showRowColHeaders="0" workbookViewId="0">
      <pane xSplit="1" ySplit="5" topLeftCell="B6" activePane="bottomRight" state="frozen"/>
      <selection activeCell="G3" sqref="G3"/>
      <selection pane="topRight" activeCell="G3" sqref="G3"/>
      <selection pane="bottomLeft" activeCell="G3" sqref="G3"/>
      <selection pane="bottomRight" activeCell="J2" sqref="J2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91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44593</v>
      </c>
      <c r="C6" s="18" t="str">
        <f>TEXT(B6,"dddd")</f>
        <v>Tuesday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 t="s">
        <v>21</v>
      </c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44594</v>
      </c>
      <c r="C7" s="18" t="str">
        <f t="shared" ref="C7:C36" si="0">TEXT(B7,"dddd")</f>
        <v>Wednesday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44595</v>
      </c>
      <c r="C8" s="17" t="str">
        <f t="shared" si="0"/>
        <v>Thursday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44596</v>
      </c>
      <c r="C9" s="17" t="str">
        <f t="shared" si="0"/>
        <v>Friday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44597</v>
      </c>
      <c r="C10" s="17" t="str">
        <f t="shared" si="0"/>
        <v>Saturday</v>
      </c>
      <c r="D10" s="15">
        <v>0.375</v>
      </c>
      <c r="E10" s="15">
        <v>0.75</v>
      </c>
      <c r="F10" s="5">
        <f t="shared" si="1"/>
        <v>0</v>
      </c>
      <c r="G10" s="5">
        <f t="shared" si="2"/>
        <v>9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44598</v>
      </c>
      <c r="C11" s="17" t="str">
        <f t="shared" si="0"/>
        <v>Sunday</v>
      </c>
      <c r="D11" s="15">
        <v>0.375</v>
      </c>
      <c r="E11" s="15">
        <v>0.75</v>
      </c>
      <c r="F11" s="5">
        <f t="shared" si="1"/>
        <v>0</v>
      </c>
      <c r="G11" s="5">
        <f t="shared" si="2"/>
        <v>9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44599</v>
      </c>
      <c r="C12" s="17" t="str">
        <f t="shared" si="0"/>
        <v>Monday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44600</v>
      </c>
      <c r="C13" s="17" t="str">
        <f t="shared" si="0"/>
        <v>Tuesday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44601</v>
      </c>
      <c r="C14" s="17" t="str">
        <f t="shared" si="0"/>
        <v>Wednesday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44602</v>
      </c>
      <c r="C15" s="17" t="str">
        <f t="shared" si="0"/>
        <v>Thursday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44603</v>
      </c>
      <c r="C16" s="17" t="str">
        <f t="shared" si="0"/>
        <v>Friday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44604</v>
      </c>
      <c r="C17" s="17" t="str">
        <f t="shared" si="0"/>
        <v>Saturday</v>
      </c>
      <c r="D17" s="15">
        <v>0.375</v>
      </c>
      <c r="E17" s="15">
        <v>0.75</v>
      </c>
      <c r="F17" s="5">
        <f t="shared" si="1"/>
        <v>0</v>
      </c>
      <c r="G17" s="5">
        <f t="shared" si="2"/>
        <v>9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44605</v>
      </c>
      <c r="C18" s="17" t="str">
        <f t="shared" si="0"/>
        <v>Sunday</v>
      </c>
      <c r="D18" s="15">
        <v>0.375</v>
      </c>
      <c r="E18" s="15">
        <v>0.75</v>
      </c>
      <c r="F18" s="5">
        <f t="shared" si="1"/>
        <v>0</v>
      </c>
      <c r="G18" s="5">
        <f t="shared" si="2"/>
        <v>9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44606</v>
      </c>
      <c r="C19" s="17" t="str">
        <f t="shared" si="0"/>
        <v>Monday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44607</v>
      </c>
      <c r="C20" s="17" t="str">
        <f t="shared" si="0"/>
        <v>Tuesday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44608</v>
      </c>
      <c r="C21" s="17" t="str">
        <f t="shared" si="0"/>
        <v>Wednesday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44609</v>
      </c>
      <c r="C22" s="17" t="str">
        <f t="shared" si="0"/>
        <v>Thursday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44610</v>
      </c>
      <c r="C23" s="17" t="str">
        <f t="shared" si="0"/>
        <v>Friday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44611</v>
      </c>
      <c r="C24" s="17" t="str">
        <f t="shared" si="0"/>
        <v>Saturday</v>
      </c>
      <c r="D24" s="15">
        <v>0.375</v>
      </c>
      <c r="E24" s="15">
        <v>0.75</v>
      </c>
      <c r="F24" s="5">
        <f t="shared" si="1"/>
        <v>0</v>
      </c>
      <c r="G24" s="5">
        <f t="shared" si="2"/>
        <v>9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44612</v>
      </c>
      <c r="C25" s="17" t="str">
        <f t="shared" si="0"/>
        <v>Sunday</v>
      </c>
      <c r="D25" s="15">
        <v>0.375</v>
      </c>
      <c r="E25" s="15">
        <v>0.75</v>
      </c>
      <c r="F25" s="5">
        <f t="shared" si="1"/>
        <v>0</v>
      </c>
      <c r="G25" s="5">
        <f t="shared" si="2"/>
        <v>9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44613</v>
      </c>
      <c r="C26" s="17" t="str">
        <f t="shared" si="0"/>
        <v>Monday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44614</v>
      </c>
      <c r="C27" s="17" t="str">
        <f t="shared" si="0"/>
        <v>Tuesday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44615</v>
      </c>
      <c r="C28" s="17" t="str">
        <f t="shared" si="0"/>
        <v>Wednesday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44616</v>
      </c>
      <c r="C29" s="17" t="str">
        <f t="shared" si="0"/>
        <v>Thursday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44617</v>
      </c>
      <c r="C30" s="17" t="str">
        <f t="shared" si="0"/>
        <v>Friday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44618</v>
      </c>
      <c r="C31" s="17" t="str">
        <f t="shared" si="0"/>
        <v>Saturday</v>
      </c>
      <c r="D31" s="15">
        <v>0.375</v>
      </c>
      <c r="E31" s="15">
        <v>0.75</v>
      </c>
      <c r="F31" s="5">
        <f t="shared" si="1"/>
        <v>0</v>
      </c>
      <c r="G31" s="5">
        <f t="shared" si="2"/>
        <v>9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44619</v>
      </c>
      <c r="C32" s="17" t="str">
        <f t="shared" si="0"/>
        <v>Sunday</v>
      </c>
      <c r="D32" s="15">
        <v>0.375</v>
      </c>
      <c r="E32" s="15">
        <v>0.75</v>
      </c>
      <c r="F32" s="5">
        <f t="shared" si="1"/>
        <v>0</v>
      </c>
      <c r="G32" s="5">
        <f t="shared" si="2"/>
        <v>9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44620</v>
      </c>
      <c r="C33" s="17" t="str">
        <f t="shared" si="0"/>
        <v>Monday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 t="str">
        <f t="shared" si="4"/>
        <v/>
      </c>
      <c r="C34" s="17" t="str">
        <f t="shared" si="0"/>
        <v/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 t="str">
        <f t="shared" si="4"/>
        <v/>
      </c>
      <c r="C35" s="17" t="str">
        <f t="shared" si="0"/>
        <v/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 t="str">
        <f t="shared" si="4"/>
        <v/>
      </c>
      <c r="C36" s="17" t="str">
        <f t="shared" si="0"/>
        <v/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51" priority="3" operator="equal">
      <formula>"Sunday"</formula>
    </cfRule>
    <cfRule type="cellIs" dxfId="50" priority="4" operator="equal">
      <formula>"Saturday"</formula>
    </cfRule>
  </conditionalFormatting>
  <conditionalFormatting sqref="G2">
    <cfRule type="cellIs" dxfId="49" priority="1" operator="equal">
      <formula>"Sunday"</formula>
    </cfRule>
    <cfRule type="cellIs" dxfId="48" priority="2" operator="equal">
      <formula>"Saturday"</formula>
    </cfRule>
  </conditionalFormatting>
  <dataValidations count="1">
    <dataValidation type="list" allowBlank="1" showInputMessage="1" showErrorMessage="1" sqref="K6:K36" xr:uid="{00000000-0002-0000-03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1000000}">
          <x14:formula1>
            <xm:f>'Dropdown List Data'!$B$4:$B$31</xm:f>
          </x14:formula1>
          <xm:sqref>I6:I36</xm:sqref>
        </x14:dataValidation>
        <x14:dataValidation type="list" allowBlank="1" showInputMessage="1" showErrorMessage="1" xr:uid="{00000000-0002-0000-0300-000002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300-000003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300-000004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300-000005000000}">
          <x14:formula1>
            <xm:f>'Dropdown List Data'!$C$4:$C$31</xm:f>
          </x14:formula1>
          <xm:sqref>J6:J36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36"/>
  <sheetViews>
    <sheetView showGridLines="0" showRowColHeaders="0" workbookViewId="0">
      <selection activeCell="B4" sqref="B4:X5"/>
    </sheetView>
  </sheetViews>
  <sheetFormatPr defaultColWidth="8.7109375" defaultRowHeight="15"/>
  <cols>
    <col min="1" max="1" width="1.140625" style="3" customWidth="1"/>
    <col min="2" max="2" width="18.5703125" style="2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44621</v>
      </c>
      <c r="C6" s="17" t="str">
        <f>TEXT(B6,"dddd")</f>
        <v>Tuesday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 t="s">
        <v>20</v>
      </c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44622</v>
      </c>
      <c r="C7" s="17" t="str">
        <f t="shared" ref="C7:C36" si="0">TEXT(B7,"dddd")</f>
        <v>Wednesday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44623</v>
      </c>
      <c r="C8" s="17" t="str">
        <f t="shared" si="0"/>
        <v>Thursday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44624</v>
      </c>
      <c r="C9" s="17" t="str">
        <f t="shared" si="0"/>
        <v>Friday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44625</v>
      </c>
      <c r="C10" s="17" t="str">
        <f t="shared" si="0"/>
        <v>Saturday</v>
      </c>
      <c r="D10" s="15">
        <v>0.375</v>
      </c>
      <c r="E10" s="15">
        <v>0.75</v>
      </c>
      <c r="F10" s="5">
        <f t="shared" si="1"/>
        <v>0</v>
      </c>
      <c r="G10" s="5">
        <f t="shared" si="2"/>
        <v>9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44626</v>
      </c>
      <c r="C11" s="17" t="str">
        <f t="shared" si="0"/>
        <v>Sunday</v>
      </c>
      <c r="D11" s="15">
        <v>0.375</v>
      </c>
      <c r="E11" s="15">
        <v>0.75</v>
      </c>
      <c r="F11" s="5">
        <f t="shared" si="1"/>
        <v>0</v>
      </c>
      <c r="G11" s="5">
        <f t="shared" si="2"/>
        <v>9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44627</v>
      </c>
      <c r="C12" s="17" t="str">
        <f t="shared" si="0"/>
        <v>Monday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44628</v>
      </c>
      <c r="C13" s="17" t="str">
        <f t="shared" si="0"/>
        <v>Tuesday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44629</v>
      </c>
      <c r="C14" s="17" t="str">
        <f t="shared" si="0"/>
        <v>Wednesday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44630</v>
      </c>
      <c r="C15" s="17" t="str">
        <f t="shared" si="0"/>
        <v>Thursday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44631</v>
      </c>
      <c r="C16" s="17" t="str">
        <f t="shared" si="0"/>
        <v>Friday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44632</v>
      </c>
      <c r="C17" s="17" t="str">
        <f t="shared" si="0"/>
        <v>Saturday</v>
      </c>
      <c r="D17" s="15">
        <v>0.375</v>
      </c>
      <c r="E17" s="15">
        <v>0.75</v>
      </c>
      <c r="F17" s="5">
        <f t="shared" si="1"/>
        <v>0</v>
      </c>
      <c r="G17" s="5">
        <f t="shared" si="2"/>
        <v>9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44633</v>
      </c>
      <c r="C18" s="17" t="str">
        <f t="shared" si="0"/>
        <v>Sunday</v>
      </c>
      <c r="D18" s="15">
        <v>0.375</v>
      </c>
      <c r="E18" s="15">
        <v>0.75</v>
      </c>
      <c r="F18" s="5">
        <f t="shared" si="1"/>
        <v>0</v>
      </c>
      <c r="G18" s="5">
        <f t="shared" si="2"/>
        <v>9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44634</v>
      </c>
      <c r="C19" s="17" t="str">
        <f t="shared" si="0"/>
        <v>Monday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44635</v>
      </c>
      <c r="C20" s="17" t="str">
        <f t="shared" si="0"/>
        <v>Tuesday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44636</v>
      </c>
      <c r="C21" s="17" t="str">
        <f t="shared" si="0"/>
        <v>Wednesday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44637</v>
      </c>
      <c r="C22" s="17" t="str">
        <f t="shared" si="0"/>
        <v>Thursday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44638</v>
      </c>
      <c r="C23" s="17" t="str">
        <f t="shared" si="0"/>
        <v>Friday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44639</v>
      </c>
      <c r="C24" s="17" t="str">
        <f t="shared" si="0"/>
        <v>Saturday</v>
      </c>
      <c r="D24" s="15">
        <v>0.375</v>
      </c>
      <c r="E24" s="15">
        <v>0.75</v>
      </c>
      <c r="F24" s="5">
        <f t="shared" si="1"/>
        <v>0</v>
      </c>
      <c r="G24" s="5">
        <f t="shared" si="2"/>
        <v>9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44640</v>
      </c>
      <c r="C25" s="17" t="str">
        <f t="shared" si="0"/>
        <v>Sunday</v>
      </c>
      <c r="D25" s="15">
        <v>0.375</v>
      </c>
      <c r="E25" s="15">
        <v>0.75</v>
      </c>
      <c r="F25" s="5">
        <f t="shared" si="1"/>
        <v>0</v>
      </c>
      <c r="G25" s="5">
        <f t="shared" si="2"/>
        <v>9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44641</v>
      </c>
      <c r="C26" s="17" t="str">
        <f t="shared" si="0"/>
        <v>Monday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44642</v>
      </c>
      <c r="C27" s="17" t="str">
        <f t="shared" si="0"/>
        <v>Tuesday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44643</v>
      </c>
      <c r="C28" s="17" t="str">
        <f t="shared" si="0"/>
        <v>Wednesday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44644</v>
      </c>
      <c r="C29" s="17" t="str">
        <f t="shared" si="0"/>
        <v>Thursday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44645</v>
      </c>
      <c r="C30" s="17" t="str">
        <f t="shared" si="0"/>
        <v>Friday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44646</v>
      </c>
      <c r="C31" s="17" t="str">
        <f t="shared" si="0"/>
        <v>Saturday</v>
      </c>
      <c r="D31" s="15">
        <v>0.375</v>
      </c>
      <c r="E31" s="15">
        <v>0.75</v>
      </c>
      <c r="F31" s="5">
        <f t="shared" si="1"/>
        <v>0</v>
      </c>
      <c r="G31" s="5">
        <f t="shared" si="2"/>
        <v>9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44647</v>
      </c>
      <c r="C32" s="17" t="str">
        <f t="shared" si="0"/>
        <v>Sunday</v>
      </c>
      <c r="D32" s="15">
        <v>0.375</v>
      </c>
      <c r="E32" s="15">
        <v>0.75</v>
      </c>
      <c r="F32" s="5">
        <f t="shared" si="1"/>
        <v>0</v>
      </c>
      <c r="G32" s="5">
        <f t="shared" si="2"/>
        <v>9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44648</v>
      </c>
      <c r="C33" s="17" t="str">
        <f t="shared" si="0"/>
        <v>Monday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44649</v>
      </c>
      <c r="C34" s="17" t="str">
        <f t="shared" si="0"/>
        <v>Tuesday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44650</v>
      </c>
      <c r="C35" s="17" t="str">
        <f t="shared" si="0"/>
        <v>Wednesday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44651</v>
      </c>
      <c r="C36" s="17" t="str">
        <f t="shared" si="0"/>
        <v>Thursday</v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47" priority="3" operator="equal">
      <formula>"Sunday"</formula>
    </cfRule>
    <cfRule type="cellIs" dxfId="46" priority="4" operator="equal">
      <formula>"Saturday"</formula>
    </cfRule>
  </conditionalFormatting>
  <conditionalFormatting sqref="G2">
    <cfRule type="cellIs" dxfId="45" priority="1" operator="equal">
      <formula>"Sunday"</formula>
    </cfRule>
    <cfRule type="cellIs" dxfId="44" priority="2" operator="equal">
      <formula>"Saturday"</formula>
    </cfRule>
  </conditionalFormatting>
  <dataValidations count="1">
    <dataValidation type="list" allowBlank="1" showInputMessage="1" showErrorMessage="1" sqref="K6:K36" xr:uid="{00000000-0002-0000-04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4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4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4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4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36"/>
  <sheetViews>
    <sheetView showGridLines="0" showRowColHeaders="0" workbookViewId="0">
      <selection activeCell="J11" sqref="J11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44652</v>
      </c>
      <c r="C6" s="17" t="str">
        <f>TEXT(B6,"dddd")</f>
        <v>Friday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44653</v>
      </c>
      <c r="C7" s="17" t="str">
        <f t="shared" ref="C7:C36" si="0">TEXT(B7,"dddd")</f>
        <v>Saturday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0</v>
      </c>
      <c r="G7" s="5">
        <f t="shared" ref="G7:G36" si="2">IF((OR(C7="Sunday",C7="Saturday")),(IFERROR(((E7-D7)*24),"")),(IF((IFERROR(((E7-D7)*24),""))&gt;9,((IFERROR(((E7-D7)*24),""))-9),0)))</f>
        <v>9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44654</v>
      </c>
      <c r="C8" s="17" t="str">
        <f t="shared" si="0"/>
        <v>Sunday</v>
      </c>
      <c r="D8" s="15">
        <v>0.375</v>
      </c>
      <c r="E8" s="15">
        <v>0.75</v>
      </c>
      <c r="F8" s="5">
        <f t="shared" si="1"/>
        <v>0</v>
      </c>
      <c r="G8" s="5">
        <f t="shared" si="2"/>
        <v>9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44655</v>
      </c>
      <c r="C9" s="17" t="str">
        <f t="shared" si="0"/>
        <v>Monday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44656</v>
      </c>
      <c r="C10" s="17" t="str">
        <f t="shared" si="0"/>
        <v>Tuesday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44657</v>
      </c>
      <c r="C11" s="17" t="str">
        <f t="shared" si="0"/>
        <v>Wednesday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44658</v>
      </c>
      <c r="C12" s="17" t="str">
        <f t="shared" si="0"/>
        <v>Thursday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44659</v>
      </c>
      <c r="C13" s="17" t="str">
        <f t="shared" si="0"/>
        <v>Friday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44660</v>
      </c>
      <c r="C14" s="17" t="str">
        <f t="shared" si="0"/>
        <v>Saturday</v>
      </c>
      <c r="D14" s="15">
        <v>0.375</v>
      </c>
      <c r="E14" s="15">
        <v>0.75</v>
      </c>
      <c r="F14" s="5">
        <f t="shared" si="1"/>
        <v>0</v>
      </c>
      <c r="G14" s="5">
        <f t="shared" si="2"/>
        <v>9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44661</v>
      </c>
      <c r="C15" s="17" t="str">
        <f t="shared" si="0"/>
        <v>Sunday</v>
      </c>
      <c r="D15" s="15">
        <v>0.375</v>
      </c>
      <c r="E15" s="15">
        <v>0.75</v>
      </c>
      <c r="F15" s="5">
        <f t="shared" si="1"/>
        <v>0</v>
      </c>
      <c r="G15" s="5">
        <f t="shared" si="2"/>
        <v>9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44662</v>
      </c>
      <c r="C16" s="17" t="str">
        <f t="shared" si="0"/>
        <v>Monday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44663</v>
      </c>
      <c r="C17" s="17" t="str">
        <f t="shared" si="0"/>
        <v>Tuesday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44664</v>
      </c>
      <c r="C18" s="17" t="str">
        <f t="shared" si="0"/>
        <v>Wednesday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44665</v>
      </c>
      <c r="C19" s="17" t="str">
        <f t="shared" si="0"/>
        <v>Thursday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44666</v>
      </c>
      <c r="C20" s="18" t="str">
        <f t="shared" si="0"/>
        <v>Friday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44667</v>
      </c>
      <c r="C21" s="17" t="str">
        <f t="shared" si="0"/>
        <v>Saturday</v>
      </c>
      <c r="D21" s="15">
        <v>0.375</v>
      </c>
      <c r="E21" s="15">
        <v>0.75</v>
      </c>
      <c r="F21" s="5">
        <f t="shared" si="1"/>
        <v>0</v>
      </c>
      <c r="G21" s="5">
        <f t="shared" si="2"/>
        <v>9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44668</v>
      </c>
      <c r="C22" s="17" t="str">
        <f t="shared" si="0"/>
        <v>Sunday</v>
      </c>
      <c r="D22" s="15">
        <v>0.375</v>
      </c>
      <c r="E22" s="15">
        <v>0.75</v>
      </c>
      <c r="F22" s="5">
        <f t="shared" si="1"/>
        <v>0</v>
      </c>
      <c r="G22" s="5">
        <f t="shared" si="2"/>
        <v>9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44669</v>
      </c>
      <c r="C23" s="17" t="str">
        <f t="shared" si="0"/>
        <v>Monday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44670</v>
      </c>
      <c r="C24" s="17" t="str">
        <f t="shared" si="0"/>
        <v>Tuesday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44671</v>
      </c>
      <c r="C25" s="17" t="str">
        <f t="shared" si="0"/>
        <v>Wednesday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44672</v>
      </c>
      <c r="C26" s="17" t="str">
        <f t="shared" si="0"/>
        <v>Thursday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44673</v>
      </c>
      <c r="C27" s="17" t="str">
        <f t="shared" si="0"/>
        <v>Friday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44674</v>
      </c>
      <c r="C28" s="17" t="str">
        <f t="shared" si="0"/>
        <v>Saturday</v>
      </c>
      <c r="D28" s="15">
        <v>0.375</v>
      </c>
      <c r="E28" s="15">
        <v>0.75</v>
      </c>
      <c r="F28" s="5">
        <f t="shared" si="1"/>
        <v>0</v>
      </c>
      <c r="G28" s="5">
        <f t="shared" si="2"/>
        <v>9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44675</v>
      </c>
      <c r="C29" s="17" t="str">
        <f t="shared" si="0"/>
        <v>Sunday</v>
      </c>
      <c r="D29" s="15">
        <v>0.375</v>
      </c>
      <c r="E29" s="15">
        <v>0.75</v>
      </c>
      <c r="F29" s="5">
        <f t="shared" si="1"/>
        <v>0</v>
      </c>
      <c r="G29" s="5">
        <f t="shared" si="2"/>
        <v>9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44676</v>
      </c>
      <c r="C30" s="17" t="str">
        <f t="shared" si="0"/>
        <v>Monday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44677</v>
      </c>
      <c r="C31" s="17" t="str">
        <f t="shared" si="0"/>
        <v>Tuesday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44678</v>
      </c>
      <c r="C32" s="17" t="str">
        <f t="shared" si="0"/>
        <v>Wednesday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44679</v>
      </c>
      <c r="C33" s="17" t="str">
        <f t="shared" si="0"/>
        <v>Thursday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44680</v>
      </c>
      <c r="C34" s="17" t="str">
        <f t="shared" si="0"/>
        <v>Friday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44681</v>
      </c>
      <c r="C35" s="17" t="str">
        <f t="shared" si="0"/>
        <v>Saturday</v>
      </c>
      <c r="D35" s="15">
        <v>0.375</v>
      </c>
      <c r="E35" s="15">
        <v>0.75</v>
      </c>
      <c r="F35" s="5">
        <f t="shared" si="1"/>
        <v>0</v>
      </c>
      <c r="G35" s="5">
        <f t="shared" si="2"/>
        <v>9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 t="str">
        <f t="shared" si="4"/>
        <v/>
      </c>
      <c r="C36" s="17" t="str">
        <f t="shared" si="0"/>
        <v/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19 C21:C36">
    <cfRule type="cellIs" dxfId="43" priority="5" operator="equal">
      <formula>"Sunday"</formula>
    </cfRule>
    <cfRule type="cellIs" dxfId="42" priority="6" operator="equal">
      <formula>"Saturday"</formula>
    </cfRule>
  </conditionalFormatting>
  <conditionalFormatting sqref="C20">
    <cfRule type="cellIs" dxfId="41" priority="3" operator="equal">
      <formula>"Sunday"</formula>
    </cfRule>
    <cfRule type="cellIs" dxfId="40" priority="4" operator="equal">
      <formula>"Saturday"</formula>
    </cfRule>
  </conditionalFormatting>
  <conditionalFormatting sqref="G2">
    <cfRule type="cellIs" dxfId="39" priority="1" operator="equal">
      <formula>"Sunday"</formula>
    </cfRule>
    <cfRule type="cellIs" dxfId="38" priority="2" operator="equal">
      <formula>"Saturday"</formula>
    </cfRule>
  </conditionalFormatting>
  <dataValidations count="1">
    <dataValidation type="list" allowBlank="1" showInputMessage="1" showErrorMessage="1" sqref="K6:K36" xr:uid="{00000000-0002-0000-05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5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5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5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5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5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36"/>
  <sheetViews>
    <sheetView showGridLines="0" showRowColHeaders="0" workbookViewId="0">
      <selection activeCell="K2" sqref="K2"/>
    </sheetView>
  </sheetViews>
  <sheetFormatPr defaultColWidth="8.7109375" defaultRowHeight="15"/>
  <cols>
    <col min="1" max="1" width="1.140625" style="3" customWidth="1"/>
    <col min="2" max="2" width="11.85546875" style="2" bestFit="1" customWidth="1"/>
    <col min="3" max="3" width="11.8554687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44682</v>
      </c>
      <c r="C6" s="17" t="str">
        <f>TEXT(B6,"dddd")</f>
        <v>Sunday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0</v>
      </c>
      <c r="G6" s="5">
        <f>IF((OR(C6="Sunday",C6="Saturday")),(IFERROR(((E6-D6)*24),"")),(IF((IFERROR(((E6-D6)*24),""))&gt;9,((IFERROR(((E6-D6)*24),""))-9),0)))</f>
        <v>9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44683</v>
      </c>
      <c r="C7" s="17" t="str">
        <f t="shared" ref="C7:C36" si="0">TEXT(B7,"dddd")</f>
        <v>Monday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44684</v>
      </c>
      <c r="C8" s="18" t="str">
        <f t="shared" si="0"/>
        <v>Tuesday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44685</v>
      </c>
      <c r="C9" s="17" t="str">
        <f t="shared" si="0"/>
        <v>Wednesday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44686</v>
      </c>
      <c r="C10" s="17" t="str">
        <f t="shared" si="0"/>
        <v>Thursday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44687</v>
      </c>
      <c r="C11" s="17" t="str">
        <f t="shared" si="0"/>
        <v>Friday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44688</v>
      </c>
      <c r="C12" s="17" t="str">
        <f t="shared" si="0"/>
        <v>Saturday</v>
      </c>
      <c r="D12" s="15">
        <v>0.375</v>
      </c>
      <c r="E12" s="15">
        <v>0.75</v>
      </c>
      <c r="F12" s="5">
        <f t="shared" si="1"/>
        <v>0</v>
      </c>
      <c r="G12" s="5">
        <f t="shared" si="2"/>
        <v>9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44689</v>
      </c>
      <c r="C13" s="17" t="str">
        <f t="shared" si="0"/>
        <v>Sunday</v>
      </c>
      <c r="D13" s="15">
        <v>0.375</v>
      </c>
      <c r="E13" s="15">
        <v>0.75</v>
      </c>
      <c r="F13" s="5">
        <f t="shared" si="1"/>
        <v>0</v>
      </c>
      <c r="G13" s="5">
        <f t="shared" si="2"/>
        <v>9</v>
      </c>
      <c r="H13" s="6">
        <f t="shared" si="3"/>
        <v>9</v>
      </c>
      <c r="I13" s="4"/>
      <c r="J13" s="4" t="s">
        <v>14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44690</v>
      </c>
      <c r="C14" s="17" t="str">
        <f t="shared" si="0"/>
        <v>Monday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44691</v>
      </c>
      <c r="C15" s="17" t="str">
        <f t="shared" si="0"/>
        <v>Tuesday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44692</v>
      </c>
      <c r="C16" s="17" t="str">
        <f t="shared" si="0"/>
        <v>Wednesday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44693</v>
      </c>
      <c r="C17" s="17" t="str">
        <f t="shared" si="0"/>
        <v>Thursday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44694</v>
      </c>
      <c r="C18" s="17" t="str">
        <f t="shared" si="0"/>
        <v>Friday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44695</v>
      </c>
      <c r="C19" s="17" t="str">
        <f t="shared" si="0"/>
        <v>Saturday</v>
      </c>
      <c r="D19" s="15">
        <v>0.375</v>
      </c>
      <c r="E19" s="15">
        <v>0.75</v>
      </c>
      <c r="F19" s="5">
        <f t="shared" si="1"/>
        <v>0</v>
      </c>
      <c r="G19" s="5">
        <f t="shared" si="2"/>
        <v>9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44696</v>
      </c>
      <c r="C20" s="17" t="str">
        <f t="shared" si="0"/>
        <v>Sunday</v>
      </c>
      <c r="D20" s="15">
        <v>0.375</v>
      </c>
      <c r="E20" s="15">
        <v>0.75</v>
      </c>
      <c r="F20" s="5">
        <f t="shared" si="1"/>
        <v>0</v>
      </c>
      <c r="G20" s="5">
        <f t="shared" si="2"/>
        <v>9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44697</v>
      </c>
      <c r="C21" s="17" t="str">
        <f t="shared" si="0"/>
        <v>Monday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44698</v>
      </c>
      <c r="C22" s="17" t="str">
        <f t="shared" si="0"/>
        <v>Tuesday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44699</v>
      </c>
      <c r="C23" s="17" t="str">
        <f t="shared" si="0"/>
        <v>Wednesday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44700</v>
      </c>
      <c r="C24" s="17" t="str">
        <f t="shared" si="0"/>
        <v>Thursday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44701</v>
      </c>
      <c r="C25" s="17" t="str">
        <f t="shared" si="0"/>
        <v>Friday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44702</v>
      </c>
      <c r="C26" s="17" t="str">
        <f t="shared" si="0"/>
        <v>Saturday</v>
      </c>
      <c r="D26" s="15">
        <v>0.375</v>
      </c>
      <c r="E26" s="15">
        <v>0.75</v>
      </c>
      <c r="F26" s="5">
        <f t="shared" si="1"/>
        <v>0</v>
      </c>
      <c r="G26" s="5">
        <f t="shared" si="2"/>
        <v>9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44703</v>
      </c>
      <c r="C27" s="17" t="str">
        <f t="shared" si="0"/>
        <v>Sunday</v>
      </c>
      <c r="D27" s="15">
        <v>0.375</v>
      </c>
      <c r="E27" s="15">
        <v>0.75</v>
      </c>
      <c r="F27" s="5">
        <f t="shared" si="1"/>
        <v>0</v>
      </c>
      <c r="G27" s="5">
        <f t="shared" si="2"/>
        <v>9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44704</v>
      </c>
      <c r="C28" s="17" t="str">
        <f t="shared" si="0"/>
        <v>Monday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44705</v>
      </c>
      <c r="C29" s="17" t="str">
        <f t="shared" si="0"/>
        <v>Tuesday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44706</v>
      </c>
      <c r="C30" s="17" t="str">
        <f t="shared" si="0"/>
        <v>Wednesday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44707</v>
      </c>
      <c r="C31" s="17" t="str">
        <f t="shared" si="0"/>
        <v>Thursday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44708</v>
      </c>
      <c r="C32" s="17" t="str">
        <f t="shared" si="0"/>
        <v>Friday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44709</v>
      </c>
      <c r="C33" s="17" t="str">
        <f t="shared" si="0"/>
        <v>Saturday</v>
      </c>
      <c r="D33" s="15">
        <v>0.375</v>
      </c>
      <c r="E33" s="15">
        <v>0.75</v>
      </c>
      <c r="F33" s="5">
        <f t="shared" si="1"/>
        <v>0</v>
      </c>
      <c r="G33" s="5">
        <f t="shared" si="2"/>
        <v>9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44710</v>
      </c>
      <c r="C34" s="17" t="str">
        <f t="shared" si="0"/>
        <v>Sunday</v>
      </c>
      <c r="D34" s="15">
        <v>0.375</v>
      </c>
      <c r="E34" s="15">
        <v>0.75</v>
      </c>
      <c r="F34" s="5">
        <f t="shared" si="1"/>
        <v>0</v>
      </c>
      <c r="G34" s="5">
        <f t="shared" si="2"/>
        <v>9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44711</v>
      </c>
      <c r="C35" s="17" t="str">
        <f t="shared" si="0"/>
        <v>Monday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44712</v>
      </c>
      <c r="C36" s="17" t="str">
        <f t="shared" si="0"/>
        <v>Tuesday</v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7 C9:C36">
    <cfRule type="cellIs" dxfId="37" priority="5" operator="equal">
      <formula>"Sunday"</formula>
    </cfRule>
    <cfRule type="cellIs" dxfId="36" priority="6" operator="equal">
      <formula>"Saturday"</formula>
    </cfRule>
  </conditionalFormatting>
  <conditionalFormatting sqref="C8">
    <cfRule type="cellIs" dxfId="35" priority="3" operator="equal">
      <formula>"Sunday"</formula>
    </cfRule>
    <cfRule type="cellIs" dxfId="34" priority="4" operator="equal">
      <formula>"Saturday"</formula>
    </cfRule>
  </conditionalFormatting>
  <conditionalFormatting sqref="G2">
    <cfRule type="cellIs" dxfId="33" priority="1" operator="equal">
      <formula>"Sunday"</formula>
    </cfRule>
    <cfRule type="cellIs" dxfId="32" priority="2" operator="equal">
      <formula>"Saturday"</formula>
    </cfRule>
  </conditionalFormatting>
  <dataValidations count="1">
    <dataValidation type="list" allowBlank="1" showInputMessage="1" showErrorMessage="1" sqref="K6:K36" xr:uid="{00000000-0002-0000-06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6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6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6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6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6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X36"/>
  <sheetViews>
    <sheetView showGridLines="0" showRowColHeaders="0" workbookViewId="0">
      <selection activeCell="AA10" sqref="AA10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44713</v>
      </c>
      <c r="C6" s="17" t="str">
        <f>TEXT(B6,"dddd")</f>
        <v>Wednesday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44714</v>
      </c>
      <c r="C7" s="17" t="str">
        <f t="shared" ref="C7:C36" si="0">TEXT(B7,"dddd")</f>
        <v>Thursday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44715</v>
      </c>
      <c r="C8" s="17" t="str">
        <f t="shared" si="0"/>
        <v>Friday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44716</v>
      </c>
      <c r="C9" s="17" t="str">
        <f t="shared" si="0"/>
        <v>Saturday</v>
      </c>
      <c r="D9" s="15">
        <v>0.375</v>
      </c>
      <c r="E9" s="15">
        <v>0.75</v>
      </c>
      <c r="F9" s="5">
        <f t="shared" si="1"/>
        <v>0</v>
      </c>
      <c r="G9" s="5">
        <f t="shared" si="2"/>
        <v>9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44717</v>
      </c>
      <c r="C10" s="17" t="str">
        <f t="shared" si="0"/>
        <v>Sunday</v>
      </c>
      <c r="D10" s="15">
        <v>0.375</v>
      </c>
      <c r="E10" s="15">
        <v>0.75</v>
      </c>
      <c r="F10" s="5">
        <f t="shared" si="1"/>
        <v>0</v>
      </c>
      <c r="G10" s="5">
        <f t="shared" si="2"/>
        <v>9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44718</v>
      </c>
      <c r="C11" s="17" t="str">
        <f t="shared" si="0"/>
        <v>Monday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44719</v>
      </c>
      <c r="C12" s="17" t="str">
        <f t="shared" si="0"/>
        <v>Tuesday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44720</v>
      </c>
      <c r="C13" s="17" t="str">
        <f t="shared" si="0"/>
        <v>Wednesday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44721</v>
      </c>
      <c r="C14" s="17" t="str">
        <f t="shared" si="0"/>
        <v>Thursday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44722</v>
      </c>
      <c r="C15" s="17" t="str">
        <f t="shared" si="0"/>
        <v>Friday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44723</v>
      </c>
      <c r="C16" s="17" t="str">
        <f t="shared" si="0"/>
        <v>Saturday</v>
      </c>
      <c r="D16" s="15">
        <v>0.375</v>
      </c>
      <c r="E16" s="15">
        <v>0.75</v>
      </c>
      <c r="F16" s="5">
        <f t="shared" si="1"/>
        <v>0</v>
      </c>
      <c r="G16" s="5">
        <f t="shared" si="2"/>
        <v>9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44724</v>
      </c>
      <c r="C17" s="17" t="str">
        <f t="shared" si="0"/>
        <v>Sunday</v>
      </c>
      <c r="D17" s="15">
        <v>0.375</v>
      </c>
      <c r="E17" s="15">
        <v>0.75</v>
      </c>
      <c r="F17" s="5">
        <f t="shared" si="1"/>
        <v>0</v>
      </c>
      <c r="G17" s="5">
        <f t="shared" si="2"/>
        <v>9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44725</v>
      </c>
      <c r="C18" s="17" t="str">
        <f t="shared" si="0"/>
        <v>Monday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44726</v>
      </c>
      <c r="C19" s="17" t="str">
        <f t="shared" si="0"/>
        <v>Tuesday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44727</v>
      </c>
      <c r="C20" s="17" t="str">
        <f t="shared" si="0"/>
        <v>Wednesday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44728</v>
      </c>
      <c r="C21" s="17" t="str">
        <f t="shared" si="0"/>
        <v>Thursday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44729</v>
      </c>
      <c r="C22" s="17" t="str">
        <f t="shared" si="0"/>
        <v>Friday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44730</v>
      </c>
      <c r="C23" s="17" t="str">
        <f t="shared" si="0"/>
        <v>Saturday</v>
      </c>
      <c r="D23" s="15">
        <v>0.375</v>
      </c>
      <c r="E23" s="15">
        <v>0.75</v>
      </c>
      <c r="F23" s="5">
        <f t="shared" si="1"/>
        <v>0</v>
      </c>
      <c r="G23" s="5">
        <f t="shared" si="2"/>
        <v>9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44731</v>
      </c>
      <c r="C24" s="17" t="str">
        <f t="shared" si="0"/>
        <v>Sunday</v>
      </c>
      <c r="D24" s="15">
        <v>0.375</v>
      </c>
      <c r="E24" s="15">
        <v>0.75</v>
      </c>
      <c r="F24" s="5">
        <f t="shared" si="1"/>
        <v>0</v>
      </c>
      <c r="G24" s="5">
        <f t="shared" si="2"/>
        <v>9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44732</v>
      </c>
      <c r="C25" s="17" t="str">
        <f t="shared" si="0"/>
        <v>Monday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44733</v>
      </c>
      <c r="C26" s="17" t="str">
        <f t="shared" si="0"/>
        <v>Tuesday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44734</v>
      </c>
      <c r="C27" s="17" t="str">
        <f t="shared" si="0"/>
        <v>Wednesday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44735</v>
      </c>
      <c r="C28" s="17" t="str">
        <f t="shared" si="0"/>
        <v>Thursday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44736</v>
      </c>
      <c r="C29" s="17" t="str">
        <f t="shared" si="0"/>
        <v>Friday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44737</v>
      </c>
      <c r="C30" s="17" t="str">
        <f t="shared" si="0"/>
        <v>Saturday</v>
      </c>
      <c r="D30" s="15">
        <v>0.375</v>
      </c>
      <c r="E30" s="15">
        <v>0.75</v>
      </c>
      <c r="F30" s="5">
        <f t="shared" si="1"/>
        <v>0</v>
      </c>
      <c r="G30" s="5">
        <f t="shared" si="2"/>
        <v>9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44738</v>
      </c>
      <c r="C31" s="17" t="str">
        <f t="shared" si="0"/>
        <v>Sunday</v>
      </c>
      <c r="D31" s="15">
        <v>0.375</v>
      </c>
      <c r="E31" s="15">
        <v>0.75</v>
      </c>
      <c r="F31" s="5">
        <f t="shared" si="1"/>
        <v>0</v>
      </c>
      <c r="G31" s="5">
        <f t="shared" si="2"/>
        <v>9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44739</v>
      </c>
      <c r="C32" s="17" t="str">
        <f t="shared" si="0"/>
        <v>Monday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44740</v>
      </c>
      <c r="C33" s="17" t="str">
        <f t="shared" si="0"/>
        <v>Tuesday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44741</v>
      </c>
      <c r="C34" s="17" t="str">
        <f t="shared" si="0"/>
        <v>Wednesday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44742</v>
      </c>
      <c r="C35" s="17" t="str">
        <f t="shared" si="0"/>
        <v>Thursday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 t="str">
        <f t="shared" si="4"/>
        <v/>
      </c>
      <c r="C36" s="17" t="str">
        <f t="shared" si="0"/>
        <v/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31" priority="3" operator="equal">
      <formula>"Sunday"</formula>
    </cfRule>
    <cfRule type="cellIs" dxfId="30" priority="4" operator="equal">
      <formula>"Saturday"</formula>
    </cfRule>
  </conditionalFormatting>
  <conditionalFormatting sqref="G2">
    <cfRule type="cellIs" dxfId="29" priority="1" operator="equal">
      <formula>"Sunday"</formula>
    </cfRule>
    <cfRule type="cellIs" dxfId="28" priority="2" operator="equal">
      <formula>"Saturday"</formula>
    </cfRule>
  </conditionalFormatting>
  <dataValidations count="1">
    <dataValidation type="list" allowBlank="1" showInputMessage="1" showErrorMessage="1" sqref="K6:K36" xr:uid="{00000000-0002-0000-07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7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7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7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7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7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X36"/>
  <sheetViews>
    <sheetView showGridLines="0" showRowColHeaders="0" workbookViewId="0">
      <selection activeCell="B4" sqref="B4:X5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44743</v>
      </c>
      <c r="C6" s="17" t="str">
        <f>TEXT(B6,"dddd")</f>
        <v>Friday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44744</v>
      </c>
      <c r="C7" s="17" t="str">
        <f t="shared" ref="C7:C36" si="0">TEXT(B7,"dddd")</f>
        <v>Saturday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0</v>
      </c>
      <c r="G7" s="5">
        <f t="shared" ref="G7:G36" si="2">IF((OR(C7="Sunday",C7="Saturday")),(IFERROR(((E7-D7)*24),"")),(IF((IFERROR(((E7-D7)*24),""))&gt;9,((IFERROR(((E7-D7)*24),""))-9),0)))</f>
        <v>9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44745</v>
      </c>
      <c r="C8" s="17" t="str">
        <f t="shared" si="0"/>
        <v>Sunday</v>
      </c>
      <c r="D8" s="15">
        <v>0.375</v>
      </c>
      <c r="E8" s="15">
        <v>0.75</v>
      </c>
      <c r="F8" s="5">
        <f t="shared" si="1"/>
        <v>0</v>
      </c>
      <c r="G8" s="5">
        <f t="shared" si="2"/>
        <v>9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44746</v>
      </c>
      <c r="C9" s="17" t="str">
        <f t="shared" si="0"/>
        <v>Monday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44747</v>
      </c>
      <c r="C10" s="17" t="str">
        <f t="shared" si="0"/>
        <v>Tuesday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44748</v>
      </c>
      <c r="C11" s="17" t="str">
        <f t="shared" si="0"/>
        <v>Wednesday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44749</v>
      </c>
      <c r="C12" s="17" t="str">
        <f t="shared" si="0"/>
        <v>Thursday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44750</v>
      </c>
      <c r="C13" s="17" t="str">
        <f t="shared" si="0"/>
        <v>Friday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44751</v>
      </c>
      <c r="C14" s="17" t="str">
        <f t="shared" si="0"/>
        <v>Saturday</v>
      </c>
      <c r="D14" s="15">
        <v>0.375</v>
      </c>
      <c r="E14" s="15">
        <v>0.75</v>
      </c>
      <c r="F14" s="5">
        <f t="shared" si="1"/>
        <v>0</v>
      </c>
      <c r="G14" s="5">
        <f t="shared" si="2"/>
        <v>9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44752</v>
      </c>
      <c r="C15" s="17" t="str">
        <f t="shared" si="0"/>
        <v>Sunday</v>
      </c>
      <c r="D15" s="15">
        <v>0.375</v>
      </c>
      <c r="E15" s="15">
        <v>0.75</v>
      </c>
      <c r="F15" s="5">
        <f t="shared" si="1"/>
        <v>0</v>
      </c>
      <c r="G15" s="5">
        <f t="shared" si="2"/>
        <v>9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44753</v>
      </c>
      <c r="C16" s="17" t="str">
        <f t="shared" si="0"/>
        <v>Monday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44754</v>
      </c>
      <c r="C17" s="17" t="str">
        <f t="shared" si="0"/>
        <v>Tuesday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44755</v>
      </c>
      <c r="C18" s="17" t="str">
        <f t="shared" si="0"/>
        <v>Wednesday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44756</v>
      </c>
      <c r="C19" s="17" t="str">
        <f t="shared" si="0"/>
        <v>Thursday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44757</v>
      </c>
      <c r="C20" s="17" t="str">
        <f t="shared" si="0"/>
        <v>Friday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44758</v>
      </c>
      <c r="C21" s="17" t="str">
        <f t="shared" si="0"/>
        <v>Saturday</v>
      </c>
      <c r="D21" s="15">
        <v>0.375</v>
      </c>
      <c r="E21" s="15">
        <v>0.75</v>
      </c>
      <c r="F21" s="5">
        <f t="shared" si="1"/>
        <v>0</v>
      </c>
      <c r="G21" s="5">
        <f t="shared" si="2"/>
        <v>9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44759</v>
      </c>
      <c r="C22" s="17" t="str">
        <f t="shared" si="0"/>
        <v>Sunday</v>
      </c>
      <c r="D22" s="15">
        <v>0.375</v>
      </c>
      <c r="E22" s="15">
        <v>0.75</v>
      </c>
      <c r="F22" s="5">
        <f t="shared" si="1"/>
        <v>0</v>
      </c>
      <c r="G22" s="5">
        <f t="shared" si="2"/>
        <v>9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44760</v>
      </c>
      <c r="C23" s="17" t="str">
        <f t="shared" si="0"/>
        <v>Monday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44761</v>
      </c>
      <c r="C24" s="17" t="str">
        <f t="shared" si="0"/>
        <v>Tuesday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44762</v>
      </c>
      <c r="C25" s="17" t="str">
        <f t="shared" si="0"/>
        <v>Wednesday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44763</v>
      </c>
      <c r="C26" s="17" t="str">
        <f t="shared" si="0"/>
        <v>Thursday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44764</v>
      </c>
      <c r="C27" s="17" t="str">
        <f t="shared" si="0"/>
        <v>Friday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44765</v>
      </c>
      <c r="C28" s="17" t="str">
        <f t="shared" si="0"/>
        <v>Saturday</v>
      </c>
      <c r="D28" s="15">
        <v>0.375</v>
      </c>
      <c r="E28" s="15">
        <v>0.75</v>
      </c>
      <c r="F28" s="5">
        <f t="shared" si="1"/>
        <v>0</v>
      </c>
      <c r="G28" s="5">
        <f t="shared" si="2"/>
        <v>9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44766</v>
      </c>
      <c r="C29" s="17" t="str">
        <f t="shared" si="0"/>
        <v>Sunday</v>
      </c>
      <c r="D29" s="15">
        <v>0.375</v>
      </c>
      <c r="E29" s="15">
        <v>0.75</v>
      </c>
      <c r="F29" s="5">
        <f t="shared" si="1"/>
        <v>0</v>
      </c>
      <c r="G29" s="5">
        <f t="shared" si="2"/>
        <v>9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44767</v>
      </c>
      <c r="C30" s="17" t="str">
        <f t="shared" si="0"/>
        <v>Monday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44768</v>
      </c>
      <c r="C31" s="17" t="str">
        <f t="shared" si="0"/>
        <v>Tuesday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44769</v>
      </c>
      <c r="C32" s="17" t="str">
        <f t="shared" si="0"/>
        <v>Wednesday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44770</v>
      </c>
      <c r="C33" s="17" t="str">
        <f t="shared" si="0"/>
        <v>Thursday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44771</v>
      </c>
      <c r="C34" s="17" t="str">
        <f t="shared" si="0"/>
        <v>Friday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44772</v>
      </c>
      <c r="C35" s="17" t="str">
        <f t="shared" si="0"/>
        <v>Saturday</v>
      </c>
      <c r="D35" s="15">
        <v>0.375</v>
      </c>
      <c r="E35" s="15">
        <v>0.75</v>
      </c>
      <c r="F35" s="5">
        <f t="shared" si="1"/>
        <v>0</v>
      </c>
      <c r="G35" s="5">
        <f t="shared" si="2"/>
        <v>9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44773</v>
      </c>
      <c r="C36" s="17" t="str">
        <f t="shared" si="0"/>
        <v>Sunday</v>
      </c>
      <c r="D36" s="15">
        <v>0.375</v>
      </c>
      <c r="E36" s="15">
        <v>0.75</v>
      </c>
      <c r="F36" s="5">
        <f t="shared" si="1"/>
        <v>0</v>
      </c>
      <c r="G36" s="5">
        <f t="shared" si="2"/>
        <v>9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27" priority="3" operator="equal">
      <formula>"Sunday"</formula>
    </cfRule>
    <cfRule type="cellIs" dxfId="26" priority="4" operator="equal">
      <formula>"Saturday"</formula>
    </cfRule>
  </conditionalFormatting>
  <conditionalFormatting sqref="G2">
    <cfRule type="cellIs" dxfId="25" priority="1" operator="equal">
      <formula>"Sunday"</formula>
    </cfRule>
    <cfRule type="cellIs" dxfId="24" priority="2" operator="equal">
      <formula>"Saturday"</formula>
    </cfRule>
  </conditionalFormatting>
  <dataValidations count="1">
    <dataValidation type="list" allowBlank="1" showInputMessage="1" showErrorMessage="1" sqref="K6:K36" xr:uid="{00000000-0002-0000-08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8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8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8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8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X36"/>
  <sheetViews>
    <sheetView showGridLines="0" showRowColHeaders="0" workbookViewId="0">
      <selection activeCell="B4" sqref="B4:X5"/>
    </sheetView>
  </sheetViews>
  <sheetFormatPr defaultColWidth="8.7109375" defaultRowHeight="15"/>
  <cols>
    <col min="1" max="1" width="1.140625" style="3" customWidth="1"/>
    <col min="2" max="2" width="14.5703125" style="2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44774</v>
      </c>
      <c r="C6" s="17" t="str">
        <f>TEXT(B6,"dddd")</f>
        <v>Monday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44775</v>
      </c>
      <c r="C7" s="17" t="str">
        <f t="shared" ref="C7:C36" si="0">TEXT(B7,"dddd")</f>
        <v>Tuesday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44776</v>
      </c>
      <c r="C8" s="17" t="str">
        <f t="shared" si="0"/>
        <v>Wednesday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44777</v>
      </c>
      <c r="C9" s="17" t="str">
        <f t="shared" si="0"/>
        <v>Thursday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44778</v>
      </c>
      <c r="C10" s="17" t="str">
        <f t="shared" si="0"/>
        <v>Friday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44779</v>
      </c>
      <c r="C11" s="17" t="str">
        <f t="shared" si="0"/>
        <v>Saturday</v>
      </c>
      <c r="D11" s="15">
        <v>0.375</v>
      </c>
      <c r="E11" s="15">
        <v>0.75</v>
      </c>
      <c r="F11" s="5">
        <f t="shared" si="1"/>
        <v>0</v>
      </c>
      <c r="G11" s="5">
        <f t="shared" si="2"/>
        <v>9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44780</v>
      </c>
      <c r="C12" s="17" t="str">
        <f t="shared" si="0"/>
        <v>Sunday</v>
      </c>
      <c r="D12" s="15">
        <v>0.375</v>
      </c>
      <c r="E12" s="15">
        <v>0.75</v>
      </c>
      <c r="F12" s="5">
        <f t="shared" si="1"/>
        <v>0</v>
      </c>
      <c r="G12" s="5">
        <f t="shared" si="2"/>
        <v>9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44781</v>
      </c>
      <c r="C13" s="17" t="str">
        <f t="shared" si="0"/>
        <v>Monday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44782</v>
      </c>
      <c r="C14" s="18" t="str">
        <f t="shared" si="0"/>
        <v>Tuesday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44783</v>
      </c>
      <c r="C15" s="17" t="str">
        <f t="shared" si="0"/>
        <v>Wednesday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44784</v>
      </c>
      <c r="C16" s="17" t="str">
        <f t="shared" si="0"/>
        <v>Thursday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44785</v>
      </c>
      <c r="C17" s="17" t="str">
        <f t="shared" si="0"/>
        <v>Friday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44786</v>
      </c>
      <c r="C18" s="17" t="str">
        <f t="shared" si="0"/>
        <v>Saturday</v>
      </c>
      <c r="D18" s="15">
        <v>0.375</v>
      </c>
      <c r="E18" s="15">
        <v>0.75</v>
      </c>
      <c r="F18" s="5">
        <f t="shared" si="1"/>
        <v>0</v>
      </c>
      <c r="G18" s="5">
        <f t="shared" si="2"/>
        <v>9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44787</v>
      </c>
      <c r="C19" s="17" t="str">
        <f t="shared" si="0"/>
        <v>Sunday</v>
      </c>
      <c r="D19" s="15">
        <v>0.375</v>
      </c>
      <c r="E19" s="15">
        <v>0.75</v>
      </c>
      <c r="F19" s="5">
        <f t="shared" si="1"/>
        <v>0</v>
      </c>
      <c r="G19" s="5">
        <f t="shared" si="2"/>
        <v>9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44788</v>
      </c>
      <c r="C20" s="17" t="str">
        <f t="shared" si="0"/>
        <v>Monday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44789</v>
      </c>
      <c r="C21" s="17" t="str">
        <f t="shared" si="0"/>
        <v>Tuesday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44790</v>
      </c>
      <c r="C22" s="17" t="str">
        <f t="shared" si="0"/>
        <v>Wednesday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44791</v>
      </c>
      <c r="C23" s="17" t="str">
        <f t="shared" si="0"/>
        <v>Thursday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44792</v>
      </c>
      <c r="C24" s="17" t="str">
        <f t="shared" si="0"/>
        <v>Friday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44793</v>
      </c>
      <c r="C25" s="17" t="str">
        <f t="shared" si="0"/>
        <v>Saturday</v>
      </c>
      <c r="D25" s="15">
        <v>0.375</v>
      </c>
      <c r="E25" s="15">
        <v>0.75</v>
      </c>
      <c r="F25" s="5">
        <f t="shared" si="1"/>
        <v>0</v>
      </c>
      <c r="G25" s="5">
        <f t="shared" si="2"/>
        <v>9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44794</v>
      </c>
      <c r="C26" s="17" t="str">
        <f t="shared" si="0"/>
        <v>Sunday</v>
      </c>
      <c r="D26" s="15">
        <v>0.375</v>
      </c>
      <c r="E26" s="15">
        <v>0.75</v>
      </c>
      <c r="F26" s="5">
        <f t="shared" si="1"/>
        <v>0</v>
      </c>
      <c r="G26" s="5">
        <f t="shared" si="2"/>
        <v>9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44795</v>
      </c>
      <c r="C27" s="17" t="str">
        <f t="shared" si="0"/>
        <v>Monday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44796</v>
      </c>
      <c r="C28" s="17" t="str">
        <f t="shared" si="0"/>
        <v>Tuesday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44797</v>
      </c>
      <c r="C29" s="17" t="str">
        <f t="shared" si="0"/>
        <v>Wednesday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44798</v>
      </c>
      <c r="C30" s="17" t="str">
        <f t="shared" si="0"/>
        <v>Thursday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44799</v>
      </c>
      <c r="C31" s="17" t="str">
        <f t="shared" si="0"/>
        <v>Friday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44800</v>
      </c>
      <c r="C32" s="17" t="str">
        <f t="shared" si="0"/>
        <v>Saturday</v>
      </c>
      <c r="D32" s="15">
        <v>0.375</v>
      </c>
      <c r="E32" s="15">
        <v>0.75</v>
      </c>
      <c r="F32" s="5">
        <f t="shared" si="1"/>
        <v>0</v>
      </c>
      <c r="G32" s="5">
        <f t="shared" si="2"/>
        <v>9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44801</v>
      </c>
      <c r="C33" s="17" t="str">
        <f t="shared" si="0"/>
        <v>Sunday</v>
      </c>
      <c r="D33" s="15">
        <v>0.375</v>
      </c>
      <c r="E33" s="15">
        <v>0.75</v>
      </c>
      <c r="F33" s="5">
        <f t="shared" si="1"/>
        <v>0</v>
      </c>
      <c r="G33" s="5">
        <f t="shared" si="2"/>
        <v>9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44802</v>
      </c>
      <c r="C34" s="17" t="str">
        <f t="shared" si="0"/>
        <v>Monday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44803</v>
      </c>
      <c r="C35" s="17" t="str">
        <f t="shared" si="0"/>
        <v>Tuesday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44804</v>
      </c>
      <c r="C36" s="17" t="str">
        <f t="shared" si="0"/>
        <v>Wednesday</v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13 C15:C36">
    <cfRule type="cellIs" dxfId="23" priority="5" operator="equal">
      <formula>"Sunday"</formula>
    </cfRule>
    <cfRule type="cellIs" dxfId="22" priority="6" operator="equal">
      <formula>"Saturday"</formula>
    </cfRule>
  </conditionalFormatting>
  <conditionalFormatting sqref="C14">
    <cfRule type="cellIs" dxfId="21" priority="3" operator="equal">
      <formula>"Sunday"</formula>
    </cfRule>
    <cfRule type="cellIs" dxfId="20" priority="4" operator="equal">
      <formula>"Saturday"</formula>
    </cfRule>
  </conditionalFormatting>
  <conditionalFormatting sqref="G2">
    <cfRule type="cellIs" dxfId="19" priority="1" operator="equal">
      <formula>"Sunday"</formula>
    </cfRule>
    <cfRule type="cellIs" dxfId="18" priority="2" operator="equal">
      <formula>"Saturday"</formula>
    </cfRule>
  </conditionalFormatting>
  <dataValidations count="1">
    <dataValidation type="list" allowBlank="1" showInputMessage="1" showErrorMessage="1" sqref="K6:K36" xr:uid="{00000000-0002-0000-09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9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9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9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9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9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36"/>
  <sheetViews>
    <sheetView showGridLines="0" showRowColHeaders="0" workbookViewId="0">
      <selection activeCell="B4" sqref="B4:X5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44805</v>
      </c>
      <c r="C6" s="17" t="str">
        <f>TEXT(B6,"dddd")</f>
        <v>Thursday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44806</v>
      </c>
      <c r="C7" s="17" t="str">
        <f t="shared" ref="C7:C36" si="0">TEXT(B7,"dddd")</f>
        <v>Friday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44807</v>
      </c>
      <c r="C8" s="17" t="str">
        <f t="shared" si="0"/>
        <v>Saturday</v>
      </c>
      <c r="D8" s="15">
        <v>0.375</v>
      </c>
      <c r="E8" s="15">
        <v>0.75</v>
      </c>
      <c r="F8" s="5">
        <f t="shared" si="1"/>
        <v>0</v>
      </c>
      <c r="G8" s="5">
        <f t="shared" si="2"/>
        <v>9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44808</v>
      </c>
      <c r="C9" s="17" t="str">
        <f t="shared" si="0"/>
        <v>Sunday</v>
      </c>
      <c r="D9" s="15">
        <v>0.375</v>
      </c>
      <c r="E9" s="15">
        <v>0.75</v>
      </c>
      <c r="F9" s="5">
        <f t="shared" si="1"/>
        <v>0</v>
      </c>
      <c r="G9" s="5">
        <f t="shared" si="2"/>
        <v>9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44809</v>
      </c>
      <c r="C10" s="17" t="str">
        <f t="shared" si="0"/>
        <v>Monday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44810</v>
      </c>
      <c r="C11" s="17" t="str">
        <f t="shared" si="0"/>
        <v>Tuesday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44811</v>
      </c>
      <c r="C12" s="17" t="str">
        <f t="shared" si="0"/>
        <v>Wednesday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44812</v>
      </c>
      <c r="C13" s="17" t="str">
        <f t="shared" si="0"/>
        <v>Thursday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44813</v>
      </c>
      <c r="C14" s="17" t="str">
        <f t="shared" si="0"/>
        <v>Friday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44814</v>
      </c>
      <c r="C15" s="17" t="str">
        <f t="shared" si="0"/>
        <v>Saturday</v>
      </c>
      <c r="D15" s="15">
        <v>0.375</v>
      </c>
      <c r="E15" s="15">
        <v>0.75</v>
      </c>
      <c r="F15" s="5">
        <f t="shared" si="1"/>
        <v>0</v>
      </c>
      <c r="G15" s="5">
        <f t="shared" si="2"/>
        <v>9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44815</v>
      </c>
      <c r="C16" s="17" t="str">
        <f t="shared" si="0"/>
        <v>Sunday</v>
      </c>
      <c r="D16" s="15">
        <v>0.375</v>
      </c>
      <c r="E16" s="15">
        <v>0.75</v>
      </c>
      <c r="F16" s="5">
        <f t="shared" si="1"/>
        <v>0</v>
      </c>
      <c r="G16" s="5">
        <f t="shared" si="2"/>
        <v>9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44816</v>
      </c>
      <c r="C17" s="17" t="str">
        <f t="shared" si="0"/>
        <v>Monday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44817</v>
      </c>
      <c r="C18" s="17" t="str">
        <f t="shared" si="0"/>
        <v>Tuesday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44818</v>
      </c>
      <c r="C19" s="17" t="str">
        <f t="shared" si="0"/>
        <v>Wednesday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44819</v>
      </c>
      <c r="C20" s="17" t="str">
        <f t="shared" si="0"/>
        <v>Thursday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44820</v>
      </c>
      <c r="C21" s="17" t="str">
        <f t="shared" si="0"/>
        <v>Friday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44821</v>
      </c>
      <c r="C22" s="17" t="str">
        <f t="shared" si="0"/>
        <v>Saturday</v>
      </c>
      <c r="D22" s="15">
        <v>0.375</v>
      </c>
      <c r="E22" s="15">
        <v>0.75</v>
      </c>
      <c r="F22" s="5">
        <f t="shared" si="1"/>
        <v>0</v>
      </c>
      <c r="G22" s="5">
        <f t="shared" si="2"/>
        <v>9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44822</v>
      </c>
      <c r="C23" s="17" t="str">
        <f t="shared" si="0"/>
        <v>Sunday</v>
      </c>
      <c r="D23" s="15">
        <v>0.375</v>
      </c>
      <c r="E23" s="15">
        <v>0.75</v>
      </c>
      <c r="F23" s="5">
        <f t="shared" si="1"/>
        <v>0</v>
      </c>
      <c r="G23" s="5">
        <f t="shared" si="2"/>
        <v>9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44823</v>
      </c>
      <c r="C24" s="17" t="str">
        <f t="shared" si="0"/>
        <v>Monday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44824</v>
      </c>
      <c r="C25" s="17" t="str">
        <f t="shared" si="0"/>
        <v>Tuesday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44825</v>
      </c>
      <c r="C26" s="17" t="str">
        <f t="shared" si="0"/>
        <v>Wednesday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44826</v>
      </c>
      <c r="C27" s="17" t="str">
        <f t="shared" si="0"/>
        <v>Thursday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44827</v>
      </c>
      <c r="C28" s="17" t="str">
        <f t="shared" si="0"/>
        <v>Friday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44828</v>
      </c>
      <c r="C29" s="17" t="str">
        <f t="shared" si="0"/>
        <v>Saturday</v>
      </c>
      <c r="D29" s="15">
        <v>0.375</v>
      </c>
      <c r="E29" s="15">
        <v>0.75</v>
      </c>
      <c r="F29" s="5">
        <f t="shared" si="1"/>
        <v>0</v>
      </c>
      <c r="G29" s="5">
        <f t="shared" si="2"/>
        <v>9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44829</v>
      </c>
      <c r="C30" s="17" t="str">
        <f t="shared" si="0"/>
        <v>Sunday</v>
      </c>
      <c r="D30" s="15">
        <v>0.375</v>
      </c>
      <c r="E30" s="15">
        <v>0.75</v>
      </c>
      <c r="F30" s="5">
        <f t="shared" si="1"/>
        <v>0</v>
      </c>
      <c r="G30" s="5">
        <f t="shared" si="2"/>
        <v>9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44830</v>
      </c>
      <c r="C31" s="17" t="str">
        <f t="shared" si="0"/>
        <v>Monday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44831</v>
      </c>
      <c r="C32" s="17" t="str">
        <f t="shared" si="0"/>
        <v>Tuesday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44832</v>
      </c>
      <c r="C33" s="17" t="str">
        <f t="shared" si="0"/>
        <v>Wednesday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44833</v>
      </c>
      <c r="C34" s="17" t="str">
        <f t="shared" si="0"/>
        <v>Thursday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44834</v>
      </c>
      <c r="C35" s="17" t="str">
        <f t="shared" si="0"/>
        <v>Friday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 t="str">
        <f t="shared" si="4"/>
        <v/>
      </c>
      <c r="C36" s="17" t="str">
        <f t="shared" si="0"/>
        <v/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17" priority="3" operator="equal">
      <formula>"Sunday"</formula>
    </cfRule>
    <cfRule type="cellIs" dxfId="16" priority="4" operator="equal">
      <formula>"Saturday"</formula>
    </cfRule>
  </conditionalFormatting>
  <conditionalFormatting sqref="G2">
    <cfRule type="cellIs" dxfId="15" priority="1" operator="equal">
      <formula>"Sunday"</formula>
    </cfRule>
    <cfRule type="cellIs" dxfId="14" priority="2" operator="equal">
      <formula>"Saturday"</formula>
    </cfRule>
  </conditionalFormatting>
  <dataValidations count="1">
    <dataValidation type="list" allowBlank="1" showInputMessage="1" showErrorMessage="1" sqref="K6:K36" xr:uid="{00000000-0002-0000-0A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A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A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A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A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X36"/>
  <sheetViews>
    <sheetView showGridLines="0" showRowColHeaders="0" workbookViewId="0">
      <selection activeCell="L1" sqref="L1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44835</v>
      </c>
      <c r="C6" s="17" t="str">
        <f>TEXT(B6,"dddd")</f>
        <v>Saturday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0</v>
      </c>
      <c r="G6" s="5">
        <f>IF((OR(C6="Sunday",C6="Saturday")),(IFERROR(((E6-D6)*24),"")),(IF((IFERROR(((E6-D6)*24),""))&gt;9,((IFERROR(((E6-D6)*24),""))-9),0)))</f>
        <v>9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44836</v>
      </c>
      <c r="C7" s="17" t="str">
        <f t="shared" ref="C7:C36" si="0">TEXT(B7,"dddd")</f>
        <v>Sunday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0</v>
      </c>
      <c r="G7" s="5">
        <f t="shared" ref="G7:G36" si="2">IF((OR(C7="Sunday",C7="Saturday")),(IFERROR(((E7-D7)*24),"")),(IF((IFERROR(((E7-D7)*24),""))&gt;9,((IFERROR(((E7-D7)*24),""))-9),0)))</f>
        <v>9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44837</v>
      </c>
      <c r="C8" s="17" t="str">
        <f t="shared" si="0"/>
        <v>Monday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44838</v>
      </c>
      <c r="C9" s="17" t="str">
        <f t="shared" si="0"/>
        <v>Tuesday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44839</v>
      </c>
      <c r="C10" s="17" t="str">
        <f t="shared" si="0"/>
        <v>Wednesday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44840</v>
      </c>
      <c r="C11" s="17" t="str">
        <f t="shared" si="0"/>
        <v>Thursday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44841</v>
      </c>
      <c r="C12" s="17" t="str">
        <f t="shared" si="0"/>
        <v>Friday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44842</v>
      </c>
      <c r="C13" s="17" t="str">
        <f t="shared" si="0"/>
        <v>Saturday</v>
      </c>
      <c r="D13" s="15">
        <v>0.375</v>
      </c>
      <c r="E13" s="15">
        <v>0.75</v>
      </c>
      <c r="F13" s="5">
        <f t="shared" si="1"/>
        <v>0</v>
      </c>
      <c r="G13" s="5">
        <f t="shared" si="2"/>
        <v>9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44843</v>
      </c>
      <c r="C14" s="17" t="str">
        <f t="shared" si="0"/>
        <v>Sunday</v>
      </c>
      <c r="D14" s="15">
        <v>0.375</v>
      </c>
      <c r="E14" s="15">
        <v>0.75</v>
      </c>
      <c r="F14" s="5">
        <f t="shared" si="1"/>
        <v>0</v>
      </c>
      <c r="G14" s="5">
        <f t="shared" si="2"/>
        <v>9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44844</v>
      </c>
      <c r="C15" s="17" t="str">
        <f t="shared" si="0"/>
        <v>Monday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44845</v>
      </c>
      <c r="C16" s="17" t="str">
        <f t="shared" si="0"/>
        <v>Tuesday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44846</v>
      </c>
      <c r="C17" s="17" t="str">
        <f t="shared" si="0"/>
        <v>Wednesday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44847</v>
      </c>
      <c r="C18" s="17" t="str">
        <f t="shared" si="0"/>
        <v>Thursday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44848</v>
      </c>
      <c r="C19" s="17" t="str">
        <f t="shared" si="0"/>
        <v>Friday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44849</v>
      </c>
      <c r="C20" s="17" t="str">
        <f t="shared" si="0"/>
        <v>Saturday</v>
      </c>
      <c r="D20" s="15">
        <v>0.375</v>
      </c>
      <c r="E20" s="15">
        <v>0.75</v>
      </c>
      <c r="F20" s="5">
        <f t="shared" si="1"/>
        <v>0</v>
      </c>
      <c r="G20" s="5">
        <f t="shared" si="2"/>
        <v>9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44850</v>
      </c>
      <c r="C21" s="17" t="str">
        <f t="shared" si="0"/>
        <v>Sunday</v>
      </c>
      <c r="D21" s="15">
        <v>0.375</v>
      </c>
      <c r="E21" s="15">
        <v>0.75</v>
      </c>
      <c r="F21" s="5">
        <f t="shared" si="1"/>
        <v>0</v>
      </c>
      <c r="G21" s="5">
        <f t="shared" si="2"/>
        <v>9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44851</v>
      </c>
      <c r="C22" s="17" t="str">
        <f t="shared" si="0"/>
        <v>Monday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44852</v>
      </c>
      <c r="C23" s="17" t="str">
        <f t="shared" si="0"/>
        <v>Tuesday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44853</v>
      </c>
      <c r="C24" s="17" t="str">
        <f t="shared" si="0"/>
        <v>Wednesday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44854</v>
      </c>
      <c r="C25" s="17" t="str">
        <f t="shared" si="0"/>
        <v>Thursday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44855</v>
      </c>
      <c r="C26" s="17" t="str">
        <f t="shared" si="0"/>
        <v>Friday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44856</v>
      </c>
      <c r="C27" s="17" t="str">
        <f t="shared" si="0"/>
        <v>Saturday</v>
      </c>
      <c r="D27" s="15">
        <v>0.375</v>
      </c>
      <c r="E27" s="15">
        <v>0.75</v>
      </c>
      <c r="F27" s="5">
        <f t="shared" si="1"/>
        <v>0</v>
      </c>
      <c r="G27" s="5">
        <f t="shared" si="2"/>
        <v>9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44857</v>
      </c>
      <c r="C28" s="17" t="str">
        <f t="shared" si="0"/>
        <v>Sunday</v>
      </c>
      <c r="D28" s="15">
        <v>0.375</v>
      </c>
      <c r="E28" s="15">
        <v>0.75</v>
      </c>
      <c r="F28" s="5">
        <f t="shared" si="1"/>
        <v>0</v>
      </c>
      <c r="G28" s="5">
        <f t="shared" si="2"/>
        <v>9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44858</v>
      </c>
      <c r="C29" s="18" t="str">
        <f t="shared" si="0"/>
        <v>Monday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44859</v>
      </c>
      <c r="C30" s="17" t="str">
        <f t="shared" si="0"/>
        <v>Tuesday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44860</v>
      </c>
      <c r="C31" s="17" t="str">
        <f t="shared" si="0"/>
        <v>Wednesday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44861</v>
      </c>
      <c r="C32" s="17" t="str">
        <f t="shared" si="0"/>
        <v>Thursday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44862</v>
      </c>
      <c r="C33" s="17" t="str">
        <f t="shared" si="0"/>
        <v>Friday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44863</v>
      </c>
      <c r="C34" s="17" t="str">
        <f t="shared" si="0"/>
        <v>Saturday</v>
      </c>
      <c r="D34" s="15">
        <v>0.375</v>
      </c>
      <c r="E34" s="15">
        <v>0.75</v>
      </c>
      <c r="F34" s="5">
        <f t="shared" si="1"/>
        <v>0</v>
      </c>
      <c r="G34" s="5">
        <f t="shared" si="2"/>
        <v>9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44864</v>
      </c>
      <c r="C35" s="17" t="str">
        <f t="shared" si="0"/>
        <v>Sunday</v>
      </c>
      <c r="D35" s="15">
        <v>0.375</v>
      </c>
      <c r="E35" s="15">
        <v>0.75</v>
      </c>
      <c r="F35" s="5">
        <f t="shared" si="1"/>
        <v>0</v>
      </c>
      <c r="G35" s="5">
        <f t="shared" si="2"/>
        <v>9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44865</v>
      </c>
      <c r="C36" s="17" t="str">
        <f t="shared" si="0"/>
        <v>Monday</v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28 C30:C36">
    <cfRule type="cellIs" dxfId="13" priority="5" operator="equal">
      <formula>"Sunday"</formula>
    </cfRule>
    <cfRule type="cellIs" dxfId="12" priority="6" operator="equal">
      <formula>"Saturday"</formula>
    </cfRule>
  </conditionalFormatting>
  <conditionalFormatting sqref="C29">
    <cfRule type="cellIs" dxfId="11" priority="3" operator="equal">
      <formula>"Sunday"</formula>
    </cfRule>
    <cfRule type="cellIs" dxfId="10" priority="4" operator="equal">
      <formula>"Saturday"</formula>
    </cfRule>
  </conditionalFormatting>
  <conditionalFormatting sqref="G2">
    <cfRule type="cellIs" dxfId="9" priority="1" operator="equal">
      <formula>"Sunday"</formula>
    </cfRule>
    <cfRule type="cellIs" dxfId="8" priority="2" operator="equal">
      <formula>"Saturday"</formula>
    </cfRule>
  </conditionalFormatting>
  <dataValidations count="1">
    <dataValidation type="list" allowBlank="1" showInputMessage="1" showErrorMessage="1" sqref="K6:K36" xr:uid="{00000000-0002-0000-0B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B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B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B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B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B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X36"/>
  <sheetViews>
    <sheetView showGridLines="0" showRowColHeaders="0" workbookViewId="0">
      <selection activeCell="I3" sqref="I3"/>
    </sheetView>
  </sheetViews>
  <sheetFormatPr defaultColWidth="8.7109375" defaultRowHeight="15"/>
  <cols>
    <col min="1" max="1" width="1.140625" style="3" customWidth="1"/>
    <col min="2" max="2" width="14" style="2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44866</v>
      </c>
      <c r="C6" s="17" t="str">
        <f>TEXT(B6,"dddd")</f>
        <v>Tuesday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/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44867</v>
      </c>
      <c r="C7" s="17" t="str">
        <f t="shared" ref="C7:C36" si="0">TEXT(B7,"dddd")</f>
        <v>Wednesday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44868</v>
      </c>
      <c r="C8" s="17" t="str">
        <f t="shared" si="0"/>
        <v>Thursday</v>
      </c>
      <c r="D8" s="15">
        <v>0.375</v>
      </c>
      <c r="E8" s="15">
        <v>0.75</v>
      </c>
      <c r="F8" s="5">
        <f t="shared" si="1"/>
        <v>9</v>
      </c>
      <c r="G8" s="5">
        <f t="shared" si="2"/>
        <v>0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44869</v>
      </c>
      <c r="C9" s="17" t="str">
        <f t="shared" si="0"/>
        <v>Friday</v>
      </c>
      <c r="D9" s="15">
        <v>0.375</v>
      </c>
      <c r="E9" s="15">
        <v>0.75</v>
      </c>
      <c r="F9" s="5">
        <f t="shared" si="1"/>
        <v>9</v>
      </c>
      <c r="G9" s="5">
        <f t="shared" si="2"/>
        <v>0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44870</v>
      </c>
      <c r="C10" s="17" t="str">
        <f t="shared" si="0"/>
        <v>Saturday</v>
      </c>
      <c r="D10" s="15">
        <v>0.375</v>
      </c>
      <c r="E10" s="15">
        <v>0.75</v>
      </c>
      <c r="F10" s="5">
        <f t="shared" si="1"/>
        <v>0</v>
      </c>
      <c r="G10" s="5">
        <f t="shared" si="2"/>
        <v>9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44871</v>
      </c>
      <c r="C11" s="17" t="str">
        <f t="shared" si="0"/>
        <v>Sunday</v>
      </c>
      <c r="D11" s="15">
        <v>0.375</v>
      </c>
      <c r="E11" s="15">
        <v>0.75</v>
      </c>
      <c r="F11" s="5">
        <f t="shared" si="1"/>
        <v>0</v>
      </c>
      <c r="G11" s="5">
        <f t="shared" si="2"/>
        <v>9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44872</v>
      </c>
      <c r="C12" s="17" t="str">
        <f t="shared" si="0"/>
        <v>Monday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44873</v>
      </c>
      <c r="C13" s="17" t="str">
        <f t="shared" si="0"/>
        <v>Tuesday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44874</v>
      </c>
      <c r="C14" s="17" t="str">
        <f t="shared" si="0"/>
        <v>Wednesday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44875</v>
      </c>
      <c r="C15" s="17" t="str">
        <f t="shared" si="0"/>
        <v>Thursday</v>
      </c>
      <c r="D15" s="15">
        <v>0.375</v>
      </c>
      <c r="E15" s="15">
        <v>0.75</v>
      </c>
      <c r="F15" s="5">
        <f t="shared" si="1"/>
        <v>9</v>
      </c>
      <c r="G15" s="5">
        <f t="shared" si="2"/>
        <v>0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44876</v>
      </c>
      <c r="C16" s="17" t="str">
        <f t="shared" si="0"/>
        <v>Friday</v>
      </c>
      <c r="D16" s="15">
        <v>0.375</v>
      </c>
      <c r="E16" s="15">
        <v>0.75</v>
      </c>
      <c r="F16" s="5">
        <f t="shared" si="1"/>
        <v>9</v>
      </c>
      <c r="G16" s="5">
        <f t="shared" si="2"/>
        <v>0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44877</v>
      </c>
      <c r="C17" s="17" t="str">
        <f t="shared" si="0"/>
        <v>Saturday</v>
      </c>
      <c r="D17" s="15">
        <v>0.375</v>
      </c>
      <c r="E17" s="15">
        <v>0.75</v>
      </c>
      <c r="F17" s="5">
        <f t="shared" si="1"/>
        <v>0</v>
      </c>
      <c r="G17" s="5">
        <f t="shared" si="2"/>
        <v>9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44878</v>
      </c>
      <c r="C18" s="17" t="str">
        <f t="shared" si="0"/>
        <v>Sunday</v>
      </c>
      <c r="D18" s="15">
        <v>0.375</v>
      </c>
      <c r="E18" s="15">
        <v>0.75</v>
      </c>
      <c r="F18" s="5">
        <f t="shared" si="1"/>
        <v>0</v>
      </c>
      <c r="G18" s="5">
        <f t="shared" si="2"/>
        <v>9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44879</v>
      </c>
      <c r="C19" s="17" t="str">
        <f t="shared" si="0"/>
        <v>Monday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44880</v>
      </c>
      <c r="C20" s="17" t="str">
        <f t="shared" si="0"/>
        <v>Tuesday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44881</v>
      </c>
      <c r="C21" s="17" t="str">
        <f t="shared" si="0"/>
        <v>Wednesday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44882</v>
      </c>
      <c r="C22" s="17" t="str">
        <f t="shared" si="0"/>
        <v>Thursday</v>
      </c>
      <c r="D22" s="15">
        <v>0.375</v>
      </c>
      <c r="E22" s="15">
        <v>0.75</v>
      </c>
      <c r="F22" s="5">
        <f t="shared" si="1"/>
        <v>9</v>
      </c>
      <c r="G22" s="5">
        <f t="shared" si="2"/>
        <v>0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44883</v>
      </c>
      <c r="C23" s="17" t="str">
        <f t="shared" si="0"/>
        <v>Friday</v>
      </c>
      <c r="D23" s="15">
        <v>0.375</v>
      </c>
      <c r="E23" s="15">
        <v>0.75</v>
      </c>
      <c r="F23" s="5">
        <f t="shared" si="1"/>
        <v>9</v>
      </c>
      <c r="G23" s="5">
        <f t="shared" si="2"/>
        <v>0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44884</v>
      </c>
      <c r="C24" s="17" t="str">
        <f t="shared" si="0"/>
        <v>Saturday</v>
      </c>
      <c r="D24" s="15">
        <v>0.375</v>
      </c>
      <c r="E24" s="15">
        <v>0.75</v>
      </c>
      <c r="F24" s="5">
        <f t="shared" si="1"/>
        <v>0</v>
      </c>
      <c r="G24" s="5">
        <f t="shared" si="2"/>
        <v>9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44885</v>
      </c>
      <c r="C25" s="17" t="str">
        <f t="shared" si="0"/>
        <v>Sunday</v>
      </c>
      <c r="D25" s="15">
        <v>0.375</v>
      </c>
      <c r="E25" s="15">
        <v>0.75</v>
      </c>
      <c r="F25" s="5">
        <f t="shared" si="1"/>
        <v>0</v>
      </c>
      <c r="G25" s="5">
        <f t="shared" si="2"/>
        <v>9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44886</v>
      </c>
      <c r="C26" s="17" t="str">
        <f t="shared" si="0"/>
        <v>Monday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44887</v>
      </c>
      <c r="C27" s="17" t="str">
        <f t="shared" si="0"/>
        <v>Tuesday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44888</v>
      </c>
      <c r="C28" s="17" t="str">
        <f t="shared" si="0"/>
        <v>Wednesday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44889</v>
      </c>
      <c r="C29" s="17" t="str">
        <f t="shared" si="0"/>
        <v>Thursday</v>
      </c>
      <c r="D29" s="15">
        <v>0.375</v>
      </c>
      <c r="E29" s="15">
        <v>0.75</v>
      </c>
      <c r="F29" s="5">
        <f t="shared" si="1"/>
        <v>9</v>
      </c>
      <c r="G29" s="5">
        <f t="shared" si="2"/>
        <v>0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44890</v>
      </c>
      <c r="C30" s="17" t="str">
        <f t="shared" si="0"/>
        <v>Friday</v>
      </c>
      <c r="D30" s="15">
        <v>0.375</v>
      </c>
      <c r="E30" s="15">
        <v>0.75</v>
      </c>
      <c r="F30" s="5">
        <f t="shared" si="1"/>
        <v>9</v>
      </c>
      <c r="G30" s="5">
        <f t="shared" si="2"/>
        <v>0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44891</v>
      </c>
      <c r="C31" s="17" t="str">
        <f t="shared" si="0"/>
        <v>Saturday</v>
      </c>
      <c r="D31" s="15">
        <v>0.375</v>
      </c>
      <c r="E31" s="15">
        <v>0.75</v>
      </c>
      <c r="F31" s="5">
        <f t="shared" si="1"/>
        <v>0</v>
      </c>
      <c r="G31" s="5">
        <f t="shared" si="2"/>
        <v>9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44892</v>
      </c>
      <c r="C32" s="17" t="str">
        <f t="shared" si="0"/>
        <v>Sunday</v>
      </c>
      <c r="D32" s="15">
        <v>0.375</v>
      </c>
      <c r="E32" s="15">
        <v>0.75</v>
      </c>
      <c r="F32" s="5">
        <f t="shared" si="1"/>
        <v>0</v>
      </c>
      <c r="G32" s="5">
        <f t="shared" si="2"/>
        <v>9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44893</v>
      </c>
      <c r="C33" s="17" t="str">
        <f t="shared" si="0"/>
        <v>Monday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44894</v>
      </c>
      <c r="C34" s="17" t="str">
        <f t="shared" si="0"/>
        <v>Tuesday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44895</v>
      </c>
      <c r="C35" s="17" t="str">
        <f t="shared" si="0"/>
        <v>Wednesday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 t="str">
        <f t="shared" si="4"/>
        <v/>
      </c>
      <c r="C36" s="17" t="str">
        <f t="shared" si="0"/>
        <v/>
      </c>
      <c r="D36" s="15">
        <v>0.375</v>
      </c>
      <c r="E36" s="15">
        <v>0.75</v>
      </c>
      <c r="F36" s="5">
        <f t="shared" si="1"/>
        <v>9</v>
      </c>
      <c r="G36" s="5">
        <f t="shared" si="2"/>
        <v>0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7" priority="3" operator="equal">
      <formula>"Sunday"</formula>
    </cfRule>
    <cfRule type="cellIs" dxfId="6" priority="4" operator="equal">
      <formula>"Saturday"</formula>
    </cfRule>
  </conditionalFormatting>
  <conditionalFormatting sqref="G2">
    <cfRule type="cellIs" dxfId="5" priority="1" operator="equal">
      <formula>"Sunday"</formula>
    </cfRule>
    <cfRule type="cellIs" dxfId="4" priority="2" operator="equal">
      <formula>"Saturday"</formula>
    </cfRule>
  </conditionalFormatting>
  <dataValidations count="1">
    <dataValidation type="list" allowBlank="1" showInputMessage="1" showErrorMessage="1" sqref="K6:K36" xr:uid="{00000000-0002-0000-0C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C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C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C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C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C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X36"/>
  <sheetViews>
    <sheetView showGridLines="0" showRowColHeaders="0" workbookViewId="0">
      <selection activeCell="I3" sqref="I3"/>
    </sheetView>
  </sheetViews>
  <sheetFormatPr defaultColWidth="8.7109375" defaultRowHeight="15"/>
  <cols>
    <col min="1" max="1" width="1.140625" style="3" customWidth="1"/>
    <col min="2" max="2" width="11.42578125" style="2" bestFit="1" customWidth="1"/>
    <col min="3" max="3" width="11.42578125" style="2" customWidth="1"/>
    <col min="4" max="8" width="11.140625" style="2" customWidth="1"/>
    <col min="9" max="12" width="12.28515625" style="2" customWidth="1"/>
    <col min="13" max="13" width="15.5703125" style="2" customWidth="1"/>
    <col min="14" max="18" width="12.28515625" style="2" customWidth="1"/>
    <col min="19" max="19" width="14.5703125" style="2" customWidth="1"/>
    <col min="20" max="21" width="13.140625" style="2" customWidth="1"/>
    <col min="22" max="23" width="16.28515625" style="2" bestFit="1" customWidth="1"/>
    <col min="24" max="24" width="8.7109375" style="2"/>
    <col min="25" max="25" width="1.140625" style="3" customWidth="1"/>
    <col min="26" max="16384" width="8.7109375" style="3"/>
  </cols>
  <sheetData>
    <row r="1" spans="2:24" ht="6" customHeight="1">
      <c r="B1" s="7"/>
      <c r="C1" s="7"/>
    </row>
    <row r="2" spans="2:24" ht="31.9" customHeight="1">
      <c r="B2" s="36" t="str">
        <f>JAN!B2</f>
        <v>Mr.A</v>
      </c>
      <c r="C2" s="37"/>
      <c r="D2" s="37"/>
      <c r="E2" s="38"/>
      <c r="F2" s="8"/>
      <c r="G2" s="19" t="s">
        <v>93</v>
      </c>
      <c r="H2" s="8"/>
      <c r="I2" s="20" t="s">
        <v>92</v>
      </c>
    </row>
    <row r="3" spans="2:24" ht="6" customHeight="1"/>
    <row r="4" spans="2:24" s="1" customFormat="1" ht="30" customHeight="1">
      <c r="B4" s="50" t="s">
        <v>77</v>
      </c>
      <c r="C4" s="48" t="s">
        <v>78</v>
      </c>
      <c r="D4" s="44" t="s">
        <v>79</v>
      </c>
      <c r="E4" s="45"/>
      <c r="F4" s="45"/>
      <c r="G4" s="45"/>
      <c r="H4" s="46"/>
      <c r="I4" s="47" t="s">
        <v>82</v>
      </c>
      <c r="J4" s="47"/>
      <c r="K4" s="47"/>
      <c r="L4" s="47"/>
      <c r="M4" s="47"/>
      <c r="N4" s="47"/>
      <c r="O4" s="42" t="s">
        <v>84</v>
      </c>
      <c r="P4" s="42"/>
      <c r="Q4" s="42"/>
      <c r="R4" s="43"/>
      <c r="S4" s="39" t="s">
        <v>87</v>
      </c>
      <c r="T4" s="40"/>
      <c r="U4" s="40"/>
      <c r="V4" s="40"/>
      <c r="W4" s="40"/>
      <c r="X4" s="41"/>
    </row>
    <row r="5" spans="2:24" s="2" customFormat="1" ht="30" customHeight="1">
      <c r="B5" s="51"/>
      <c r="C5" s="49"/>
      <c r="D5" s="10" t="s">
        <v>80</v>
      </c>
      <c r="E5" s="10" t="s">
        <v>81</v>
      </c>
      <c r="F5" s="10" t="s">
        <v>72</v>
      </c>
      <c r="G5" s="10" t="s">
        <v>73</v>
      </c>
      <c r="H5" s="10" t="s">
        <v>74</v>
      </c>
      <c r="I5" s="12" t="s">
        <v>0</v>
      </c>
      <c r="J5" s="12" t="s">
        <v>75</v>
      </c>
      <c r="K5" s="12" t="s">
        <v>1</v>
      </c>
      <c r="L5" s="12" t="s">
        <v>2</v>
      </c>
      <c r="M5" s="12" t="s">
        <v>83</v>
      </c>
      <c r="N5" s="12" t="s">
        <v>3</v>
      </c>
      <c r="O5" s="11" t="s">
        <v>4</v>
      </c>
      <c r="P5" s="11" t="s">
        <v>5</v>
      </c>
      <c r="Q5" s="11" t="s">
        <v>85</v>
      </c>
      <c r="R5" s="13" t="s">
        <v>86</v>
      </c>
      <c r="S5" s="14" t="s">
        <v>88</v>
      </c>
      <c r="T5" s="14" t="s">
        <v>89</v>
      </c>
      <c r="U5" s="14" t="s">
        <v>90</v>
      </c>
      <c r="V5" s="14" t="s">
        <v>9</v>
      </c>
      <c r="W5" s="14" t="s">
        <v>10</v>
      </c>
      <c r="X5" s="14" t="s">
        <v>11</v>
      </c>
    </row>
    <row r="6" spans="2:24" s="2" customFormat="1" ht="21" customHeight="1">
      <c r="B6" s="9">
        <v>44896</v>
      </c>
      <c r="C6" s="17" t="str">
        <f>TEXT(B6,"dddd")</f>
        <v>Thursday</v>
      </c>
      <c r="D6" s="15">
        <v>0.375</v>
      </c>
      <c r="E6" s="15">
        <v>0.75</v>
      </c>
      <c r="F6" s="5">
        <f>IF((OR(C6="Sunday",C6="Saturday")),0,(IF((IFERROR(((E6-D6)*24),""))&lt;=9,(IFERROR(((E6-D6)*24),"")),9)))</f>
        <v>9</v>
      </c>
      <c r="G6" s="5">
        <f>IF((OR(C6="Sunday",C6="Saturday")),(IFERROR(((E6-D6)*24),"")),(IF((IFERROR(((E6-D6)*24),""))&gt;9,((IFERROR(((E6-D6)*24),""))-9),0)))</f>
        <v>0</v>
      </c>
      <c r="H6" s="6">
        <f>IFERROR((F6+G6),"")</f>
        <v>9</v>
      </c>
      <c r="I6" s="4" t="s">
        <v>69</v>
      </c>
      <c r="J6" s="4" t="s">
        <v>14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4" s="2" customFormat="1" ht="21" customHeight="1">
      <c r="B7" s="9">
        <f>IFERROR((IF(MONTH(B6+1)=MONTH(B6),(B6+1),"")),"")</f>
        <v>44897</v>
      </c>
      <c r="C7" s="17" t="str">
        <f t="shared" ref="C7:C36" si="0">TEXT(B7,"dddd")</f>
        <v>Friday</v>
      </c>
      <c r="D7" s="15">
        <v>0.375</v>
      </c>
      <c r="E7" s="15">
        <v>0.75</v>
      </c>
      <c r="F7" s="5">
        <f t="shared" ref="F7:F36" si="1">IF((OR(C7="Sunday",C7="Saturday")),0,(IF((IFERROR(((E7-D7)*24),""))&lt;=9,(IFERROR(((E7-D7)*24),"")),9)))</f>
        <v>9</v>
      </c>
      <c r="G7" s="5">
        <f t="shared" ref="G7:G36" si="2">IF((OR(C7="Sunday",C7="Saturday")),(IFERROR(((E7-D7)*24),"")),(IF((IFERROR(((E7-D7)*24),""))&gt;9,((IFERROR(((E7-D7)*24),""))-9),0)))</f>
        <v>0</v>
      </c>
      <c r="H7" s="6">
        <f t="shared" ref="H7:H36" si="3">IFERROR((F7+G7),"")</f>
        <v>9</v>
      </c>
      <c r="I7" s="4"/>
      <c r="J7" s="4"/>
      <c r="K7" s="4" t="s">
        <v>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2:24" s="2" customFormat="1" ht="21" customHeight="1">
      <c r="B8" s="9">
        <f t="shared" ref="B8:B36" si="4">IFERROR((IF(MONTH(B7+1)=MONTH(B7),(B7+1),"")),"")</f>
        <v>44898</v>
      </c>
      <c r="C8" s="17" t="str">
        <f t="shared" si="0"/>
        <v>Saturday</v>
      </c>
      <c r="D8" s="15">
        <v>0.375</v>
      </c>
      <c r="E8" s="15">
        <v>0.75</v>
      </c>
      <c r="F8" s="5">
        <f t="shared" si="1"/>
        <v>0</v>
      </c>
      <c r="G8" s="5">
        <f t="shared" si="2"/>
        <v>9</v>
      </c>
      <c r="H8" s="6">
        <f t="shared" si="3"/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2:24" s="2" customFormat="1" ht="21" customHeight="1">
      <c r="B9" s="9">
        <f t="shared" si="4"/>
        <v>44899</v>
      </c>
      <c r="C9" s="17" t="str">
        <f t="shared" si="0"/>
        <v>Sunday</v>
      </c>
      <c r="D9" s="15">
        <v>0.375</v>
      </c>
      <c r="E9" s="15">
        <v>0.75</v>
      </c>
      <c r="F9" s="5">
        <f t="shared" si="1"/>
        <v>0</v>
      </c>
      <c r="G9" s="5">
        <f t="shared" si="2"/>
        <v>9</v>
      </c>
      <c r="H9" s="6">
        <f t="shared" si="3"/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2:24" s="2" customFormat="1" ht="21" customHeight="1">
      <c r="B10" s="9">
        <f t="shared" si="4"/>
        <v>44900</v>
      </c>
      <c r="C10" s="17" t="str">
        <f t="shared" si="0"/>
        <v>Monday</v>
      </c>
      <c r="D10" s="15">
        <v>0.375</v>
      </c>
      <c r="E10" s="15">
        <v>0.75</v>
      </c>
      <c r="F10" s="5">
        <f t="shared" si="1"/>
        <v>9</v>
      </c>
      <c r="G10" s="5">
        <f t="shared" si="2"/>
        <v>0</v>
      </c>
      <c r="H10" s="6">
        <f t="shared" si="3"/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2:24" s="2" customFormat="1" ht="21" customHeight="1">
      <c r="B11" s="9">
        <f t="shared" si="4"/>
        <v>44901</v>
      </c>
      <c r="C11" s="17" t="str">
        <f t="shared" si="0"/>
        <v>Tuesday</v>
      </c>
      <c r="D11" s="15">
        <v>0.375</v>
      </c>
      <c r="E11" s="15">
        <v>0.75</v>
      </c>
      <c r="F11" s="5">
        <f t="shared" si="1"/>
        <v>9</v>
      </c>
      <c r="G11" s="5">
        <f t="shared" si="2"/>
        <v>0</v>
      </c>
      <c r="H11" s="6">
        <f t="shared" si="3"/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2:24" s="2" customFormat="1" ht="21" customHeight="1">
      <c r="B12" s="9">
        <f t="shared" si="4"/>
        <v>44902</v>
      </c>
      <c r="C12" s="17" t="str">
        <f t="shared" si="0"/>
        <v>Wednesday</v>
      </c>
      <c r="D12" s="15">
        <v>0.375</v>
      </c>
      <c r="E12" s="15">
        <v>0.75</v>
      </c>
      <c r="F12" s="5">
        <f t="shared" si="1"/>
        <v>9</v>
      </c>
      <c r="G12" s="5">
        <f t="shared" si="2"/>
        <v>0</v>
      </c>
      <c r="H12" s="6">
        <f t="shared" si="3"/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s="2" customFormat="1" ht="21" customHeight="1">
      <c r="B13" s="9">
        <f t="shared" si="4"/>
        <v>44903</v>
      </c>
      <c r="C13" s="17" t="str">
        <f t="shared" si="0"/>
        <v>Thursday</v>
      </c>
      <c r="D13" s="15">
        <v>0.375</v>
      </c>
      <c r="E13" s="15">
        <v>0.75</v>
      </c>
      <c r="F13" s="5">
        <f t="shared" si="1"/>
        <v>9</v>
      </c>
      <c r="G13" s="5">
        <f t="shared" si="2"/>
        <v>0</v>
      </c>
      <c r="H13" s="6">
        <f t="shared" si="3"/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s="2" customFormat="1" ht="21" customHeight="1">
      <c r="B14" s="9">
        <f t="shared" si="4"/>
        <v>44904</v>
      </c>
      <c r="C14" s="17" t="str">
        <f t="shared" si="0"/>
        <v>Friday</v>
      </c>
      <c r="D14" s="15">
        <v>0.375</v>
      </c>
      <c r="E14" s="15">
        <v>0.75</v>
      </c>
      <c r="F14" s="5">
        <f t="shared" si="1"/>
        <v>9</v>
      </c>
      <c r="G14" s="5">
        <f t="shared" si="2"/>
        <v>0</v>
      </c>
      <c r="H14" s="6">
        <f t="shared" si="3"/>
        <v>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s="2" customFormat="1" ht="21" customHeight="1">
      <c r="B15" s="9">
        <f t="shared" si="4"/>
        <v>44905</v>
      </c>
      <c r="C15" s="17" t="str">
        <f t="shared" si="0"/>
        <v>Saturday</v>
      </c>
      <c r="D15" s="15">
        <v>0.375</v>
      </c>
      <c r="E15" s="15">
        <v>0.75</v>
      </c>
      <c r="F15" s="5">
        <f t="shared" si="1"/>
        <v>0</v>
      </c>
      <c r="G15" s="5">
        <f t="shared" si="2"/>
        <v>9</v>
      </c>
      <c r="H15" s="6">
        <f t="shared" si="3"/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s="2" customFormat="1" ht="21" customHeight="1">
      <c r="B16" s="9">
        <f t="shared" si="4"/>
        <v>44906</v>
      </c>
      <c r="C16" s="17" t="str">
        <f t="shared" si="0"/>
        <v>Sunday</v>
      </c>
      <c r="D16" s="15">
        <v>0.375</v>
      </c>
      <c r="E16" s="15">
        <v>0.75</v>
      </c>
      <c r="F16" s="5">
        <f t="shared" si="1"/>
        <v>0</v>
      </c>
      <c r="G16" s="5">
        <f t="shared" si="2"/>
        <v>9</v>
      </c>
      <c r="H16" s="6">
        <f t="shared" si="3"/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s="2" customFormat="1" ht="21" customHeight="1">
      <c r="B17" s="9">
        <f t="shared" si="4"/>
        <v>44907</v>
      </c>
      <c r="C17" s="17" t="str">
        <f t="shared" si="0"/>
        <v>Monday</v>
      </c>
      <c r="D17" s="15">
        <v>0.375</v>
      </c>
      <c r="E17" s="15">
        <v>0.75</v>
      </c>
      <c r="F17" s="5">
        <f t="shared" si="1"/>
        <v>9</v>
      </c>
      <c r="G17" s="5">
        <f t="shared" si="2"/>
        <v>0</v>
      </c>
      <c r="H17" s="6">
        <f t="shared" si="3"/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s="2" customFormat="1" ht="21" customHeight="1">
      <c r="B18" s="9">
        <f t="shared" si="4"/>
        <v>44908</v>
      </c>
      <c r="C18" s="17" t="str">
        <f t="shared" si="0"/>
        <v>Tuesday</v>
      </c>
      <c r="D18" s="15">
        <v>0.375</v>
      </c>
      <c r="E18" s="15">
        <v>0.75</v>
      </c>
      <c r="F18" s="5">
        <f t="shared" si="1"/>
        <v>9</v>
      </c>
      <c r="G18" s="5">
        <f t="shared" si="2"/>
        <v>0</v>
      </c>
      <c r="H18" s="6">
        <f t="shared" si="3"/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s="2" customFormat="1" ht="21" customHeight="1">
      <c r="B19" s="9">
        <f t="shared" si="4"/>
        <v>44909</v>
      </c>
      <c r="C19" s="17" t="str">
        <f t="shared" si="0"/>
        <v>Wednesday</v>
      </c>
      <c r="D19" s="15">
        <v>0.375</v>
      </c>
      <c r="E19" s="15">
        <v>0.75</v>
      </c>
      <c r="F19" s="5">
        <f t="shared" si="1"/>
        <v>9</v>
      </c>
      <c r="G19" s="5">
        <f t="shared" si="2"/>
        <v>0</v>
      </c>
      <c r="H19" s="6">
        <f t="shared" si="3"/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s="2" customFormat="1" ht="21" customHeight="1">
      <c r="B20" s="9">
        <f t="shared" si="4"/>
        <v>44910</v>
      </c>
      <c r="C20" s="17" t="str">
        <f t="shared" si="0"/>
        <v>Thursday</v>
      </c>
      <c r="D20" s="15">
        <v>0.375</v>
      </c>
      <c r="E20" s="15">
        <v>0.75</v>
      </c>
      <c r="F20" s="5">
        <f t="shared" si="1"/>
        <v>9</v>
      </c>
      <c r="G20" s="5">
        <f t="shared" si="2"/>
        <v>0</v>
      </c>
      <c r="H20" s="6">
        <f t="shared" si="3"/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s="2" customFormat="1" ht="21" customHeight="1">
      <c r="B21" s="9">
        <f t="shared" si="4"/>
        <v>44911</v>
      </c>
      <c r="C21" s="17" t="str">
        <f t="shared" si="0"/>
        <v>Friday</v>
      </c>
      <c r="D21" s="15">
        <v>0.375</v>
      </c>
      <c r="E21" s="15">
        <v>0.75</v>
      </c>
      <c r="F21" s="5">
        <f t="shared" si="1"/>
        <v>9</v>
      </c>
      <c r="G21" s="5">
        <f t="shared" si="2"/>
        <v>0</v>
      </c>
      <c r="H21" s="6">
        <f t="shared" si="3"/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s="2" customFormat="1" ht="21" customHeight="1">
      <c r="B22" s="9">
        <f t="shared" si="4"/>
        <v>44912</v>
      </c>
      <c r="C22" s="17" t="str">
        <f t="shared" si="0"/>
        <v>Saturday</v>
      </c>
      <c r="D22" s="15">
        <v>0.375</v>
      </c>
      <c r="E22" s="15">
        <v>0.75</v>
      </c>
      <c r="F22" s="5">
        <f t="shared" si="1"/>
        <v>0</v>
      </c>
      <c r="G22" s="5">
        <f t="shared" si="2"/>
        <v>9</v>
      </c>
      <c r="H22" s="6">
        <f t="shared" si="3"/>
        <v>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2:24" s="2" customFormat="1" ht="21" customHeight="1">
      <c r="B23" s="9">
        <f t="shared" si="4"/>
        <v>44913</v>
      </c>
      <c r="C23" s="17" t="str">
        <f t="shared" si="0"/>
        <v>Sunday</v>
      </c>
      <c r="D23" s="15">
        <v>0.375</v>
      </c>
      <c r="E23" s="15">
        <v>0.75</v>
      </c>
      <c r="F23" s="5">
        <f t="shared" si="1"/>
        <v>0</v>
      </c>
      <c r="G23" s="5">
        <f t="shared" si="2"/>
        <v>9</v>
      </c>
      <c r="H23" s="6">
        <f t="shared" si="3"/>
        <v>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2:24" s="2" customFormat="1" ht="21" customHeight="1">
      <c r="B24" s="9">
        <f t="shared" si="4"/>
        <v>44914</v>
      </c>
      <c r="C24" s="17" t="str">
        <f t="shared" si="0"/>
        <v>Monday</v>
      </c>
      <c r="D24" s="15">
        <v>0.375</v>
      </c>
      <c r="E24" s="15">
        <v>0.75</v>
      </c>
      <c r="F24" s="5">
        <f t="shared" si="1"/>
        <v>9</v>
      </c>
      <c r="G24" s="5">
        <f t="shared" si="2"/>
        <v>0</v>
      </c>
      <c r="H24" s="6">
        <f t="shared" si="3"/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2:24" s="2" customFormat="1" ht="21" customHeight="1">
      <c r="B25" s="9">
        <f t="shared" si="4"/>
        <v>44915</v>
      </c>
      <c r="C25" s="17" t="str">
        <f t="shared" si="0"/>
        <v>Tuesday</v>
      </c>
      <c r="D25" s="15">
        <v>0.375</v>
      </c>
      <c r="E25" s="15">
        <v>0.75</v>
      </c>
      <c r="F25" s="5">
        <f t="shared" si="1"/>
        <v>9</v>
      </c>
      <c r="G25" s="5">
        <f t="shared" si="2"/>
        <v>0</v>
      </c>
      <c r="H25" s="6">
        <f t="shared" si="3"/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2:24" s="2" customFormat="1" ht="21" customHeight="1">
      <c r="B26" s="9">
        <f t="shared" si="4"/>
        <v>44916</v>
      </c>
      <c r="C26" s="17" t="str">
        <f t="shared" si="0"/>
        <v>Wednesday</v>
      </c>
      <c r="D26" s="15">
        <v>0.375</v>
      </c>
      <c r="E26" s="15">
        <v>0.75</v>
      </c>
      <c r="F26" s="5">
        <f t="shared" si="1"/>
        <v>9</v>
      </c>
      <c r="G26" s="5">
        <f t="shared" si="2"/>
        <v>0</v>
      </c>
      <c r="H26" s="6">
        <f t="shared" si="3"/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2:24" s="2" customFormat="1" ht="21" customHeight="1">
      <c r="B27" s="9">
        <f t="shared" si="4"/>
        <v>44917</v>
      </c>
      <c r="C27" s="17" t="str">
        <f t="shared" si="0"/>
        <v>Thursday</v>
      </c>
      <c r="D27" s="15">
        <v>0.375</v>
      </c>
      <c r="E27" s="15">
        <v>0.75</v>
      </c>
      <c r="F27" s="5">
        <f t="shared" si="1"/>
        <v>9</v>
      </c>
      <c r="G27" s="5">
        <f t="shared" si="2"/>
        <v>0</v>
      </c>
      <c r="H27" s="6">
        <f t="shared" si="3"/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2:24" s="2" customFormat="1" ht="21" customHeight="1">
      <c r="B28" s="9">
        <f t="shared" si="4"/>
        <v>44918</v>
      </c>
      <c r="C28" s="17" t="str">
        <f t="shared" si="0"/>
        <v>Friday</v>
      </c>
      <c r="D28" s="15">
        <v>0.375</v>
      </c>
      <c r="E28" s="15">
        <v>0.75</v>
      </c>
      <c r="F28" s="5">
        <f t="shared" si="1"/>
        <v>9</v>
      </c>
      <c r="G28" s="5">
        <f t="shared" si="2"/>
        <v>0</v>
      </c>
      <c r="H28" s="6">
        <f t="shared" si="3"/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2:24" s="2" customFormat="1" ht="21" customHeight="1">
      <c r="B29" s="9">
        <f t="shared" si="4"/>
        <v>44919</v>
      </c>
      <c r="C29" s="17" t="str">
        <f t="shared" si="0"/>
        <v>Saturday</v>
      </c>
      <c r="D29" s="15">
        <v>0.375</v>
      </c>
      <c r="E29" s="15">
        <v>0.75</v>
      </c>
      <c r="F29" s="5">
        <f t="shared" si="1"/>
        <v>0</v>
      </c>
      <c r="G29" s="5">
        <f t="shared" si="2"/>
        <v>9</v>
      </c>
      <c r="H29" s="6">
        <f t="shared" si="3"/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2:24" s="2" customFormat="1" ht="21" customHeight="1">
      <c r="B30" s="9">
        <f t="shared" si="4"/>
        <v>44920</v>
      </c>
      <c r="C30" s="17" t="str">
        <f t="shared" si="0"/>
        <v>Sunday</v>
      </c>
      <c r="D30" s="15">
        <v>0.375</v>
      </c>
      <c r="E30" s="15">
        <v>0.75</v>
      </c>
      <c r="F30" s="5">
        <f t="shared" si="1"/>
        <v>0</v>
      </c>
      <c r="G30" s="5">
        <f t="shared" si="2"/>
        <v>9</v>
      </c>
      <c r="H30" s="6">
        <f t="shared" si="3"/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2:24" s="2" customFormat="1" ht="21" customHeight="1">
      <c r="B31" s="9">
        <f t="shared" si="4"/>
        <v>44921</v>
      </c>
      <c r="C31" s="17" t="str">
        <f t="shared" si="0"/>
        <v>Monday</v>
      </c>
      <c r="D31" s="15">
        <v>0.375</v>
      </c>
      <c r="E31" s="15">
        <v>0.75</v>
      </c>
      <c r="F31" s="5">
        <f t="shared" si="1"/>
        <v>9</v>
      </c>
      <c r="G31" s="5">
        <f t="shared" si="2"/>
        <v>0</v>
      </c>
      <c r="H31" s="6">
        <f t="shared" si="3"/>
        <v>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2:24" s="2" customFormat="1" ht="21" customHeight="1">
      <c r="B32" s="9">
        <f t="shared" si="4"/>
        <v>44922</v>
      </c>
      <c r="C32" s="17" t="str">
        <f t="shared" si="0"/>
        <v>Tuesday</v>
      </c>
      <c r="D32" s="15">
        <v>0.375</v>
      </c>
      <c r="E32" s="15">
        <v>0.75</v>
      </c>
      <c r="F32" s="5">
        <f t="shared" si="1"/>
        <v>9</v>
      </c>
      <c r="G32" s="5">
        <f t="shared" si="2"/>
        <v>0</v>
      </c>
      <c r="H32" s="6">
        <f t="shared" si="3"/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s="2" customFormat="1" ht="21" customHeight="1">
      <c r="B33" s="9">
        <f t="shared" si="4"/>
        <v>44923</v>
      </c>
      <c r="C33" s="17" t="str">
        <f t="shared" si="0"/>
        <v>Wednesday</v>
      </c>
      <c r="D33" s="15">
        <v>0.375</v>
      </c>
      <c r="E33" s="15">
        <v>0.75</v>
      </c>
      <c r="F33" s="5">
        <f t="shared" si="1"/>
        <v>9</v>
      </c>
      <c r="G33" s="5">
        <f t="shared" si="2"/>
        <v>0</v>
      </c>
      <c r="H33" s="6">
        <f t="shared" si="3"/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2:24" s="2" customFormat="1" ht="21" customHeight="1">
      <c r="B34" s="9">
        <f t="shared" si="4"/>
        <v>44924</v>
      </c>
      <c r="C34" s="17" t="str">
        <f t="shared" si="0"/>
        <v>Thursday</v>
      </c>
      <c r="D34" s="15">
        <v>0.375</v>
      </c>
      <c r="E34" s="15">
        <v>0.75</v>
      </c>
      <c r="F34" s="5">
        <f t="shared" si="1"/>
        <v>9</v>
      </c>
      <c r="G34" s="5">
        <f t="shared" si="2"/>
        <v>0</v>
      </c>
      <c r="H34" s="6">
        <f t="shared" si="3"/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s="2" customFormat="1" ht="21" customHeight="1">
      <c r="B35" s="9">
        <f t="shared" si="4"/>
        <v>44925</v>
      </c>
      <c r="C35" s="17" t="str">
        <f t="shared" si="0"/>
        <v>Friday</v>
      </c>
      <c r="D35" s="15">
        <v>0.375</v>
      </c>
      <c r="E35" s="15">
        <v>0.75</v>
      </c>
      <c r="F35" s="5">
        <f t="shared" si="1"/>
        <v>9</v>
      </c>
      <c r="G35" s="5">
        <f t="shared" si="2"/>
        <v>0</v>
      </c>
      <c r="H35" s="6">
        <f t="shared" si="3"/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2:24" s="2" customFormat="1" ht="21" customHeight="1">
      <c r="B36" s="9">
        <f t="shared" si="4"/>
        <v>44926</v>
      </c>
      <c r="C36" s="17" t="str">
        <f t="shared" si="0"/>
        <v>Saturday</v>
      </c>
      <c r="D36" s="15">
        <v>0.375</v>
      </c>
      <c r="E36" s="15">
        <v>0.75</v>
      </c>
      <c r="F36" s="5">
        <f t="shared" si="1"/>
        <v>0</v>
      </c>
      <c r="G36" s="5">
        <f t="shared" si="2"/>
        <v>9</v>
      </c>
      <c r="H36" s="6">
        <f t="shared" si="3"/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protectedRanges>
    <protectedRange sqref="D6:E36" name="Range1"/>
  </protectedRanges>
  <mergeCells count="7">
    <mergeCell ref="S4:X4"/>
    <mergeCell ref="B2:E2"/>
    <mergeCell ref="B4:B5"/>
    <mergeCell ref="D4:H4"/>
    <mergeCell ref="I4:N4"/>
    <mergeCell ref="O4:R4"/>
    <mergeCell ref="C4:C5"/>
  </mergeCells>
  <conditionalFormatting sqref="C6:C36">
    <cfRule type="cellIs" dxfId="3" priority="3" operator="equal">
      <formula>"Sunday"</formula>
    </cfRule>
    <cfRule type="cellIs" dxfId="2" priority="4" operator="equal">
      <formula>"Saturday"</formula>
    </cfRule>
  </conditionalFormatting>
  <conditionalFormatting sqref="G2">
    <cfRule type="cellIs" dxfId="1" priority="1" operator="equal">
      <formula>"Sunday"</formula>
    </cfRule>
    <cfRule type="cellIs" dxfId="0" priority="2" operator="equal">
      <formula>"Saturday"</formula>
    </cfRule>
  </conditionalFormatting>
  <dataValidations count="1">
    <dataValidation type="list" allowBlank="1" showInputMessage="1" showErrorMessage="1" sqref="K6:K36" xr:uid="{00000000-0002-0000-0D00-000000000000}">
      <formula1>"Yes, No"</formula1>
    </dataValidation>
  </dataValidations>
  <printOptions horizontalCentered="1"/>
  <pageMargins left="0" right="0" top="0.5" bottom="0" header="0.3" footer="0.3"/>
  <pageSetup scale="4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D00-000001000000}">
          <x14:formula1>
            <xm:f>'Dropdown List Data'!$F$4:$F$31</xm:f>
          </x14:formula1>
          <xm:sqref>P6:P36</xm:sqref>
        </x14:dataValidation>
        <x14:dataValidation type="list" allowBlank="1" showInputMessage="1" showErrorMessage="1" xr:uid="{00000000-0002-0000-0D00-000002000000}">
          <x14:formula1>
            <xm:f>'Dropdown List Data'!$E$4:$E$31</xm:f>
          </x14:formula1>
          <xm:sqref>O6:O36</xm:sqref>
        </x14:dataValidation>
        <x14:dataValidation type="list" allowBlank="1" showInputMessage="1" showErrorMessage="1" xr:uid="{00000000-0002-0000-0D00-000003000000}">
          <x14:formula1>
            <xm:f>'Dropdown List Data'!$D$4:$D$31</xm:f>
          </x14:formula1>
          <xm:sqref>M6:M36</xm:sqref>
        </x14:dataValidation>
        <x14:dataValidation type="list" allowBlank="1" showInputMessage="1" showErrorMessage="1" xr:uid="{00000000-0002-0000-0D00-000004000000}">
          <x14:formula1>
            <xm:f>'Dropdown List Data'!$C$4:$C$31</xm:f>
          </x14:formula1>
          <xm:sqref>J6:J36</xm:sqref>
        </x14:dataValidation>
        <x14:dataValidation type="list" allowBlank="1" showInputMessage="1" showErrorMessage="1" xr:uid="{00000000-0002-0000-0D00-000005000000}">
          <x14:formula1>
            <xm:f>'Dropdown List Data'!$B$4:$B$31</xm:f>
          </x14:formula1>
          <xm:sqref>I6:I36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Summary</vt:lpstr>
      <vt:lpstr>Dropdown List Data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'Dropdown List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Lim</dc:creator>
  <cp:lastModifiedBy>syaa</cp:lastModifiedBy>
  <cp:lastPrinted>2022-01-06T10:35:26Z</cp:lastPrinted>
  <dcterms:created xsi:type="dcterms:W3CDTF">2022-01-05T01:51:09Z</dcterms:created>
  <dcterms:modified xsi:type="dcterms:W3CDTF">2023-07-03T06:16:34Z</dcterms:modified>
</cp:coreProperties>
</file>