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Virus Media Localize\ProFinance Premium\Time Sheets\"/>
    </mc:Choice>
  </mc:AlternateContent>
  <xr:revisionPtr revIDLastSave="0" documentId="13_ncr:1_{D66A7032-A654-43A3-BC16-9B7BD0B39EF4}" xr6:coauthVersionLast="45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Time sheet" sheetId="1" r:id="rId1"/>
  </sheets>
  <definedNames>
    <definedName name="_xlnm.Print_Area" localSheetId="0">'Time sheet'!$A$1:$L$60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9" i="1" l="1"/>
  <c r="C18" i="1" s="1"/>
  <c r="D19" i="1" l="1"/>
  <c r="D18" i="1" s="1"/>
  <c r="J23" i="1"/>
  <c r="J28" i="1" s="1"/>
  <c r="J33" i="1" s="1"/>
  <c r="J38" i="1" s="1"/>
  <c r="J43" i="1" s="1"/>
  <c r="I47" i="1"/>
  <c r="H47" i="1"/>
  <c r="G47" i="1"/>
  <c r="F47" i="1"/>
  <c r="E47" i="1"/>
  <c r="D47" i="1"/>
  <c r="C47" i="1"/>
  <c r="J46" i="1"/>
  <c r="K46" i="1" s="1"/>
  <c r="J45" i="1"/>
  <c r="J47" i="1" s="1"/>
  <c r="I42" i="1"/>
  <c r="H42" i="1"/>
  <c r="G42" i="1"/>
  <c r="F42" i="1"/>
  <c r="E42" i="1"/>
  <c r="D42" i="1"/>
  <c r="C42" i="1"/>
  <c r="J41" i="1"/>
  <c r="K41" i="1" s="1"/>
  <c r="J40" i="1"/>
  <c r="I37" i="1"/>
  <c r="H37" i="1"/>
  <c r="G37" i="1"/>
  <c r="F37" i="1"/>
  <c r="E37" i="1"/>
  <c r="D37" i="1"/>
  <c r="C37" i="1"/>
  <c r="J36" i="1"/>
  <c r="K36" i="1" s="1"/>
  <c r="J35" i="1"/>
  <c r="K35" i="1" s="1"/>
  <c r="I32" i="1"/>
  <c r="H32" i="1"/>
  <c r="G32" i="1"/>
  <c r="F32" i="1"/>
  <c r="E32" i="1"/>
  <c r="D32" i="1"/>
  <c r="C32" i="1"/>
  <c r="J31" i="1"/>
  <c r="K31" i="1" s="1"/>
  <c r="J30" i="1"/>
  <c r="I27" i="1"/>
  <c r="H27" i="1"/>
  <c r="G27" i="1"/>
  <c r="F27" i="1"/>
  <c r="E27" i="1"/>
  <c r="D27" i="1"/>
  <c r="C27" i="1"/>
  <c r="J26" i="1"/>
  <c r="K26" i="1" s="1"/>
  <c r="J25" i="1"/>
  <c r="K25" i="1" s="1"/>
  <c r="I22" i="1"/>
  <c r="H22" i="1"/>
  <c r="G22" i="1"/>
  <c r="F22" i="1"/>
  <c r="E22" i="1"/>
  <c r="D22" i="1"/>
  <c r="C22" i="1"/>
  <c r="J21" i="1"/>
  <c r="K21" i="1" s="1"/>
  <c r="J20" i="1"/>
  <c r="K20" i="1" s="1"/>
  <c r="E19" i="1" l="1"/>
  <c r="E18" i="1" s="1"/>
  <c r="K22" i="1"/>
  <c r="J42" i="1"/>
  <c r="K40" i="1"/>
  <c r="J22" i="1"/>
  <c r="K45" i="1"/>
  <c r="K47" i="1" s="1"/>
  <c r="K27" i="1"/>
  <c r="J32" i="1"/>
  <c r="K30" i="1"/>
  <c r="K32" i="1"/>
  <c r="K37" i="1"/>
  <c r="K42" i="1"/>
  <c r="J27" i="1"/>
  <c r="J37" i="1"/>
  <c r="F19" i="1" l="1"/>
  <c r="F18" i="1" s="1"/>
  <c r="J49" i="1"/>
  <c r="G19" i="1" l="1"/>
  <c r="G18" i="1" s="1"/>
  <c r="H19" i="1" l="1"/>
  <c r="H18" i="1" s="1"/>
  <c r="I19" i="1" l="1"/>
  <c r="C24" i="1" l="1"/>
  <c r="I18" i="1"/>
  <c r="D24" i="1" l="1"/>
  <c r="C23" i="1"/>
  <c r="E24" i="1" l="1"/>
  <c r="D23" i="1"/>
  <c r="F24" i="1" l="1"/>
  <c r="E23" i="1"/>
  <c r="G24" i="1" l="1"/>
  <c r="F23" i="1"/>
  <c r="H24" i="1" l="1"/>
  <c r="G23" i="1"/>
  <c r="I24" i="1" l="1"/>
  <c r="H23" i="1"/>
  <c r="C29" i="1" l="1"/>
  <c r="I23" i="1"/>
  <c r="D29" i="1" l="1"/>
  <c r="C28" i="1"/>
  <c r="E29" i="1" l="1"/>
  <c r="D28" i="1"/>
  <c r="F29" i="1" l="1"/>
  <c r="E28" i="1"/>
  <c r="G29" i="1" l="1"/>
  <c r="F28" i="1"/>
  <c r="H29" i="1" l="1"/>
  <c r="G28" i="1"/>
  <c r="I29" i="1" l="1"/>
  <c r="H28" i="1"/>
  <c r="C34" i="1" l="1"/>
  <c r="I28" i="1"/>
  <c r="D34" i="1" l="1"/>
  <c r="C33" i="1"/>
  <c r="E34" i="1" l="1"/>
  <c r="D33" i="1"/>
  <c r="F34" i="1" l="1"/>
  <c r="E33" i="1"/>
  <c r="G34" i="1" l="1"/>
  <c r="F33" i="1"/>
  <c r="H34" i="1" l="1"/>
  <c r="G33" i="1"/>
  <c r="I34" i="1" l="1"/>
  <c r="H33" i="1"/>
  <c r="I33" i="1" l="1"/>
  <c r="C39" i="1"/>
  <c r="D39" i="1" l="1"/>
  <c r="C38" i="1"/>
  <c r="E39" i="1" l="1"/>
  <c r="D38" i="1"/>
  <c r="F39" i="1" l="1"/>
  <c r="E38" i="1"/>
  <c r="G39" i="1" l="1"/>
  <c r="F38" i="1"/>
  <c r="H39" i="1" l="1"/>
  <c r="G38" i="1"/>
  <c r="I39" i="1" l="1"/>
  <c r="H38" i="1"/>
  <c r="I38" i="1" l="1"/>
  <c r="C44" i="1"/>
  <c r="D44" i="1" l="1"/>
  <c r="C43" i="1"/>
  <c r="E44" i="1" l="1"/>
  <c r="D43" i="1"/>
  <c r="F44" i="1" l="1"/>
  <c r="E43" i="1"/>
  <c r="G44" i="1" l="1"/>
  <c r="F43" i="1"/>
  <c r="H44" i="1" l="1"/>
  <c r="G43" i="1"/>
  <c r="I44" i="1" l="1"/>
  <c r="I43" i="1" s="1"/>
  <c r="H43" i="1"/>
</calcChain>
</file>

<file path=xl/sharedStrings.xml><?xml version="1.0" encoding="utf-8"?>
<sst xmlns="http://schemas.openxmlformats.org/spreadsheetml/2006/main" count="51" uniqueCount="23">
  <si>
    <t>Total</t>
  </si>
  <si>
    <t>____________________________________________________________________________________________________________________________________________________________________</t>
  </si>
  <si>
    <t>__________________________</t>
  </si>
  <si>
    <t>_________________________________</t>
  </si>
  <si>
    <t>Email : _____________________________________</t>
  </si>
  <si>
    <t>Hari</t>
  </si>
  <si>
    <t>Jumlah Mingguan</t>
  </si>
  <si>
    <t>Tanggal</t>
  </si>
  <si>
    <t>Jam</t>
  </si>
  <si>
    <t>Jam Lembur</t>
  </si>
  <si>
    <t>Total Jam</t>
  </si>
  <si>
    <t>Deduksi :</t>
  </si>
  <si>
    <t>Tanda Tangan Karyawan :</t>
  </si>
  <si>
    <t>(Nama Karyawan)</t>
  </si>
  <si>
    <t>Tempat dan Tanggal</t>
  </si>
  <si>
    <t>Tanda Tangan dan Cap Direktur :</t>
  </si>
  <si>
    <t>(Nama Direktur)</t>
  </si>
  <si>
    <t>Nama karyawan : ____________________________</t>
  </si>
  <si>
    <t>Posisi : ___________________________________</t>
  </si>
  <si>
    <t>Nomor telepon : _____________________________</t>
  </si>
  <si>
    <t>PERHITUNGAN GAJI BULANAN</t>
  </si>
  <si>
    <t>Tarif per jam :</t>
  </si>
  <si>
    <t>Tarif Lembur Per Jam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</si>
</sst>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164" formatCode="mmm&quot; &quot;d"/>
    <numFmt numFmtId="166" formatCode="[$-409]mmmm\-yy;@"/>
    <numFmt numFmtId="167" formatCode="[$-F800]dddd\,\ mmmm\ dd\,\ yyyy"/>
    <numFmt numFmtId="170" formatCode="[$IDR]\ #,##0.00"/>
    <numFmt numFmtId="171" formatCode="_([$IDR]\ * #,##0.00_);_([$IDR]\ * \(#,##0.00\);_([$IDR]\ * &quot;-&quot;??_);_(@_)"/>
  </numFmts>
  <fonts count="14">
    <font>
      <sz val="10"/>
      <color rgb="FF000000"/>
      <name val="Arial"/>
    </font>
    <font>
      <sz val="10"/>
      <color rgb="FF000000"/>
      <name val="Arial"/>
      <family val="2"/>
    </font>
    <font>
      <sz val="10"/>
      <color rgb="FF000000"/>
      <name val="Open Symbol"/>
    </font>
    <font>
      <b/>
      <sz val="12"/>
      <name val="Open Symbol"/>
    </font>
    <font>
      <sz val="10"/>
      <color rgb="FF666666"/>
      <name val="Open Symbol"/>
    </font>
    <font>
      <sz val="10"/>
      <color rgb="FF6D64E8"/>
      <name val="Open Symbol"/>
    </font>
    <font>
      <sz val="10"/>
      <color rgb="FF2A3990"/>
      <name val="Open Symbol"/>
    </font>
    <font>
      <sz val="10"/>
      <name val="Open Symbol"/>
    </font>
    <font>
      <b/>
      <sz val="10"/>
      <name val="Open Symbol"/>
    </font>
    <font>
      <sz val="10"/>
      <color rgb="FF62646A"/>
      <name val="Open Symbol"/>
    </font>
    <font>
      <sz val="10"/>
      <color theme="0" tint="-0.499984740745262"/>
      <name val="Open Symbol"/>
    </font>
    <font>
      <b/>
      <sz val="10"/>
      <color theme="0" tint="-0.499984740745262"/>
      <name val="Open Symbol"/>
    </font>
    <font>
      <b/>
      <u val="singleAccounting"/>
      <sz val="10"/>
      <color theme="0" tint="-0.499984740745262"/>
      <name val="Open Symbol"/>
    </font>
    <font>
      <b/>
      <sz val="11"/>
      <name val="Open Symbo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 applyFont="1" applyAlignment="1"/>
    <xf numFmtId="0" fontId="2" fillId="2" borderId="0" xfId="0" applyFont="1" applyFill="1" applyAlignment="1"/>
    <xf numFmtId="0" fontId="4" fillId="2" borderId="0" xfId="0" applyFont="1" applyFill="1" applyAlignment="1"/>
    <xf numFmtId="0" fontId="4" fillId="2" borderId="0" xfId="0" applyFont="1" applyFill="1" applyBorder="1" applyAlignment="1"/>
    <xf numFmtId="0" fontId="4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164" fontId="6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49" fontId="8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7" fillId="0" borderId="0" xfId="0" applyNumberFormat="1" applyFont="1" applyAlignment="1">
      <alignment horizontal="left" vertical="center"/>
    </xf>
    <xf numFmtId="0" fontId="10" fillId="2" borderId="0" xfId="0" applyFont="1" applyFill="1" applyAlignment="1"/>
    <xf numFmtId="49" fontId="13" fillId="0" borderId="0" xfId="0" applyNumberFormat="1" applyFont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66" fontId="3" fillId="0" borderId="0" xfId="0" applyNumberFormat="1" applyFont="1" applyAlignment="1">
      <alignment vertical="center"/>
    </xf>
    <xf numFmtId="49" fontId="11" fillId="0" borderId="0" xfId="0" applyNumberFormat="1" applyFont="1" applyAlignment="1">
      <alignment vertical="center"/>
    </xf>
    <xf numFmtId="49" fontId="11" fillId="0" borderId="0" xfId="0" applyNumberFormat="1" applyFont="1" applyAlignment="1">
      <alignment vertical="center"/>
    </xf>
    <xf numFmtId="0" fontId="11" fillId="0" borderId="0" xfId="0" applyFont="1" applyAlignment="1">
      <alignment horizontal="right" vertical="center"/>
    </xf>
    <xf numFmtId="49" fontId="13" fillId="0" borderId="0" xfId="0" applyNumberFormat="1" applyFont="1" applyAlignment="1">
      <alignment horizontal="right" vertical="center"/>
    </xf>
    <xf numFmtId="167" fontId="3" fillId="4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horizontal="right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right" vertical="center"/>
    </xf>
    <xf numFmtId="170" fontId="11" fillId="2" borderId="1" xfId="1" applyNumberFormat="1" applyFont="1" applyFill="1" applyBorder="1" applyAlignment="1">
      <alignment horizontal="center" vertical="center"/>
    </xf>
    <xf numFmtId="170" fontId="3" fillId="2" borderId="1" xfId="1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/>
    </xf>
    <xf numFmtId="171" fontId="12" fillId="0" borderId="0" xfId="1" applyNumberFormat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92"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170" formatCode="[$IDR]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170" formatCode="[$IDR]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170" formatCode="[$IDR]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170" formatCode="[$IDR]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170" formatCode="[$IDR]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170" formatCode="[$IDR]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fill>
        <patternFill>
          <bgColor theme="0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fill>
        <patternFill>
          <bgColor theme="0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fill>
        <patternFill>
          <bgColor theme="0"/>
        </patternFill>
      </fill>
      <alignment vertical="center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fill>
        <patternFill>
          <bgColor theme="0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fill>
        <patternFill>
          <bgColor theme="0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fill>
        <patternFill>
          <bgColor theme="0"/>
        </patternFill>
      </fill>
      <alignment vertical="center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fill>
        <patternFill>
          <bgColor theme="0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fill>
        <patternFill>
          <bgColor theme="0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fill>
        <patternFill>
          <bgColor theme="0"/>
        </patternFill>
      </fill>
      <alignment vertical="center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fill>
        <patternFill>
          <bgColor theme="0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fill>
        <patternFill>
          <bgColor theme="0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fill>
        <patternFill>
          <bgColor theme="0"/>
        </patternFill>
      </fill>
      <alignment vertical="center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fill>
        <patternFill>
          <bgColor theme="0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fill>
        <patternFill>
          <bgColor theme="0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fill>
        <patternFill>
          <bgColor theme="0"/>
        </patternFill>
      </fill>
      <alignment vertical="center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/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fill>
        <patternFill>
          <bgColor theme="0"/>
        </patternFill>
      </fill>
      <alignment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fill>
        <patternFill>
          <bgColor theme="0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 tint="-0.499984740745262"/>
        <name val="Open Symbol"/>
        <scheme val="none"/>
      </font>
      <fill>
        <patternFill>
          <bgColor theme="0"/>
        </patternFill>
      </fill>
      <alignment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">
    <tableStyle name="Time sheet-style" pivot="0" count="2" xr9:uid="{00000000-0011-0000-FFFF-FFFF00000000}">
      <tableStyleElement type="firstRowStripe" dxfId="91"/>
      <tableStyleElement type="secondRowStripe" dxfId="90"/>
    </tableStyle>
  </tableStyles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2:K22" headerRowCount="0" headerRowDxfId="89" dataDxfId="88" totalsRowDxfId="87">
  <tableColumns count="10">
    <tableColumn id="1" xr3:uid="{00000000-0010-0000-0000-000001000000}" name="Column1" dataDxfId="86"/>
    <tableColumn id="2" xr3:uid="{00000000-0010-0000-0000-000002000000}" name="Column2" dataDxfId="85">
      <calculatedColumnFormula>SUM(C20:C21)</calculatedColumnFormula>
    </tableColumn>
    <tableColumn id="3" xr3:uid="{00000000-0010-0000-0000-000003000000}" name="Column3" dataDxfId="84">
      <calculatedColumnFormula>SUM(D20:D21)</calculatedColumnFormula>
    </tableColumn>
    <tableColumn id="4" xr3:uid="{00000000-0010-0000-0000-000004000000}" name="Column4" dataDxfId="83">
      <calculatedColumnFormula>SUM(E20:E21)</calculatedColumnFormula>
    </tableColumn>
    <tableColumn id="5" xr3:uid="{00000000-0010-0000-0000-000005000000}" name="Column5" dataDxfId="82">
      <calculatedColumnFormula>SUM(F20:F21)</calculatedColumnFormula>
    </tableColumn>
    <tableColumn id="6" xr3:uid="{00000000-0010-0000-0000-000006000000}" name="Column6" dataDxfId="81">
      <calculatedColumnFormula>SUM(G20:G21)</calculatedColumnFormula>
    </tableColumn>
    <tableColumn id="9" xr3:uid="{00000000-0010-0000-0000-000009000000}" name="Column9" dataDxfId="80">
      <calculatedColumnFormula>SUM(H20:H21)</calculatedColumnFormula>
    </tableColumn>
    <tableColumn id="8" xr3:uid="{00000000-0010-0000-0000-000008000000}" name="Column8" dataDxfId="79">
      <calculatedColumnFormula>SUM(I20:I21)</calculatedColumnFormula>
    </tableColumn>
    <tableColumn id="7" xr3:uid="{00000000-0010-0000-0000-000007000000}" name="Column7" dataDxfId="78">
      <calculatedColumnFormula>SUM(J20:J21)</calculatedColumnFormula>
    </tableColumn>
    <tableColumn id="10" xr3:uid="{00000000-0010-0000-0000-00000A000000}" name="Column10" headerRowDxfId="77" dataDxfId="5" totalsRowDxfId="76">
      <calculatedColumnFormula>SUM(K20:K21)</calculatedColumnFormula>
    </tableColumn>
  </tableColumns>
  <tableStyleInfo name="Time shee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B27:K27" headerRowCount="0" headerRowDxfId="75" dataDxfId="74" totalsRowDxfId="73">
  <tableColumns count="10">
    <tableColumn id="1" xr3:uid="{00000000-0010-0000-0100-000001000000}" name="Column1" dataDxfId="10"/>
    <tableColumn id="2" xr3:uid="{00000000-0010-0000-0100-000002000000}" name="Column2" dataDxfId="72">
      <calculatedColumnFormula>SUM(C25:C26)</calculatedColumnFormula>
    </tableColumn>
    <tableColumn id="3" xr3:uid="{00000000-0010-0000-0100-000003000000}" name="Column3" dataDxfId="71">
      <calculatedColumnFormula>SUM(D25:D26)</calculatedColumnFormula>
    </tableColumn>
    <tableColumn id="4" xr3:uid="{00000000-0010-0000-0100-000004000000}" name="Column4" dataDxfId="70">
      <calculatedColumnFormula>SUM(E25:E26)</calculatedColumnFormula>
    </tableColumn>
    <tableColumn id="5" xr3:uid="{00000000-0010-0000-0100-000005000000}" name="Column5" dataDxfId="69">
      <calculatedColumnFormula>SUM(F25:F26)</calculatedColumnFormula>
    </tableColumn>
    <tableColumn id="6" xr3:uid="{00000000-0010-0000-0100-000006000000}" name="Column6" dataDxfId="68">
      <calculatedColumnFormula>SUM(G25:G26)</calculatedColumnFormula>
    </tableColumn>
    <tableColumn id="9" xr3:uid="{00000000-0010-0000-0100-000009000000}" name="Column9" dataDxfId="67">
      <calculatedColumnFormula>SUM(H25:H26)</calculatedColumnFormula>
    </tableColumn>
    <tableColumn id="8" xr3:uid="{00000000-0010-0000-0100-000008000000}" name="Column8" dataDxfId="66">
      <calculatedColumnFormula>SUM(I25:I26)</calculatedColumnFormula>
    </tableColumn>
    <tableColumn id="7" xr3:uid="{00000000-0010-0000-0100-000007000000}" name="Column7" dataDxfId="65">
      <calculatedColumnFormula>SUM(J25:J26)</calculatedColumnFormula>
    </tableColumn>
    <tableColumn id="10" xr3:uid="{00000000-0010-0000-0100-00000A000000}" name="Column10" headerRowDxfId="64" dataDxfId="4" totalsRowDxfId="63">
      <calculatedColumnFormula>SUM(K25:K26)</calculatedColumnFormula>
    </tableColumn>
  </tableColumns>
  <tableStyleInfo name="Time shee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4" displayName="Table_14" ref="B32:K32" headerRowCount="0" headerRowDxfId="62" dataDxfId="61" totalsRowDxfId="60">
  <tableColumns count="10">
    <tableColumn id="1" xr3:uid="{00000000-0010-0000-0200-000001000000}" name="Column1" dataDxfId="9"/>
    <tableColumn id="2" xr3:uid="{00000000-0010-0000-0200-000002000000}" name="Column2" dataDxfId="59">
      <calculatedColumnFormula>SUM(C30:C31)</calculatedColumnFormula>
    </tableColumn>
    <tableColumn id="3" xr3:uid="{00000000-0010-0000-0200-000003000000}" name="Column3" dataDxfId="58">
      <calculatedColumnFormula>SUM(D30:D31)</calculatedColumnFormula>
    </tableColumn>
    <tableColumn id="4" xr3:uid="{00000000-0010-0000-0200-000004000000}" name="Column4" dataDxfId="57">
      <calculatedColumnFormula>SUM(E30:E31)</calculatedColumnFormula>
    </tableColumn>
    <tableColumn id="5" xr3:uid="{00000000-0010-0000-0200-000005000000}" name="Column5" dataDxfId="56">
      <calculatedColumnFormula>SUM(F30:F31)</calculatedColumnFormula>
    </tableColumn>
    <tableColumn id="6" xr3:uid="{00000000-0010-0000-0200-000006000000}" name="Column6" dataDxfId="55">
      <calculatedColumnFormula>SUM(G30:G31)</calculatedColumnFormula>
    </tableColumn>
    <tableColumn id="9" xr3:uid="{00000000-0010-0000-0200-000009000000}" name="Column9" dataDxfId="54">
      <calculatedColumnFormula>SUM(H30:H31)</calculatedColumnFormula>
    </tableColumn>
    <tableColumn id="8" xr3:uid="{00000000-0010-0000-0200-000008000000}" name="Column8" dataDxfId="53">
      <calculatedColumnFormula>SUM(I30:I31)</calculatedColumnFormula>
    </tableColumn>
    <tableColumn id="7" xr3:uid="{00000000-0010-0000-0200-000007000000}" name="Column7" dataDxfId="52">
      <calculatedColumnFormula>SUM(J30:J31)</calculatedColumnFormula>
    </tableColumn>
    <tableColumn id="10" xr3:uid="{00000000-0010-0000-0200-00000A000000}" name="Column10" headerRowDxfId="51" dataDxfId="3" totalsRowDxfId="50">
      <calculatedColumnFormula>SUM(K30:K31)</calculatedColumnFormula>
    </tableColumn>
  </tableColumns>
  <tableStyleInfo name="Time sheet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15" displayName="Table_15" ref="B37:K37" headerRowCount="0" headerRowDxfId="49" dataDxfId="48" totalsRowDxfId="47">
  <tableColumns count="10">
    <tableColumn id="1" xr3:uid="{00000000-0010-0000-0300-000001000000}" name="Column1" dataDxfId="8"/>
    <tableColumn id="2" xr3:uid="{00000000-0010-0000-0300-000002000000}" name="Column2" dataDxfId="46">
      <calculatedColumnFormula>SUM(C35:C36)</calculatedColumnFormula>
    </tableColumn>
    <tableColumn id="3" xr3:uid="{00000000-0010-0000-0300-000003000000}" name="Column3" dataDxfId="45">
      <calculatedColumnFormula>SUM(D35:D36)</calculatedColumnFormula>
    </tableColumn>
    <tableColumn id="4" xr3:uid="{00000000-0010-0000-0300-000004000000}" name="Column4" dataDxfId="44">
      <calculatedColumnFormula>SUM(E35:E36)</calculatedColumnFormula>
    </tableColumn>
    <tableColumn id="5" xr3:uid="{00000000-0010-0000-0300-000005000000}" name="Column5" dataDxfId="43">
      <calculatedColumnFormula>SUM(F35:F36)</calculatedColumnFormula>
    </tableColumn>
    <tableColumn id="6" xr3:uid="{00000000-0010-0000-0300-000006000000}" name="Column6" dataDxfId="42">
      <calculatedColumnFormula>SUM(G35:G36)</calculatedColumnFormula>
    </tableColumn>
    <tableColumn id="9" xr3:uid="{00000000-0010-0000-0300-000009000000}" name="Column9" dataDxfId="41">
      <calculatedColumnFormula>SUM(H35:H36)</calculatedColumnFormula>
    </tableColumn>
    <tableColumn id="8" xr3:uid="{00000000-0010-0000-0300-000008000000}" name="Column8" dataDxfId="40">
      <calculatedColumnFormula>SUM(I35:I36)</calculatedColumnFormula>
    </tableColumn>
    <tableColumn id="7" xr3:uid="{00000000-0010-0000-0300-000007000000}" name="Column7" dataDxfId="39">
      <calculatedColumnFormula>SUM(J35:J36)</calculatedColumnFormula>
    </tableColumn>
    <tableColumn id="10" xr3:uid="{00000000-0010-0000-0300-00000A000000}" name="Column10" headerRowDxfId="38" dataDxfId="2" totalsRowDxfId="37">
      <calculatedColumnFormula>SUM(K35:K36)</calculatedColumnFormula>
    </tableColumn>
  </tableColumns>
  <tableStyleInfo name="Time sheet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16" displayName="Table_16" ref="B42:K42" headerRowCount="0" headerRowDxfId="36" dataDxfId="35" totalsRowDxfId="34">
  <tableColumns count="10">
    <tableColumn id="1" xr3:uid="{00000000-0010-0000-0400-000001000000}" name="Column1" dataDxfId="7"/>
    <tableColumn id="2" xr3:uid="{00000000-0010-0000-0400-000002000000}" name="Column2" dataDxfId="33">
      <calculatedColumnFormula>SUM(C40:C41)</calculatedColumnFormula>
    </tableColumn>
    <tableColumn id="3" xr3:uid="{00000000-0010-0000-0400-000003000000}" name="Column3" dataDxfId="32">
      <calculatedColumnFormula>SUM(D40:D41)</calculatedColumnFormula>
    </tableColumn>
    <tableColumn id="4" xr3:uid="{00000000-0010-0000-0400-000004000000}" name="Column4" dataDxfId="31">
      <calculatedColumnFormula>SUM(E40:E41)</calculatedColumnFormula>
    </tableColumn>
    <tableColumn id="5" xr3:uid="{00000000-0010-0000-0400-000005000000}" name="Column5" dataDxfId="30">
      <calculatedColumnFormula>SUM(F40:F41)</calculatedColumnFormula>
    </tableColumn>
    <tableColumn id="6" xr3:uid="{00000000-0010-0000-0400-000006000000}" name="Column6" dataDxfId="29">
      <calculatedColumnFormula>SUM(G40:G41)</calculatedColumnFormula>
    </tableColumn>
    <tableColumn id="9" xr3:uid="{00000000-0010-0000-0400-000009000000}" name="Column9" dataDxfId="28">
      <calculatedColumnFormula>SUM(H40:H41)</calculatedColumnFormula>
    </tableColumn>
    <tableColumn id="8" xr3:uid="{00000000-0010-0000-0400-000008000000}" name="Column8" dataDxfId="27">
      <calculatedColumnFormula>SUM(I40:I41)</calculatedColumnFormula>
    </tableColumn>
    <tableColumn id="7" xr3:uid="{00000000-0010-0000-0400-000007000000}" name="Column7" dataDxfId="26">
      <calculatedColumnFormula>SUM(J40:J41)</calculatedColumnFormula>
    </tableColumn>
    <tableColumn id="10" xr3:uid="{00000000-0010-0000-0400-00000A000000}" name="Column10" headerRowDxfId="25" dataDxfId="1" totalsRowDxfId="24">
      <calculatedColumnFormula>SUM(K40:K41)</calculatedColumnFormula>
    </tableColumn>
  </tableColumns>
  <tableStyleInfo name="Time sheet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17" displayName="Table_17" ref="B47:K47" headerRowCount="0" headerRowDxfId="23" dataDxfId="22" totalsRowDxfId="21">
  <tableColumns count="10">
    <tableColumn id="1" xr3:uid="{00000000-0010-0000-0500-000001000000}" name="Column1" dataDxfId="6"/>
    <tableColumn id="2" xr3:uid="{00000000-0010-0000-0500-000002000000}" name="Column2" dataDxfId="20">
      <calculatedColumnFormula>SUM(C45:C46)</calculatedColumnFormula>
    </tableColumn>
    <tableColumn id="3" xr3:uid="{00000000-0010-0000-0500-000003000000}" name="Column3" dataDxfId="19">
      <calculatedColumnFormula>SUM(D45:D46)</calculatedColumnFormula>
    </tableColumn>
    <tableColumn id="4" xr3:uid="{00000000-0010-0000-0500-000004000000}" name="Column4" dataDxfId="18">
      <calculatedColumnFormula>SUM(E45:E46)</calculatedColumnFormula>
    </tableColumn>
    <tableColumn id="5" xr3:uid="{00000000-0010-0000-0500-000005000000}" name="Column5" dataDxfId="17">
      <calculatedColumnFormula>SUM(F45:F46)</calculatedColumnFormula>
    </tableColumn>
    <tableColumn id="6" xr3:uid="{00000000-0010-0000-0500-000006000000}" name="Column6" dataDxfId="16">
      <calculatedColumnFormula>SUM(G45:G46)</calculatedColumnFormula>
    </tableColumn>
    <tableColumn id="9" xr3:uid="{00000000-0010-0000-0500-000009000000}" name="Column9" dataDxfId="15">
      <calculatedColumnFormula>SUM(H45:H46)</calculatedColumnFormula>
    </tableColumn>
    <tableColumn id="8" xr3:uid="{00000000-0010-0000-0500-000008000000}" name="Column8" dataDxfId="14">
      <calculatedColumnFormula>SUM(I45:I46)</calculatedColumnFormula>
    </tableColumn>
    <tableColumn id="7" xr3:uid="{00000000-0010-0000-0500-000007000000}" name="Column7" dataDxfId="13">
      <calculatedColumnFormula>SUM(J45:J46)</calculatedColumnFormula>
    </tableColumn>
    <tableColumn id="10" xr3:uid="{00000000-0010-0000-0500-00000A000000}" name="Column10" headerRowDxfId="12" dataDxfId="0" totalsRowDxfId="11">
      <calculatedColumnFormula>SUM(K45:K46)</calculatedColumnFormula>
    </tableColumn>
  </tableColumns>
  <tableStyleInfo name="Time sheet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4:K60"/>
  <sheetViews>
    <sheetView showGridLines="0" showRowColHeaders="0" tabSelected="1" zoomScale="90" zoomScaleNormal="90" zoomScaleSheetLayoutView="90" workbookViewId="0">
      <selection activeCell="F13" sqref="F13"/>
    </sheetView>
  </sheetViews>
  <sheetFormatPr defaultColWidth="14.42578125" defaultRowHeight="15.75" customHeight="1"/>
  <cols>
    <col min="1" max="1" width="2.140625" style="1" customWidth="1"/>
    <col min="2" max="2" width="25" style="1" customWidth="1"/>
    <col min="3" max="9" width="13.28515625" style="1" customWidth="1"/>
    <col min="10" max="11" width="16.7109375" style="1" customWidth="1"/>
    <col min="12" max="12" width="2.140625" style="1" customWidth="1"/>
    <col min="13" max="16384" width="14.42578125" style="1"/>
  </cols>
  <sheetData>
    <row r="4" spans="2:11" ht="15.75" customHeight="1">
      <c r="F4"/>
    </row>
    <row r="9" spans="2:11" ht="24" customHeight="1">
      <c r="B9" s="26" t="s">
        <v>17</v>
      </c>
      <c r="C9" s="26"/>
      <c r="D9" s="26"/>
      <c r="E9" s="10"/>
      <c r="H9" s="16"/>
      <c r="I9" s="28" t="s">
        <v>20</v>
      </c>
      <c r="J9" s="28"/>
      <c r="K9" s="28"/>
    </row>
    <row r="10" spans="2:11" ht="24" customHeight="1">
      <c r="B10" s="26" t="s">
        <v>18</v>
      </c>
      <c r="C10" s="26"/>
      <c r="D10" s="26"/>
      <c r="E10" s="11"/>
      <c r="I10" s="24" t="s">
        <v>7</v>
      </c>
      <c r="J10" s="29">
        <v>44743</v>
      </c>
      <c r="K10" s="29"/>
    </row>
    <row r="11" spans="2:11" ht="24" customHeight="1">
      <c r="B11" s="26" t="s">
        <v>4</v>
      </c>
      <c r="C11" s="26"/>
      <c r="D11" s="26"/>
      <c r="E11" s="12"/>
      <c r="I11" s="27"/>
      <c r="J11" s="27"/>
      <c r="K11" s="27"/>
    </row>
    <row r="12" spans="2:11" ht="24" customHeight="1">
      <c r="B12" s="26" t="s">
        <v>19</v>
      </c>
      <c r="C12" s="26"/>
      <c r="D12" s="26"/>
      <c r="E12" s="12"/>
      <c r="I12" s="27"/>
      <c r="J12" s="27"/>
      <c r="K12" s="27"/>
    </row>
    <row r="13" spans="2:11" ht="24" customHeight="1">
      <c r="B13" s="14"/>
      <c r="C13" s="12"/>
      <c r="D13" s="12"/>
      <c r="E13" s="12"/>
      <c r="I13" s="27"/>
      <c r="J13" s="27"/>
      <c r="K13" s="27"/>
    </row>
    <row r="14" spans="2:11" ht="24" customHeight="1">
      <c r="B14" s="25" t="s">
        <v>21</v>
      </c>
      <c r="C14" s="41">
        <v>7</v>
      </c>
      <c r="E14" s="12"/>
      <c r="I14" s="27"/>
      <c r="J14" s="27"/>
      <c r="K14" s="27"/>
    </row>
    <row r="15" spans="2:11" ht="24" customHeight="1">
      <c r="B15" s="25" t="s">
        <v>22</v>
      </c>
      <c r="C15" s="41">
        <v>8</v>
      </c>
      <c r="E15" s="13"/>
      <c r="I15" s="37"/>
      <c r="J15" s="37"/>
      <c r="K15" s="37"/>
    </row>
    <row r="17" spans="1:11" ht="12.75">
      <c r="A17" s="2"/>
      <c r="B17" s="3"/>
      <c r="C17" s="3"/>
      <c r="D17" s="3"/>
      <c r="E17" s="3"/>
      <c r="F17" s="3"/>
      <c r="G17" s="3"/>
      <c r="H17" s="3"/>
      <c r="I17" s="3"/>
      <c r="J17" s="3"/>
      <c r="K17" s="2"/>
    </row>
    <row r="18" spans="1:11" s="5" customFormat="1" ht="24" customHeight="1">
      <c r="A18" s="4"/>
      <c r="B18" s="19" t="s">
        <v>5</v>
      </c>
      <c r="C18" s="17" t="str">
        <f>TEXT(C19, "DDD")</f>
        <v>DDD</v>
      </c>
      <c r="D18" s="23" t="str">
        <f t="shared" ref="D18:I18" si="0">TEXT(D19, "DDD")</f>
        <v>DDD</v>
      </c>
      <c r="E18" s="23" t="str">
        <f t="shared" si="0"/>
        <v>DDD</v>
      </c>
      <c r="F18" s="23" t="str">
        <f t="shared" si="0"/>
        <v>DDD</v>
      </c>
      <c r="G18" s="23" t="str">
        <f t="shared" si="0"/>
        <v>DDD</v>
      </c>
      <c r="H18" s="23" t="str">
        <f t="shared" si="0"/>
        <v>DDD</v>
      </c>
      <c r="I18" s="23" t="str">
        <f t="shared" si="0"/>
        <v>DDD</v>
      </c>
      <c r="J18" s="34" t="s">
        <v>6</v>
      </c>
      <c r="K18" s="34"/>
    </row>
    <row r="19" spans="1:11" s="5" customFormat="1" ht="24" customHeight="1">
      <c r="A19" s="4"/>
      <c r="B19" s="19" t="s">
        <v>7</v>
      </c>
      <c r="C19" s="18">
        <f>J10</f>
        <v>44743</v>
      </c>
      <c r="D19" s="18">
        <f>C19+1</f>
        <v>44744</v>
      </c>
      <c r="E19" s="18">
        <f t="shared" ref="E19:I19" si="1">D19+1</f>
        <v>44745</v>
      </c>
      <c r="F19" s="18">
        <f t="shared" si="1"/>
        <v>44746</v>
      </c>
      <c r="G19" s="18">
        <f t="shared" si="1"/>
        <v>44747</v>
      </c>
      <c r="H19" s="18">
        <f t="shared" si="1"/>
        <v>44748</v>
      </c>
      <c r="I19" s="18">
        <f t="shared" si="1"/>
        <v>44749</v>
      </c>
      <c r="J19" s="34"/>
      <c r="K19" s="34"/>
    </row>
    <row r="20" spans="1:11" s="5" customFormat="1" ht="21" customHeight="1">
      <c r="A20" s="6"/>
      <c r="B20" s="20" t="s">
        <v>8</v>
      </c>
      <c r="C20" s="21">
        <v>8</v>
      </c>
      <c r="D20" s="21">
        <v>7.5</v>
      </c>
      <c r="E20" s="21">
        <v>7</v>
      </c>
      <c r="F20" s="21">
        <v>8</v>
      </c>
      <c r="G20" s="21">
        <v>8</v>
      </c>
      <c r="H20" s="21">
        <v>0</v>
      </c>
      <c r="I20" s="21">
        <v>0</v>
      </c>
      <c r="J20" s="22">
        <f>SUM(C20:I20)</f>
        <v>38.5</v>
      </c>
      <c r="K20" s="38">
        <f>J20*$C$14</f>
        <v>269.5</v>
      </c>
    </row>
    <row r="21" spans="1:11" s="5" customFormat="1" ht="21" customHeight="1">
      <c r="A21" s="7"/>
      <c r="B21" s="20" t="s">
        <v>9</v>
      </c>
      <c r="C21" s="21">
        <v>0</v>
      </c>
      <c r="D21" s="21">
        <v>0</v>
      </c>
      <c r="E21" s="21">
        <v>0</v>
      </c>
      <c r="F21" s="21">
        <v>1</v>
      </c>
      <c r="G21" s="21">
        <v>0</v>
      </c>
      <c r="H21" s="21">
        <v>0</v>
      </c>
      <c r="I21" s="21">
        <v>0</v>
      </c>
      <c r="J21" s="22">
        <f>SUM(C21:I21)</f>
        <v>1</v>
      </c>
      <c r="K21" s="38">
        <f>J21*$C$15</f>
        <v>8</v>
      </c>
    </row>
    <row r="22" spans="1:11" s="5" customFormat="1" ht="21" customHeight="1">
      <c r="A22" s="8"/>
      <c r="B22" s="20" t="s">
        <v>10</v>
      </c>
      <c r="C22" s="22">
        <f t="shared" ref="C22" si="2">SUM(C20:C21)</f>
        <v>8</v>
      </c>
      <c r="D22" s="22">
        <f t="shared" ref="D22" si="3">SUM(D20:D21)</f>
        <v>7.5</v>
      </c>
      <c r="E22" s="22">
        <f t="shared" ref="E22" si="4">SUM(E20:E21)</f>
        <v>7</v>
      </c>
      <c r="F22" s="22">
        <f t="shared" ref="F22" si="5">SUM(F20:F21)</f>
        <v>9</v>
      </c>
      <c r="G22" s="22">
        <f t="shared" ref="G22" si="6">SUM(G20:G21)</f>
        <v>8</v>
      </c>
      <c r="H22" s="22">
        <f t="shared" ref="H22" si="7">SUM(H20:H21)</f>
        <v>0</v>
      </c>
      <c r="I22" s="22">
        <f t="shared" ref="I22" si="8">SUM(I20:I21)</f>
        <v>0</v>
      </c>
      <c r="J22" s="22">
        <f t="shared" ref="J22" si="9">SUM(J20:J21)</f>
        <v>39.5</v>
      </c>
      <c r="K22" s="38">
        <f t="shared" ref="K22" si="10">SUM(K20:K21)</f>
        <v>277.5</v>
      </c>
    </row>
    <row r="23" spans="1:11" s="5" customFormat="1" ht="24" customHeight="1">
      <c r="A23" s="9"/>
      <c r="B23" s="19" t="s">
        <v>5</v>
      </c>
      <c r="C23" s="23" t="str">
        <f t="shared" ref="C23:I23" si="11">TEXT(C24, "DDD")</f>
        <v>DDD</v>
      </c>
      <c r="D23" s="23" t="str">
        <f t="shared" si="11"/>
        <v>DDD</v>
      </c>
      <c r="E23" s="23" t="str">
        <f t="shared" si="11"/>
        <v>DDD</v>
      </c>
      <c r="F23" s="23" t="str">
        <f t="shared" si="11"/>
        <v>DDD</v>
      </c>
      <c r="G23" s="23" t="str">
        <f t="shared" si="11"/>
        <v>DDD</v>
      </c>
      <c r="H23" s="23" t="str">
        <f t="shared" si="11"/>
        <v>DDD</v>
      </c>
      <c r="I23" s="23" t="str">
        <f t="shared" si="11"/>
        <v>DDD</v>
      </c>
      <c r="J23" s="34" t="str">
        <f>J18</f>
        <v>Jumlah Mingguan</v>
      </c>
      <c r="K23" s="34"/>
    </row>
    <row r="24" spans="1:11" s="5" customFormat="1" ht="24" customHeight="1">
      <c r="A24" s="9"/>
      <c r="B24" s="19" t="s">
        <v>7</v>
      </c>
      <c r="C24" s="18">
        <f>I19+1</f>
        <v>44750</v>
      </c>
      <c r="D24" s="18">
        <f>C24+1</f>
        <v>44751</v>
      </c>
      <c r="E24" s="18">
        <f t="shared" ref="E24" si="12">D24+1</f>
        <v>44752</v>
      </c>
      <c r="F24" s="18">
        <f t="shared" ref="F24" si="13">E24+1</f>
        <v>44753</v>
      </c>
      <c r="G24" s="18">
        <f t="shared" ref="G24" si="14">F24+1</f>
        <v>44754</v>
      </c>
      <c r="H24" s="18">
        <f t="shared" ref="H24" si="15">G24+1</f>
        <v>44755</v>
      </c>
      <c r="I24" s="18">
        <f t="shared" ref="I24" si="16">H24+1</f>
        <v>44756</v>
      </c>
      <c r="J24" s="34"/>
      <c r="K24" s="34"/>
    </row>
    <row r="25" spans="1:11" s="5" customFormat="1" ht="21" customHeight="1">
      <c r="B25" s="20" t="s">
        <v>8</v>
      </c>
      <c r="C25" s="21">
        <v>8</v>
      </c>
      <c r="D25" s="21">
        <v>7.5</v>
      </c>
      <c r="E25" s="21">
        <v>7</v>
      </c>
      <c r="F25" s="21">
        <v>8</v>
      </c>
      <c r="G25" s="21">
        <v>8</v>
      </c>
      <c r="H25" s="21">
        <v>0</v>
      </c>
      <c r="I25" s="21">
        <v>0</v>
      </c>
      <c r="J25" s="22">
        <f>SUM(C25:I25)</f>
        <v>38.5</v>
      </c>
      <c r="K25" s="38">
        <f>J25*$C$14</f>
        <v>269.5</v>
      </c>
    </row>
    <row r="26" spans="1:11" s="5" customFormat="1" ht="21" customHeight="1">
      <c r="B26" s="20" t="s">
        <v>9</v>
      </c>
      <c r="C26" s="21">
        <v>0</v>
      </c>
      <c r="D26" s="21">
        <v>0</v>
      </c>
      <c r="E26" s="21">
        <v>0</v>
      </c>
      <c r="F26" s="21">
        <v>1</v>
      </c>
      <c r="G26" s="21">
        <v>0</v>
      </c>
      <c r="H26" s="21">
        <v>0</v>
      </c>
      <c r="I26" s="21">
        <v>0</v>
      </c>
      <c r="J26" s="22">
        <f>SUM(C26:I26)</f>
        <v>1</v>
      </c>
      <c r="K26" s="38">
        <f>J26*$C$15</f>
        <v>8</v>
      </c>
    </row>
    <row r="27" spans="1:11" s="5" customFormat="1" ht="21" customHeight="1">
      <c r="B27" s="20" t="s">
        <v>10</v>
      </c>
      <c r="C27" s="22">
        <f t="shared" ref="C27" si="17">SUM(C25:C26)</f>
        <v>8</v>
      </c>
      <c r="D27" s="22">
        <f t="shared" ref="D27" si="18">SUM(D25:D26)</f>
        <v>7.5</v>
      </c>
      <c r="E27" s="22">
        <f t="shared" ref="E27" si="19">SUM(E25:E26)</f>
        <v>7</v>
      </c>
      <c r="F27" s="22">
        <f t="shared" ref="F27" si="20">SUM(F25:F26)</f>
        <v>9</v>
      </c>
      <c r="G27" s="22">
        <f t="shared" ref="G27" si="21">SUM(G25:G26)</f>
        <v>8</v>
      </c>
      <c r="H27" s="22">
        <f t="shared" ref="H27" si="22">SUM(H25:H26)</f>
        <v>0</v>
      </c>
      <c r="I27" s="22">
        <f t="shared" ref="I27" si="23">SUM(I25:I26)</f>
        <v>0</v>
      </c>
      <c r="J27" s="22">
        <f t="shared" ref="J27:K27" si="24">SUM(J25:J26)</f>
        <v>39.5</v>
      </c>
      <c r="K27" s="38">
        <f t="shared" si="24"/>
        <v>277.5</v>
      </c>
    </row>
    <row r="28" spans="1:11" s="5" customFormat="1" ht="24" customHeight="1">
      <c r="B28" s="19" t="s">
        <v>5</v>
      </c>
      <c r="C28" s="23" t="str">
        <f t="shared" ref="C28:I28" si="25">TEXT(C29, "DDD")</f>
        <v>DDD</v>
      </c>
      <c r="D28" s="23" t="str">
        <f t="shared" si="25"/>
        <v>DDD</v>
      </c>
      <c r="E28" s="23" t="str">
        <f t="shared" si="25"/>
        <v>DDD</v>
      </c>
      <c r="F28" s="23" t="str">
        <f t="shared" si="25"/>
        <v>DDD</v>
      </c>
      <c r="G28" s="23" t="str">
        <f t="shared" si="25"/>
        <v>DDD</v>
      </c>
      <c r="H28" s="23" t="str">
        <f t="shared" si="25"/>
        <v>DDD</v>
      </c>
      <c r="I28" s="23" t="str">
        <f t="shared" si="25"/>
        <v>DDD</v>
      </c>
      <c r="J28" s="34" t="str">
        <f t="shared" ref="J28" si="26">J23</f>
        <v>Jumlah Mingguan</v>
      </c>
      <c r="K28" s="34"/>
    </row>
    <row r="29" spans="1:11" s="5" customFormat="1" ht="24" customHeight="1">
      <c r="B29" s="19" t="s">
        <v>7</v>
      </c>
      <c r="C29" s="18">
        <f>I24+1</f>
        <v>44757</v>
      </c>
      <c r="D29" s="18">
        <f>C29+1</f>
        <v>44758</v>
      </c>
      <c r="E29" s="18">
        <f t="shared" ref="E29" si="27">D29+1</f>
        <v>44759</v>
      </c>
      <c r="F29" s="18">
        <f t="shared" ref="F29" si="28">E29+1</f>
        <v>44760</v>
      </c>
      <c r="G29" s="18">
        <f t="shared" ref="G29" si="29">F29+1</f>
        <v>44761</v>
      </c>
      <c r="H29" s="18">
        <f t="shared" ref="H29" si="30">G29+1</f>
        <v>44762</v>
      </c>
      <c r="I29" s="18">
        <f t="shared" ref="I29" si="31">H29+1</f>
        <v>44763</v>
      </c>
      <c r="J29" s="34"/>
      <c r="K29" s="34"/>
    </row>
    <row r="30" spans="1:11" s="5" customFormat="1" ht="21" customHeight="1">
      <c r="B30" s="20" t="s">
        <v>8</v>
      </c>
      <c r="C30" s="21">
        <v>8</v>
      </c>
      <c r="D30" s="21">
        <v>7.5</v>
      </c>
      <c r="E30" s="21">
        <v>7</v>
      </c>
      <c r="F30" s="21">
        <v>8</v>
      </c>
      <c r="G30" s="21">
        <v>8</v>
      </c>
      <c r="H30" s="21">
        <v>0</v>
      </c>
      <c r="I30" s="21">
        <v>0</v>
      </c>
      <c r="J30" s="22">
        <f>SUM(C30:I30)</f>
        <v>38.5</v>
      </c>
      <c r="K30" s="38">
        <f>J30*$C$14</f>
        <v>269.5</v>
      </c>
    </row>
    <row r="31" spans="1:11" s="5" customFormat="1" ht="21" customHeight="1">
      <c r="B31" s="20" t="s">
        <v>9</v>
      </c>
      <c r="C31" s="21">
        <v>0</v>
      </c>
      <c r="D31" s="21">
        <v>0</v>
      </c>
      <c r="E31" s="21">
        <v>0</v>
      </c>
      <c r="F31" s="21">
        <v>1</v>
      </c>
      <c r="G31" s="21">
        <v>0</v>
      </c>
      <c r="H31" s="21">
        <v>0</v>
      </c>
      <c r="I31" s="21">
        <v>0</v>
      </c>
      <c r="J31" s="22">
        <f>SUM(C31:I31)</f>
        <v>1</v>
      </c>
      <c r="K31" s="38">
        <f>J31*$C$15</f>
        <v>8</v>
      </c>
    </row>
    <row r="32" spans="1:11" s="5" customFormat="1" ht="21" customHeight="1">
      <c r="B32" s="20" t="s">
        <v>10</v>
      </c>
      <c r="C32" s="22">
        <f t="shared" ref="C32" si="32">SUM(C30:C31)</f>
        <v>8</v>
      </c>
      <c r="D32" s="22">
        <f t="shared" ref="D32" si="33">SUM(D30:D31)</f>
        <v>7.5</v>
      </c>
      <c r="E32" s="22">
        <f t="shared" ref="E32" si="34">SUM(E30:E31)</f>
        <v>7</v>
      </c>
      <c r="F32" s="22">
        <f t="shared" ref="F32" si="35">SUM(F30:F31)</f>
        <v>9</v>
      </c>
      <c r="G32" s="22">
        <f t="shared" ref="G32" si="36">SUM(G30:G31)</f>
        <v>8</v>
      </c>
      <c r="H32" s="22">
        <f t="shared" ref="H32" si="37">SUM(H30:H31)</f>
        <v>0</v>
      </c>
      <c r="I32" s="22">
        <f t="shared" ref="I32" si="38">SUM(I30:I31)</f>
        <v>0</v>
      </c>
      <c r="J32" s="22">
        <f t="shared" ref="J32:K32" si="39">SUM(J30:J31)</f>
        <v>39.5</v>
      </c>
      <c r="K32" s="38">
        <f t="shared" si="39"/>
        <v>277.5</v>
      </c>
    </row>
    <row r="33" spans="2:11" s="5" customFormat="1" ht="24" customHeight="1">
      <c r="B33" s="19" t="s">
        <v>5</v>
      </c>
      <c r="C33" s="23" t="str">
        <f t="shared" ref="C33:I33" si="40">TEXT(C34, "DDD")</f>
        <v>DDD</v>
      </c>
      <c r="D33" s="23" t="str">
        <f t="shared" si="40"/>
        <v>DDD</v>
      </c>
      <c r="E33" s="23" t="str">
        <f t="shared" si="40"/>
        <v>DDD</v>
      </c>
      <c r="F33" s="23" t="str">
        <f t="shared" si="40"/>
        <v>DDD</v>
      </c>
      <c r="G33" s="23" t="str">
        <f t="shared" si="40"/>
        <v>DDD</v>
      </c>
      <c r="H33" s="23" t="str">
        <f t="shared" si="40"/>
        <v>DDD</v>
      </c>
      <c r="I33" s="23" t="str">
        <f t="shared" si="40"/>
        <v>DDD</v>
      </c>
      <c r="J33" s="34" t="str">
        <f>J28</f>
        <v>Jumlah Mingguan</v>
      </c>
      <c r="K33" s="34"/>
    </row>
    <row r="34" spans="2:11" s="5" customFormat="1" ht="24" customHeight="1">
      <c r="B34" s="19" t="s">
        <v>7</v>
      </c>
      <c r="C34" s="18">
        <f>I29+1</f>
        <v>44764</v>
      </c>
      <c r="D34" s="18">
        <f>C34+1</f>
        <v>44765</v>
      </c>
      <c r="E34" s="18">
        <f t="shared" ref="E34" si="41">D34+1</f>
        <v>44766</v>
      </c>
      <c r="F34" s="18">
        <f t="shared" ref="F34" si="42">E34+1</f>
        <v>44767</v>
      </c>
      <c r="G34" s="18">
        <f t="shared" ref="G34" si="43">F34+1</f>
        <v>44768</v>
      </c>
      <c r="H34" s="18">
        <f t="shared" ref="H34" si="44">G34+1</f>
        <v>44769</v>
      </c>
      <c r="I34" s="18">
        <f t="shared" ref="I34" si="45">H34+1</f>
        <v>44770</v>
      </c>
      <c r="J34" s="34"/>
      <c r="K34" s="34"/>
    </row>
    <row r="35" spans="2:11" s="5" customFormat="1" ht="21" customHeight="1">
      <c r="B35" s="20" t="s">
        <v>8</v>
      </c>
      <c r="C35" s="21">
        <v>8</v>
      </c>
      <c r="D35" s="21">
        <v>7.5</v>
      </c>
      <c r="E35" s="21">
        <v>7</v>
      </c>
      <c r="F35" s="21">
        <v>8</v>
      </c>
      <c r="G35" s="21">
        <v>8</v>
      </c>
      <c r="H35" s="21">
        <v>0</v>
      </c>
      <c r="I35" s="21">
        <v>0</v>
      </c>
      <c r="J35" s="22">
        <f>SUM(C35:I35)</f>
        <v>38.5</v>
      </c>
      <c r="K35" s="38">
        <f>J35*$C$14</f>
        <v>269.5</v>
      </c>
    </row>
    <row r="36" spans="2:11" s="5" customFormat="1" ht="21" customHeight="1">
      <c r="B36" s="20" t="s">
        <v>9</v>
      </c>
      <c r="C36" s="21">
        <v>0</v>
      </c>
      <c r="D36" s="21">
        <v>0</v>
      </c>
      <c r="E36" s="21">
        <v>0</v>
      </c>
      <c r="F36" s="21">
        <v>1</v>
      </c>
      <c r="G36" s="21">
        <v>0</v>
      </c>
      <c r="H36" s="21">
        <v>0</v>
      </c>
      <c r="I36" s="21">
        <v>0</v>
      </c>
      <c r="J36" s="22">
        <f>SUM(C36:I36)</f>
        <v>1</v>
      </c>
      <c r="K36" s="38">
        <f>J36*$C$15</f>
        <v>8</v>
      </c>
    </row>
    <row r="37" spans="2:11" s="5" customFormat="1" ht="21" customHeight="1">
      <c r="B37" s="20" t="s">
        <v>10</v>
      </c>
      <c r="C37" s="22">
        <f t="shared" ref="C37" si="46">SUM(C35:C36)</f>
        <v>8</v>
      </c>
      <c r="D37" s="22">
        <f t="shared" ref="D37" si="47">SUM(D35:D36)</f>
        <v>7.5</v>
      </c>
      <c r="E37" s="22">
        <f t="shared" ref="E37" si="48">SUM(E35:E36)</f>
        <v>7</v>
      </c>
      <c r="F37" s="22">
        <f t="shared" ref="F37" si="49">SUM(F35:F36)</f>
        <v>9</v>
      </c>
      <c r="G37" s="22">
        <f t="shared" ref="G37" si="50">SUM(G35:G36)</f>
        <v>8</v>
      </c>
      <c r="H37" s="22">
        <f t="shared" ref="H37" si="51">SUM(H35:H36)</f>
        <v>0</v>
      </c>
      <c r="I37" s="22">
        <f t="shared" ref="I37" si="52">SUM(I35:I36)</f>
        <v>0</v>
      </c>
      <c r="J37" s="22">
        <f t="shared" ref="J37:K37" si="53">SUM(J35:J36)</f>
        <v>39.5</v>
      </c>
      <c r="K37" s="38">
        <f t="shared" si="53"/>
        <v>277.5</v>
      </c>
    </row>
    <row r="38" spans="2:11" s="5" customFormat="1" ht="24" customHeight="1">
      <c r="B38" s="19" t="s">
        <v>5</v>
      </c>
      <c r="C38" s="23" t="str">
        <f t="shared" ref="C38:I38" si="54">TEXT(C39, "DDD")</f>
        <v>DDD</v>
      </c>
      <c r="D38" s="23" t="str">
        <f t="shared" si="54"/>
        <v>DDD</v>
      </c>
      <c r="E38" s="23" t="str">
        <f t="shared" si="54"/>
        <v>DDD</v>
      </c>
      <c r="F38" s="23" t="str">
        <f t="shared" si="54"/>
        <v>DDD</v>
      </c>
      <c r="G38" s="23" t="str">
        <f t="shared" si="54"/>
        <v>DDD</v>
      </c>
      <c r="H38" s="23" t="str">
        <f t="shared" si="54"/>
        <v>DDD</v>
      </c>
      <c r="I38" s="23" t="str">
        <f t="shared" si="54"/>
        <v>DDD</v>
      </c>
      <c r="J38" s="34" t="str">
        <f>J33</f>
        <v>Jumlah Mingguan</v>
      </c>
      <c r="K38" s="34"/>
    </row>
    <row r="39" spans="2:11" s="5" customFormat="1" ht="24" customHeight="1">
      <c r="B39" s="19" t="s">
        <v>7</v>
      </c>
      <c r="C39" s="18">
        <f>I34+1</f>
        <v>44771</v>
      </c>
      <c r="D39" s="18">
        <f>C39+1</f>
        <v>44772</v>
      </c>
      <c r="E39" s="18">
        <f t="shared" ref="E39" si="55">D39+1</f>
        <v>44773</v>
      </c>
      <c r="F39" s="18">
        <f t="shared" ref="F39" si="56">E39+1</f>
        <v>44774</v>
      </c>
      <c r="G39" s="18">
        <f t="shared" ref="G39" si="57">F39+1</f>
        <v>44775</v>
      </c>
      <c r="H39" s="18">
        <f t="shared" ref="H39" si="58">G39+1</f>
        <v>44776</v>
      </c>
      <c r="I39" s="18">
        <f t="shared" ref="I39" si="59">H39+1</f>
        <v>44777</v>
      </c>
      <c r="J39" s="34"/>
      <c r="K39" s="34"/>
    </row>
    <row r="40" spans="2:11" s="5" customFormat="1" ht="21" customHeight="1">
      <c r="B40" s="20" t="s">
        <v>8</v>
      </c>
      <c r="C40" s="21">
        <v>8</v>
      </c>
      <c r="D40" s="21">
        <v>7.5</v>
      </c>
      <c r="E40" s="21">
        <v>7</v>
      </c>
      <c r="F40" s="21">
        <v>8</v>
      </c>
      <c r="G40" s="21">
        <v>8</v>
      </c>
      <c r="H40" s="21">
        <v>0</v>
      </c>
      <c r="I40" s="21">
        <v>0</v>
      </c>
      <c r="J40" s="22">
        <f>SUM(C40:I40)</f>
        <v>38.5</v>
      </c>
      <c r="K40" s="38">
        <f>J40*$C$14</f>
        <v>269.5</v>
      </c>
    </row>
    <row r="41" spans="2:11" s="5" customFormat="1" ht="21" customHeight="1">
      <c r="B41" s="20" t="s">
        <v>9</v>
      </c>
      <c r="C41" s="21">
        <v>0</v>
      </c>
      <c r="D41" s="21">
        <v>0</v>
      </c>
      <c r="E41" s="21">
        <v>0</v>
      </c>
      <c r="F41" s="21">
        <v>1</v>
      </c>
      <c r="G41" s="21">
        <v>0</v>
      </c>
      <c r="H41" s="21">
        <v>0</v>
      </c>
      <c r="I41" s="21">
        <v>0</v>
      </c>
      <c r="J41" s="22">
        <f>SUM(C41:I41)</f>
        <v>1</v>
      </c>
      <c r="K41" s="38">
        <f>J41*$C$15</f>
        <v>8</v>
      </c>
    </row>
    <row r="42" spans="2:11" s="5" customFormat="1" ht="21" customHeight="1">
      <c r="B42" s="20" t="s">
        <v>10</v>
      </c>
      <c r="C42" s="22">
        <f t="shared" ref="C42" si="60">SUM(C40:C41)</f>
        <v>8</v>
      </c>
      <c r="D42" s="22">
        <f t="shared" ref="D42" si="61">SUM(D40:D41)</f>
        <v>7.5</v>
      </c>
      <c r="E42" s="22">
        <f t="shared" ref="E42" si="62">SUM(E40:E41)</f>
        <v>7</v>
      </c>
      <c r="F42" s="22">
        <f t="shared" ref="F42" si="63">SUM(F40:F41)</f>
        <v>9</v>
      </c>
      <c r="G42" s="22">
        <f t="shared" ref="G42" si="64">SUM(G40:G41)</f>
        <v>8</v>
      </c>
      <c r="H42" s="22">
        <f t="shared" ref="H42" si="65">SUM(H40:H41)</f>
        <v>0</v>
      </c>
      <c r="I42" s="22">
        <f t="shared" ref="I42" si="66">SUM(I40:I41)</f>
        <v>0</v>
      </c>
      <c r="J42" s="22">
        <f t="shared" ref="J42:K42" si="67">SUM(J40:J41)</f>
        <v>39.5</v>
      </c>
      <c r="K42" s="38">
        <f t="shared" si="67"/>
        <v>277.5</v>
      </c>
    </row>
    <row r="43" spans="2:11" s="5" customFormat="1" ht="24" customHeight="1">
      <c r="B43" s="19" t="s">
        <v>5</v>
      </c>
      <c r="C43" s="23" t="str">
        <f t="shared" ref="C43:I43" si="68">TEXT(C44, "DDD")</f>
        <v>DDD</v>
      </c>
      <c r="D43" s="23" t="str">
        <f t="shared" si="68"/>
        <v>DDD</v>
      </c>
      <c r="E43" s="23" t="str">
        <f t="shared" si="68"/>
        <v>DDD</v>
      </c>
      <c r="F43" s="23" t="str">
        <f t="shared" si="68"/>
        <v>DDD</v>
      </c>
      <c r="G43" s="23" t="str">
        <f t="shared" si="68"/>
        <v>DDD</v>
      </c>
      <c r="H43" s="23" t="str">
        <f t="shared" si="68"/>
        <v>DDD</v>
      </c>
      <c r="I43" s="23" t="str">
        <f t="shared" si="68"/>
        <v>DDD</v>
      </c>
      <c r="J43" s="34" t="str">
        <f>J38</f>
        <v>Jumlah Mingguan</v>
      </c>
      <c r="K43" s="34"/>
    </row>
    <row r="44" spans="2:11" s="5" customFormat="1" ht="24" customHeight="1">
      <c r="B44" s="19" t="s">
        <v>7</v>
      </c>
      <c r="C44" s="18">
        <f>I39+1</f>
        <v>44778</v>
      </c>
      <c r="D44" s="18">
        <f>C44+1</f>
        <v>44779</v>
      </c>
      <c r="E44" s="18">
        <f t="shared" ref="E44" si="69">D44+1</f>
        <v>44780</v>
      </c>
      <c r="F44" s="18">
        <f t="shared" ref="F44" si="70">E44+1</f>
        <v>44781</v>
      </c>
      <c r="G44" s="18">
        <f t="shared" ref="G44" si="71">F44+1</f>
        <v>44782</v>
      </c>
      <c r="H44" s="18">
        <f t="shared" ref="H44" si="72">G44+1</f>
        <v>44783</v>
      </c>
      <c r="I44" s="18">
        <f t="shared" ref="I44" si="73">H44+1</f>
        <v>44784</v>
      </c>
      <c r="J44" s="34"/>
      <c r="K44" s="34"/>
    </row>
    <row r="45" spans="2:11" s="5" customFormat="1" ht="21" customHeight="1">
      <c r="B45" s="20" t="s">
        <v>8</v>
      </c>
      <c r="C45" s="21">
        <v>8</v>
      </c>
      <c r="D45" s="21">
        <v>7.5</v>
      </c>
      <c r="E45" s="21">
        <v>7</v>
      </c>
      <c r="F45" s="21">
        <v>8</v>
      </c>
      <c r="G45" s="21">
        <v>8</v>
      </c>
      <c r="H45" s="21">
        <v>0</v>
      </c>
      <c r="I45" s="21">
        <v>0</v>
      </c>
      <c r="J45" s="22">
        <f>SUM(C45:I45)</f>
        <v>38.5</v>
      </c>
      <c r="K45" s="38">
        <f>J45*$C$14</f>
        <v>269.5</v>
      </c>
    </row>
    <row r="46" spans="2:11" s="5" customFormat="1" ht="21" customHeight="1">
      <c r="B46" s="20" t="s">
        <v>9</v>
      </c>
      <c r="C46" s="21">
        <v>0</v>
      </c>
      <c r="D46" s="21">
        <v>0</v>
      </c>
      <c r="E46" s="21">
        <v>0</v>
      </c>
      <c r="F46" s="21">
        <v>1</v>
      </c>
      <c r="G46" s="21">
        <v>0</v>
      </c>
      <c r="H46" s="21">
        <v>0</v>
      </c>
      <c r="I46" s="21">
        <v>0</v>
      </c>
      <c r="J46" s="22">
        <f>SUM(C46:I46)</f>
        <v>1</v>
      </c>
      <c r="K46" s="38">
        <f>J46*$C$15</f>
        <v>8</v>
      </c>
    </row>
    <row r="47" spans="2:11" s="5" customFormat="1" ht="21" customHeight="1">
      <c r="B47" s="20" t="s">
        <v>10</v>
      </c>
      <c r="C47" s="22">
        <f t="shared" ref="C47" si="74">SUM(C45:C46)</f>
        <v>8</v>
      </c>
      <c r="D47" s="22">
        <f t="shared" ref="D47" si="75">SUM(D45:D46)</f>
        <v>7.5</v>
      </c>
      <c r="E47" s="22">
        <f t="shared" ref="E47" si="76">SUM(E45:E46)</f>
        <v>7</v>
      </c>
      <c r="F47" s="22">
        <f t="shared" ref="F47" si="77">SUM(F45:F46)</f>
        <v>9</v>
      </c>
      <c r="G47" s="22">
        <f t="shared" ref="G47" si="78">SUM(G45:G46)</f>
        <v>8</v>
      </c>
      <c r="H47" s="22">
        <f t="shared" ref="H47" si="79">SUM(H45:H46)</f>
        <v>0</v>
      </c>
      <c r="I47" s="22">
        <f t="shared" ref="I47" si="80">SUM(I45:I46)</f>
        <v>0</v>
      </c>
      <c r="J47" s="22">
        <f t="shared" ref="J47:K47" si="81">SUM(J45:J46)</f>
        <v>39.5</v>
      </c>
      <c r="K47" s="38">
        <f t="shared" si="81"/>
        <v>277.5</v>
      </c>
    </row>
    <row r="48" spans="2:11" ht="21" customHeight="1">
      <c r="B48" s="15"/>
      <c r="C48" s="15"/>
      <c r="D48" s="15"/>
      <c r="E48" s="15"/>
      <c r="F48" s="15"/>
      <c r="G48" s="15"/>
      <c r="H48" s="15"/>
      <c r="I48" s="15"/>
      <c r="J48" s="36" t="s">
        <v>0</v>
      </c>
      <c r="K48" s="36"/>
    </row>
    <row r="49" spans="2:11" ht="21" customHeight="1">
      <c r="B49" s="15"/>
      <c r="C49" s="15"/>
      <c r="D49" s="15"/>
      <c r="E49" s="15"/>
      <c r="F49" s="15"/>
      <c r="G49" s="15"/>
      <c r="H49" s="15"/>
      <c r="I49" s="15"/>
      <c r="J49" s="39">
        <f>Table_17[[#All],[Column10]]+Table_16[[#All],[Column10]]+Table_15[[#All],[Column10]]+Table_14[[#All],[Column10]]+Table_13[[#All],[Column10]]+Table_1[[#All],[Column10]]</f>
        <v>1665</v>
      </c>
      <c r="K49" s="39"/>
    </row>
    <row r="50" spans="2:11" ht="15.75" customHeight="1"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spans="2:11" ht="24" customHeight="1">
      <c r="B51" s="40" t="s">
        <v>11</v>
      </c>
      <c r="C51" s="35"/>
      <c r="D51" s="35"/>
      <c r="E51" s="35"/>
      <c r="F51" s="35"/>
      <c r="G51" s="35"/>
      <c r="H51" s="35"/>
      <c r="I51" s="35"/>
      <c r="J51" s="35"/>
      <c r="K51" s="35"/>
    </row>
    <row r="52" spans="2:11" ht="24" customHeight="1">
      <c r="B52" s="35" t="s">
        <v>1</v>
      </c>
      <c r="C52" s="35"/>
      <c r="D52" s="35"/>
      <c r="E52" s="35"/>
      <c r="F52" s="35"/>
      <c r="G52" s="35"/>
      <c r="H52" s="35"/>
      <c r="I52" s="35"/>
      <c r="J52" s="35"/>
      <c r="K52" s="35"/>
    </row>
    <row r="53" spans="2:11" ht="24" customHeight="1">
      <c r="B53" s="35" t="s">
        <v>1</v>
      </c>
      <c r="C53" s="35"/>
      <c r="D53" s="35"/>
      <c r="E53" s="35"/>
      <c r="F53" s="35"/>
      <c r="G53" s="35"/>
      <c r="H53" s="35"/>
      <c r="I53" s="35"/>
      <c r="J53" s="35"/>
      <c r="K53" s="35"/>
    </row>
    <row r="54" spans="2:11" ht="15.75" customHeight="1">
      <c r="B54" s="15"/>
      <c r="C54" s="15"/>
      <c r="D54" s="15"/>
      <c r="E54" s="15"/>
      <c r="F54" s="15"/>
      <c r="G54" s="15"/>
      <c r="H54" s="15"/>
      <c r="I54" s="15"/>
      <c r="J54" s="15"/>
      <c r="K54" s="15"/>
    </row>
    <row r="55" spans="2:11" ht="15.75" customHeight="1">
      <c r="B55" s="15"/>
      <c r="C55" s="15"/>
      <c r="D55" s="15"/>
      <c r="E55" s="15"/>
      <c r="F55" s="15"/>
      <c r="G55" s="15"/>
      <c r="H55" s="15"/>
      <c r="I55" s="15"/>
      <c r="J55" s="15"/>
      <c r="K55" s="15"/>
    </row>
    <row r="56" spans="2:11" ht="15.75" customHeight="1">
      <c r="B56" s="15"/>
      <c r="C56" s="15"/>
      <c r="D56" s="15"/>
      <c r="E56" s="15"/>
      <c r="F56" s="15"/>
      <c r="G56" s="15"/>
      <c r="H56" s="15"/>
      <c r="I56" s="15"/>
      <c r="J56" s="15"/>
      <c r="K56" s="15"/>
    </row>
    <row r="57" spans="2:11" ht="15.75" customHeight="1">
      <c r="B57" s="30" t="s">
        <v>12</v>
      </c>
      <c r="C57" s="30"/>
      <c r="D57" s="15"/>
      <c r="E57" s="15"/>
      <c r="F57" s="30" t="s">
        <v>14</v>
      </c>
      <c r="G57" s="30"/>
      <c r="H57" s="15"/>
      <c r="I57" s="31" t="s">
        <v>15</v>
      </c>
      <c r="J57" s="31"/>
      <c r="K57" s="31"/>
    </row>
    <row r="58" spans="2:11" ht="26.45" customHeight="1">
      <c r="B58" s="15"/>
      <c r="C58" s="15"/>
      <c r="D58" s="15"/>
      <c r="E58" s="15"/>
      <c r="F58" s="15"/>
      <c r="G58" s="15"/>
      <c r="H58" s="15"/>
      <c r="I58" s="15"/>
      <c r="J58" s="15"/>
      <c r="K58" s="15"/>
    </row>
    <row r="59" spans="2:11" ht="21" customHeight="1">
      <c r="B59" s="30" t="s">
        <v>2</v>
      </c>
      <c r="C59" s="30"/>
      <c r="D59" s="15"/>
      <c r="E59" s="15"/>
      <c r="F59" s="30" t="s">
        <v>3</v>
      </c>
      <c r="G59" s="30"/>
      <c r="H59" s="15"/>
      <c r="I59" s="31" t="s">
        <v>3</v>
      </c>
      <c r="J59" s="31"/>
      <c r="K59" s="31"/>
    </row>
    <row r="60" spans="2:11" ht="14.45" customHeight="1">
      <c r="B60" s="32" t="s">
        <v>13</v>
      </c>
      <c r="C60" s="32"/>
      <c r="D60" s="15"/>
      <c r="E60" s="15"/>
      <c r="F60" s="15"/>
      <c r="G60" s="15"/>
      <c r="H60" s="15"/>
      <c r="I60" s="33" t="s">
        <v>16</v>
      </c>
      <c r="J60" s="33"/>
      <c r="K60" s="33"/>
    </row>
  </sheetData>
  <mergeCells count="30">
    <mergeCell ref="J18:K19"/>
    <mergeCell ref="J23:K24"/>
    <mergeCell ref="J28:K29"/>
    <mergeCell ref="I15:K15"/>
    <mergeCell ref="J33:K34"/>
    <mergeCell ref="J38:K39"/>
    <mergeCell ref="J43:K44"/>
    <mergeCell ref="B53:K53"/>
    <mergeCell ref="B57:C57"/>
    <mergeCell ref="F57:G57"/>
    <mergeCell ref="I57:K57"/>
    <mergeCell ref="J48:K48"/>
    <mergeCell ref="J49:K49"/>
    <mergeCell ref="B51:K51"/>
    <mergeCell ref="B52:K52"/>
    <mergeCell ref="B59:C59"/>
    <mergeCell ref="F59:G59"/>
    <mergeCell ref="I59:K59"/>
    <mergeCell ref="B60:C60"/>
    <mergeCell ref="I60:K60"/>
    <mergeCell ref="B9:D9"/>
    <mergeCell ref="I11:K11"/>
    <mergeCell ref="I12:K12"/>
    <mergeCell ref="I13:K13"/>
    <mergeCell ref="I14:K14"/>
    <mergeCell ref="B10:D10"/>
    <mergeCell ref="B11:D11"/>
    <mergeCell ref="B12:D12"/>
    <mergeCell ref="I9:K9"/>
    <mergeCell ref="J10:K10"/>
  </mergeCells>
  <printOptions horizontalCentered="1"/>
  <pageMargins left="0" right="0" top="0" bottom="0" header="0.3" footer="0.3"/>
  <pageSetup scale="64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 sheet</vt:lpstr>
      <vt:lpstr>'Time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Jamshed Ali</dc:creator>
  <cp:lastModifiedBy>syaa</cp:lastModifiedBy>
  <cp:lastPrinted>2021-08-07T23:17:30Z</cp:lastPrinted>
  <dcterms:modified xsi:type="dcterms:W3CDTF">2023-07-03T05:52:27Z</dcterms:modified>
</cp:coreProperties>
</file>