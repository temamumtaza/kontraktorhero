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T:\Virus Media Localize\ProFinance Premium\Time Sheets\"/>
    </mc:Choice>
  </mc:AlternateContent>
  <xr:revisionPtr revIDLastSave="0" documentId="13_ncr:1_{7445C304-94DE-4E9F-BA4E-34A03AA265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5" r:id="rId1"/>
    <sheet name="Data " sheetId="4" r:id="rId2"/>
  </sheets>
  <definedNames>
    <definedName name="_xlnm.Print_Area" localSheetId="0">Dashboard!$A$1:$AD$37</definedName>
    <definedName name="_xlnm.Print_Area" localSheetId="1">'Data '!$A$1:$S$58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19" i="4" l="1"/>
  <c r="Q219" i="4" s="1"/>
  <c r="P218" i="4"/>
  <c r="Q218" i="4" s="1"/>
  <c r="G215" i="4"/>
  <c r="H215" i="4" s="1"/>
  <c r="G214" i="4"/>
  <c r="H214" i="4" s="1"/>
  <c r="G258" i="4"/>
  <c r="H258" i="4" s="1"/>
  <c r="G257" i="4"/>
  <c r="H257" i="4" s="1"/>
  <c r="G256" i="4"/>
  <c r="G255" i="4"/>
  <c r="H255" i="4" s="1"/>
  <c r="P254" i="4"/>
  <c r="Q254" i="4" s="1"/>
  <c r="G254" i="4"/>
  <c r="H254" i="4" s="1"/>
  <c r="P253" i="4"/>
  <c r="Q253" i="4" s="1"/>
  <c r="G253" i="4"/>
  <c r="H253" i="4" s="1"/>
  <c r="P249" i="4"/>
  <c r="Q249" i="4" s="1"/>
  <c r="G249" i="4"/>
  <c r="H249" i="4" s="1"/>
  <c r="P248" i="4"/>
  <c r="Q248" i="4" s="1"/>
  <c r="G248" i="4"/>
  <c r="H248" i="4" s="1"/>
  <c r="P247" i="4"/>
  <c r="Q247" i="4" s="1"/>
  <c r="G247" i="4"/>
  <c r="H247" i="4" s="1"/>
  <c r="P246" i="4"/>
  <c r="Q246" i="4" s="1"/>
  <c r="G246" i="4"/>
  <c r="H246" i="4" s="1"/>
  <c r="P245" i="4"/>
  <c r="Q245" i="4" s="1"/>
  <c r="G245" i="4"/>
  <c r="H245" i="4" s="1"/>
  <c r="P244" i="4"/>
  <c r="Q244" i="4" s="1"/>
  <c r="G244" i="4"/>
  <c r="H244" i="4" s="1"/>
  <c r="P243" i="4"/>
  <c r="G243" i="4"/>
  <c r="H243" i="4" s="1"/>
  <c r="P239" i="4"/>
  <c r="Q239" i="4" s="1"/>
  <c r="G239" i="4"/>
  <c r="H239" i="4" s="1"/>
  <c r="P238" i="4"/>
  <c r="Q238" i="4" s="1"/>
  <c r="G238" i="4"/>
  <c r="H238" i="4" s="1"/>
  <c r="P237" i="4"/>
  <c r="Q237" i="4" s="1"/>
  <c r="G237" i="4"/>
  <c r="H237" i="4" s="1"/>
  <c r="P236" i="4"/>
  <c r="Q236" i="4" s="1"/>
  <c r="G236" i="4"/>
  <c r="H236" i="4" s="1"/>
  <c r="P235" i="4"/>
  <c r="Q235" i="4" s="1"/>
  <c r="G235" i="4"/>
  <c r="H235" i="4" s="1"/>
  <c r="P234" i="4"/>
  <c r="Q234" i="4" s="1"/>
  <c r="G234" i="4"/>
  <c r="H234" i="4" s="1"/>
  <c r="P233" i="4"/>
  <c r="Q233" i="4" s="1"/>
  <c r="G233" i="4"/>
  <c r="H233" i="4" s="1"/>
  <c r="P229" i="4"/>
  <c r="Q229" i="4" s="1"/>
  <c r="G229" i="4"/>
  <c r="H229" i="4" s="1"/>
  <c r="P228" i="4"/>
  <c r="Q228" i="4" s="1"/>
  <c r="G228" i="4"/>
  <c r="H228" i="4" s="1"/>
  <c r="P227" i="4"/>
  <c r="Q227" i="4" s="1"/>
  <c r="G227" i="4"/>
  <c r="H227" i="4" s="1"/>
  <c r="P226" i="4"/>
  <c r="Q226" i="4" s="1"/>
  <c r="G226" i="4"/>
  <c r="H226" i="4" s="1"/>
  <c r="P225" i="4"/>
  <c r="Q225" i="4" s="1"/>
  <c r="G225" i="4"/>
  <c r="H225" i="4" s="1"/>
  <c r="P224" i="4"/>
  <c r="Q224" i="4" s="1"/>
  <c r="G224" i="4"/>
  <c r="H224" i="4" s="1"/>
  <c r="P223" i="4"/>
  <c r="G223" i="4"/>
  <c r="H223" i="4" s="1"/>
  <c r="P217" i="4"/>
  <c r="Q217" i="4" s="1"/>
  <c r="P216" i="4"/>
  <c r="Q216" i="4" s="1"/>
  <c r="P215" i="4"/>
  <c r="Q215" i="4" s="1"/>
  <c r="P214" i="4"/>
  <c r="Q214" i="4" s="1"/>
  <c r="P213" i="4"/>
  <c r="Q213" i="4" s="1"/>
  <c r="K213" i="4"/>
  <c r="L213" i="4" s="1"/>
  <c r="G213" i="4"/>
  <c r="H213" i="4" s="1"/>
  <c r="B213" i="4"/>
  <c r="B214" i="4" s="1"/>
  <c r="P212" i="4"/>
  <c r="Q212" i="4" s="1"/>
  <c r="L212" i="4"/>
  <c r="G212" i="4"/>
  <c r="H212" i="4" s="1"/>
  <c r="C212" i="4"/>
  <c r="P166" i="4"/>
  <c r="Q166" i="4" s="1"/>
  <c r="P165" i="4"/>
  <c r="Q165" i="4" s="1"/>
  <c r="P164" i="4"/>
  <c r="Q164" i="4" s="1"/>
  <c r="G208" i="4"/>
  <c r="H208" i="4" s="1"/>
  <c r="P155" i="4"/>
  <c r="Q155" i="4" s="1"/>
  <c r="G117" i="4"/>
  <c r="H117" i="4" s="1"/>
  <c r="G116" i="4"/>
  <c r="H116" i="4" s="1"/>
  <c r="G115" i="4"/>
  <c r="H115" i="4" s="1"/>
  <c r="G114" i="4"/>
  <c r="H114" i="4" s="1"/>
  <c r="G207" i="4"/>
  <c r="H207" i="4" s="1"/>
  <c r="P203" i="4"/>
  <c r="Q203" i="4" s="1"/>
  <c r="G206" i="4"/>
  <c r="H206" i="4" s="1"/>
  <c r="P202" i="4"/>
  <c r="Q202" i="4" s="1"/>
  <c r="G205" i="4"/>
  <c r="H205" i="4" s="1"/>
  <c r="P201" i="4"/>
  <c r="Q201" i="4" s="1"/>
  <c r="G204" i="4"/>
  <c r="P197" i="4"/>
  <c r="Q197" i="4" s="1"/>
  <c r="G203" i="4"/>
  <c r="H203" i="4" s="1"/>
  <c r="P196" i="4"/>
  <c r="G202" i="4"/>
  <c r="H202" i="4" s="1"/>
  <c r="P195" i="4"/>
  <c r="Q195" i="4" s="1"/>
  <c r="G201" i="4"/>
  <c r="H201" i="4" s="1"/>
  <c r="P194" i="4"/>
  <c r="Q194" i="4" s="1"/>
  <c r="G197" i="4"/>
  <c r="H197" i="4" s="1"/>
  <c r="P193" i="4"/>
  <c r="Q193" i="4" s="1"/>
  <c r="G196" i="4"/>
  <c r="H196" i="4" s="1"/>
  <c r="P192" i="4"/>
  <c r="Q192" i="4" s="1"/>
  <c r="G195" i="4"/>
  <c r="H195" i="4" s="1"/>
  <c r="P191" i="4"/>
  <c r="Q191" i="4" s="1"/>
  <c r="G194" i="4"/>
  <c r="H194" i="4" s="1"/>
  <c r="P187" i="4"/>
  <c r="Q187" i="4" s="1"/>
  <c r="G193" i="4"/>
  <c r="H193" i="4" s="1"/>
  <c r="P186" i="4"/>
  <c r="Q186" i="4" s="1"/>
  <c r="G192" i="4"/>
  <c r="H192" i="4" s="1"/>
  <c r="P185" i="4"/>
  <c r="Q185" i="4" s="1"/>
  <c r="G191" i="4"/>
  <c r="H191" i="4" s="1"/>
  <c r="P184" i="4"/>
  <c r="Q184" i="4" s="1"/>
  <c r="G187" i="4"/>
  <c r="H187" i="4" s="1"/>
  <c r="P183" i="4"/>
  <c r="Q183" i="4" s="1"/>
  <c r="G186" i="4"/>
  <c r="H186" i="4" s="1"/>
  <c r="P182" i="4"/>
  <c r="Q182" i="4" s="1"/>
  <c r="G185" i="4"/>
  <c r="H185" i="4" s="1"/>
  <c r="P181" i="4"/>
  <c r="Q181" i="4" s="1"/>
  <c r="G184" i="4"/>
  <c r="H184" i="4" s="1"/>
  <c r="P177" i="4"/>
  <c r="Q177" i="4" s="1"/>
  <c r="G183" i="4"/>
  <c r="H183" i="4" s="1"/>
  <c r="P176" i="4"/>
  <c r="G182" i="4"/>
  <c r="H182" i="4" s="1"/>
  <c r="P175" i="4"/>
  <c r="Q175" i="4" s="1"/>
  <c r="G181" i="4"/>
  <c r="H181" i="4" s="1"/>
  <c r="P174" i="4"/>
  <c r="Q174" i="4" s="1"/>
  <c r="G177" i="4"/>
  <c r="H177" i="4" s="1"/>
  <c r="P173" i="4"/>
  <c r="Q173" i="4" s="1"/>
  <c r="G176" i="4"/>
  <c r="H176" i="4" s="1"/>
  <c r="P172" i="4"/>
  <c r="Q172" i="4" s="1"/>
  <c r="G175" i="4"/>
  <c r="H175" i="4" s="1"/>
  <c r="P171" i="4"/>
  <c r="Q171" i="4" s="1"/>
  <c r="G174" i="4"/>
  <c r="H174" i="4" s="1"/>
  <c r="G173" i="4"/>
  <c r="H173" i="4" s="1"/>
  <c r="G172" i="4"/>
  <c r="H172" i="4" s="1"/>
  <c r="P163" i="4"/>
  <c r="Q163" i="4" s="1"/>
  <c r="G171" i="4"/>
  <c r="H171" i="4" s="1"/>
  <c r="P162" i="4"/>
  <c r="Q162" i="4" s="1"/>
  <c r="K162" i="4"/>
  <c r="K163" i="4" s="1"/>
  <c r="L163" i="4" s="1"/>
  <c r="G162" i="4"/>
  <c r="H162" i="4" s="1"/>
  <c r="B162" i="4"/>
  <c r="C162" i="4" s="1"/>
  <c r="P161" i="4"/>
  <c r="Q161" i="4" s="1"/>
  <c r="L161" i="4"/>
  <c r="G161" i="4"/>
  <c r="H161" i="4" s="1"/>
  <c r="C161" i="4"/>
  <c r="G153" i="4"/>
  <c r="H153" i="4" s="1"/>
  <c r="G152" i="4"/>
  <c r="H152" i="4" s="1"/>
  <c r="G151" i="4"/>
  <c r="P154" i="4"/>
  <c r="Q154" i="4" s="1"/>
  <c r="G147" i="4"/>
  <c r="H147" i="4" s="1"/>
  <c r="P153" i="4"/>
  <c r="Q153" i="4" s="1"/>
  <c r="G146" i="4"/>
  <c r="H146" i="4" s="1"/>
  <c r="P152" i="4"/>
  <c r="Q152" i="4" s="1"/>
  <c r="G145" i="4"/>
  <c r="H145" i="4" s="1"/>
  <c r="P151" i="4"/>
  <c r="Q151" i="4" s="1"/>
  <c r="G144" i="4"/>
  <c r="H144" i="4" s="1"/>
  <c r="P147" i="4"/>
  <c r="Q147" i="4" s="1"/>
  <c r="G143" i="4"/>
  <c r="H143" i="4" s="1"/>
  <c r="P146" i="4"/>
  <c r="Q146" i="4" s="1"/>
  <c r="G142" i="4"/>
  <c r="H142" i="4" s="1"/>
  <c r="P145" i="4"/>
  <c r="G141" i="4"/>
  <c r="H141" i="4" s="1"/>
  <c r="P144" i="4"/>
  <c r="Q144" i="4" s="1"/>
  <c r="G137" i="4"/>
  <c r="H137" i="4" s="1"/>
  <c r="P143" i="4"/>
  <c r="Q143" i="4" s="1"/>
  <c r="G136" i="4"/>
  <c r="H136" i="4" s="1"/>
  <c r="P142" i="4"/>
  <c r="Q142" i="4" s="1"/>
  <c r="G135" i="4"/>
  <c r="H135" i="4" s="1"/>
  <c r="P141" i="4"/>
  <c r="Q141" i="4" s="1"/>
  <c r="G134" i="4"/>
  <c r="H134" i="4" s="1"/>
  <c r="P137" i="4"/>
  <c r="Q137" i="4" s="1"/>
  <c r="G133" i="4"/>
  <c r="H133" i="4" s="1"/>
  <c r="P136" i="4"/>
  <c r="Q136" i="4" s="1"/>
  <c r="G132" i="4"/>
  <c r="H132" i="4" s="1"/>
  <c r="P135" i="4"/>
  <c r="Q135" i="4" s="1"/>
  <c r="G131" i="4"/>
  <c r="P134" i="4"/>
  <c r="Q134" i="4" s="1"/>
  <c r="G127" i="4"/>
  <c r="H127" i="4" s="1"/>
  <c r="P133" i="4"/>
  <c r="Q133" i="4" s="1"/>
  <c r="G126" i="4"/>
  <c r="H126" i="4" s="1"/>
  <c r="P132" i="4"/>
  <c r="Q132" i="4" s="1"/>
  <c r="G125" i="4"/>
  <c r="H125" i="4" s="1"/>
  <c r="P131" i="4"/>
  <c r="Q131" i="4" s="1"/>
  <c r="G124" i="4"/>
  <c r="H124" i="4" s="1"/>
  <c r="P127" i="4"/>
  <c r="Q127" i="4" s="1"/>
  <c r="G123" i="4"/>
  <c r="H123" i="4" s="1"/>
  <c r="P126" i="4"/>
  <c r="Q126" i="4" s="1"/>
  <c r="G122" i="4"/>
  <c r="H122" i="4" s="1"/>
  <c r="P125" i="4"/>
  <c r="G121" i="4"/>
  <c r="P124" i="4"/>
  <c r="Q124" i="4" s="1"/>
  <c r="P123" i="4"/>
  <c r="Q123" i="4" s="1"/>
  <c r="P122" i="4"/>
  <c r="Q122" i="4" s="1"/>
  <c r="P121" i="4"/>
  <c r="Q121" i="4" s="1"/>
  <c r="P114" i="4"/>
  <c r="Q114" i="4" s="1"/>
  <c r="P113" i="4"/>
  <c r="Q113" i="4" s="1"/>
  <c r="G113" i="4"/>
  <c r="H113" i="4" s="1"/>
  <c r="P112" i="4"/>
  <c r="Q112" i="4" s="1"/>
  <c r="K112" i="4"/>
  <c r="L112" i="4" s="1"/>
  <c r="G112" i="4"/>
  <c r="H112" i="4" s="1"/>
  <c r="B112" i="4"/>
  <c r="C112" i="4" s="1"/>
  <c r="P111" i="4"/>
  <c r="Q111" i="4" s="1"/>
  <c r="L111" i="4"/>
  <c r="G111" i="4"/>
  <c r="H111" i="4" s="1"/>
  <c r="C111" i="4"/>
  <c r="P107" i="4"/>
  <c r="Q107" i="4" s="1"/>
  <c r="P96" i="4"/>
  <c r="Q96" i="4" s="1"/>
  <c r="P97" i="4"/>
  <c r="Q97" i="4" s="1"/>
  <c r="P106" i="4"/>
  <c r="Q106" i="4" s="1"/>
  <c r="G65" i="4"/>
  <c r="H65" i="4" s="1"/>
  <c r="G64" i="4"/>
  <c r="H64" i="4" s="1"/>
  <c r="G104" i="4"/>
  <c r="H104" i="4" s="1"/>
  <c r="G103" i="4"/>
  <c r="H103" i="4" s="1"/>
  <c r="G102" i="4"/>
  <c r="H102" i="4" s="1"/>
  <c r="G101" i="4"/>
  <c r="H101" i="4" s="1"/>
  <c r="P105" i="4"/>
  <c r="Q105" i="4" s="1"/>
  <c r="G97" i="4"/>
  <c r="H97" i="4" s="1"/>
  <c r="P104" i="4"/>
  <c r="Q104" i="4" s="1"/>
  <c r="G96" i="4"/>
  <c r="H96" i="4" s="1"/>
  <c r="P103" i="4"/>
  <c r="Q103" i="4" s="1"/>
  <c r="G95" i="4"/>
  <c r="H95" i="4" s="1"/>
  <c r="P102" i="4"/>
  <c r="Q102" i="4" s="1"/>
  <c r="G94" i="4"/>
  <c r="H94" i="4" s="1"/>
  <c r="P101" i="4"/>
  <c r="Q101" i="4" s="1"/>
  <c r="G93" i="4"/>
  <c r="H93" i="4" s="1"/>
  <c r="G92" i="4"/>
  <c r="G91" i="4"/>
  <c r="H91" i="4" s="1"/>
  <c r="P95" i="4"/>
  <c r="Q95" i="4" s="1"/>
  <c r="G87" i="4"/>
  <c r="H87" i="4" s="1"/>
  <c r="P94" i="4"/>
  <c r="Q94" i="4" s="1"/>
  <c r="G86" i="4"/>
  <c r="H86" i="4" s="1"/>
  <c r="P93" i="4"/>
  <c r="Q93" i="4" s="1"/>
  <c r="G85" i="4"/>
  <c r="H85" i="4" s="1"/>
  <c r="P92" i="4"/>
  <c r="Q92" i="4" s="1"/>
  <c r="G84" i="4"/>
  <c r="H84" i="4" s="1"/>
  <c r="P91" i="4"/>
  <c r="Q91" i="4" s="1"/>
  <c r="G83" i="4"/>
  <c r="H83" i="4" s="1"/>
  <c r="P87" i="4"/>
  <c r="G82" i="4"/>
  <c r="H82" i="4" s="1"/>
  <c r="P86" i="4"/>
  <c r="Q86" i="4" s="1"/>
  <c r="G81" i="4"/>
  <c r="H81" i="4" s="1"/>
  <c r="P85" i="4"/>
  <c r="Q85" i="4" s="1"/>
  <c r="G77" i="4"/>
  <c r="H77" i="4" s="1"/>
  <c r="P84" i="4"/>
  <c r="Q84" i="4" s="1"/>
  <c r="G76" i="4"/>
  <c r="H76" i="4" s="1"/>
  <c r="P83" i="4"/>
  <c r="Q83" i="4" s="1"/>
  <c r="G75" i="4"/>
  <c r="H75" i="4" s="1"/>
  <c r="P82" i="4"/>
  <c r="Q82" i="4" s="1"/>
  <c r="G74" i="4"/>
  <c r="H74" i="4" s="1"/>
  <c r="P81" i="4"/>
  <c r="Q81" i="4" s="1"/>
  <c r="G73" i="4"/>
  <c r="H73" i="4" s="1"/>
  <c r="P77" i="4"/>
  <c r="Q77" i="4" s="1"/>
  <c r="G72" i="4"/>
  <c r="H72" i="4" s="1"/>
  <c r="P76" i="4"/>
  <c r="Q76" i="4" s="1"/>
  <c r="G71" i="4"/>
  <c r="H71" i="4" s="1"/>
  <c r="P75" i="4"/>
  <c r="Q75" i="4" s="1"/>
  <c r="P74" i="4"/>
  <c r="Q74" i="4" s="1"/>
  <c r="P73" i="4"/>
  <c r="Q73" i="4" s="1"/>
  <c r="P72" i="4"/>
  <c r="Q72" i="4" s="1"/>
  <c r="P71" i="4"/>
  <c r="Q71" i="4" s="1"/>
  <c r="P63" i="4"/>
  <c r="Q63" i="4" s="1"/>
  <c r="G63" i="4"/>
  <c r="H63" i="4" s="1"/>
  <c r="P62" i="4"/>
  <c r="Q62" i="4" s="1"/>
  <c r="K62" i="4"/>
  <c r="L62" i="4" s="1"/>
  <c r="G62" i="4"/>
  <c r="P61" i="4"/>
  <c r="Q61" i="4" s="1"/>
  <c r="L61" i="4"/>
  <c r="G61" i="4"/>
  <c r="H61" i="4" s="1"/>
  <c r="P52" i="4"/>
  <c r="Q52" i="4" s="1"/>
  <c r="H108" i="4" l="1"/>
  <c r="L8" i="5" s="1"/>
  <c r="Q68" i="4"/>
  <c r="D9" i="5" s="1"/>
  <c r="Q78" i="4"/>
  <c r="F9" i="5" s="1"/>
  <c r="Q98" i="4"/>
  <c r="J9" i="5" s="1"/>
  <c r="N15" i="5"/>
  <c r="Q118" i="4"/>
  <c r="D11" i="5" s="1"/>
  <c r="O11" i="5" s="1"/>
  <c r="Q108" i="4"/>
  <c r="L9" i="5" s="1"/>
  <c r="O9" i="5" s="1"/>
  <c r="G68" i="4"/>
  <c r="C8" i="5" s="1"/>
  <c r="H168" i="4"/>
  <c r="D12" i="5" s="1"/>
  <c r="H78" i="4"/>
  <c r="F8" i="5" s="1"/>
  <c r="H88" i="4"/>
  <c r="H8" i="5" s="1"/>
  <c r="P68" i="4"/>
  <c r="C9" i="5" s="1"/>
  <c r="N9" i="5" s="1"/>
  <c r="G108" i="4"/>
  <c r="K8" i="5" s="1"/>
  <c r="G88" i="4"/>
  <c r="G8" i="5" s="1"/>
  <c r="N8" i="5" s="1"/>
  <c r="P98" i="4"/>
  <c r="I9" i="5" s="1"/>
  <c r="P78" i="4"/>
  <c r="E9" i="5" s="1"/>
  <c r="P88" i="4"/>
  <c r="G9" i="5" s="1"/>
  <c r="H118" i="4"/>
  <c r="D10" i="5" s="1"/>
  <c r="O10" i="5" s="1"/>
  <c r="G158" i="4"/>
  <c r="K10" i="5" s="1"/>
  <c r="G138" i="4"/>
  <c r="G10" i="5" s="1"/>
  <c r="P108" i="4"/>
  <c r="K9" i="5" s="1"/>
  <c r="Q158" i="4"/>
  <c r="L11" i="5" s="1"/>
  <c r="G98" i="4"/>
  <c r="I8" i="5" s="1"/>
  <c r="G78" i="4"/>
  <c r="E8" i="5" s="1"/>
  <c r="H148" i="4"/>
  <c r="J10" i="5" s="1"/>
  <c r="G118" i="4"/>
  <c r="C10" i="5" s="1"/>
  <c r="N10" i="5" s="1"/>
  <c r="G128" i="4"/>
  <c r="E10" i="5" s="1"/>
  <c r="P118" i="4"/>
  <c r="C11" i="5" s="1"/>
  <c r="Q138" i="4"/>
  <c r="H11" i="5" s="1"/>
  <c r="P158" i="4"/>
  <c r="K11" i="5" s="1"/>
  <c r="P138" i="4"/>
  <c r="G11" i="5" s="1"/>
  <c r="Q168" i="4"/>
  <c r="D13" i="5" s="1"/>
  <c r="P148" i="4"/>
  <c r="I11" i="5" s="1"/>
  <c r="P128" i="4"/>
  <c r="E11" i="5" s="1"/>
  <c r="N11" i="5" s="1"/>
  <c r="G148" i="4"/>
  <c r="I10" i="5" s="1"/>
  <c r="G168" i="4"/>
  <c r="C12" i="5" s="1"/>
  <c r="N12" i="5" s="1"/>
  <c r="P168" i="4"/>
  <c r="C13" i="5" s="1"/>
  <c r="H188" i="4"/>
  <c r="H12" i="5" s="1"/>
  <c r="O12" i="5" s="1"/>
  <c r="Q188" i="4"/>
  <c r="H13" i="5" s="1"/>
  <c r="P230" i="4"/>
  <c r="E15" i="5" s="1"/>
  <c r="Q260" i="4"/>
  <c r="L15" i="5" s="1"/>
  <c r="H230" i="4"/>
  <c r="F14" i="5" s="1"/>
  <c r="H178" i="4"/>
  <c r="F12" i="5" s="1"/>
  <c r="H250" i="4"/>
  <c r="J14" i="5" s="1"/>
  <c r="Q209" i="4"/>
  <c r="L13" i="5" s="1"/>
  <c r="H220" i="4"/>
  <c r="D14" i="5" s="1"/>
  <c r="O14" i="5" s="1"/>
  <c r="P250" i="4"/>
  <c r="I15" i="5" s="1"/>
  <c r="H198" i="4"/>
  <c r="J12" i="5" s="1"/>
  <c r="H240" i="4"/>
  <c r="H14" i="5" s="1"/>
  <c r="Q220" i="4"/>
  <c r="D15" i="5" s="1"/>
  <c r="O15" i="5" s="1"/>
  <c r="Q240" i="4"/>
  <c r="H15" i="5" s="1"/>
  <c r="G209" i="4"/>
  <c r="K12" i="5" s="1"/>
  <c r="G250" i="4"/>
  <c r="I14" i="5" s="1"/>
  <c r="G230" i="4"/>
  <c r="E14" i="5" s="1"/>
  <c r="P188" i="4"/>
  <c r="G13" i="5" s="1"/>
  <c r="H121" i="4"/>
  <c r="H128" i="4" s="1"/>
  <c r="F10" i="5" s="1"/>
  <c r="P209" i="4"/>
  <c r="K13" i="5" s="1"/>
  <c r="G188" i="4"/>
  <c r="G12" i="5" s="1"/>
  <c r="P240" i="4"/>
  <c r="G15" i="5" s="1"/>
  <c r="G220" i="4"/>
  <c r="C14" i="5" s="1"/>
  <c r="N14" i="5" s="1"/>
  <c r="G198" i="4"/>
  <c r="I12" i="5" s="1"/>
  <c r="G178" i="4"/>
  <c r="E12" i="5" s="1"/>
  <c r="G240" i="4"/>
  <c r="G14" i="5" s="1"/>
  <c r="P220" i="4"/>
  <c r="C15" i="5" s="1"/>
  <c r="P198" i="4"/>
  <c r="I13" i="5" s="1"/>
  <c r="P178" i="4"/>
  <c r="E13" i="5" s="1"/>
  <c r="K164" i="4"/>
  <c r="B215" i="4"/>
  <c r="C214" i="4"/>
  <c r="B171" i="4"/>
  <c r="P260" i="4"/>
  <c r="K15" i="5" s="1"/>
  <c r="G260" i="4"/>
  <c r="K14" i="5" s="1"/>
  <c r="K214" i="4"/>
  <c r="K215" i="4" s="1"/>
  <c r="K216" i="4" s="1"/>
  <c r="C213" i="4"/>
  <c r="Q223" i="4"/>
  <c r="Q230" i="4" s="1"/>
  <c r="F15" i="5" s="1"/>
  <c r="Q243" i="4"/>
  <c r="Q250" i="4" s="1"/>
  <c r="J15" i="5" s="1"/>
  <c r="H256" i="4"/>
  <c r="H260" i="4" s="1"/>
  <c r="L14" i="5" s="1"/>
  <c r="L162" i="4"/>
  <c r="K113" i="4"/>
  <c r="Q145" i="4"/>
  <c r="Q148" i="4" s="1"/>
  <c r="J11" i="5" s="1"/>
  <c r="B113" i="4"/>
  <c r="B114" i="4" s="1"/>
  <c r="Q125" i="4"/>
  <c r="Q128" i="4" s="1"/>
  <c r="F11" i="5" s="1"/>
  <c r="H131" i="4"/>
  <c r="H138" i="4" s="1"/>
  <c r="H10" i="5" s="1"/>
  <c r="H151" i="4"/>
  <c r="H158" i="4" s="1"/>
  <c r="L10" i="5" s="1"/>
  <c r="Q176" i="4"/>
  <c r="Q178" i="4" s="1"/>
  <c r="F13" i="5" s="1"/>
  <c r="Q196" i="4"/>
  <c r="Q198" i="4" s="1"/>
  <c r="J13" i="5" s="1"/>
  <c r="O13" i="5" s="1"/>
  <c r="H204" i="4"/>
  <c r="H209" i="4" s="1"/>
  <c r="L12" i="5" s="1"/>
  <c r="H92" i="4"/>
  <c r="H98" i="4" s="1"/>
  <c r="J8" i="5" s="1"/>
  <c r="Q87" i="4"/>
  <c r="Q88" i="4" s="1"/>
  <c r="H9" i="5" s="1"/>
  <c r="H62" i="4"/>
  <c r="H68" i="4" s="1"/>
  <c r="D8" i="5" s="1"/>
  <c r="K63" i="4"/>
  <c r="K71" i="4" s="1"/>
  <c r="G11" i="4"/>
  <c r="H11" i="4" s="1"/>
  <c r="G10" i="4"/>
  <c r="G18" i="4" s="1"/>
  <c r="C6" i="5" s="1"/>
  <c r="B11" i="4"/>
  <c r="B12" i="4" s="1"/>
  <c r="G12" i="4"/>
  <c r="H12" i="4" s="1"/>
  <c r="O8" i="5" l="1"/>
  <c r="N13" i="5"/>
  <c r="K165" i="4"/>
  <c r="L164" i="4"/>
  <c r="C114" i="4"/>
  <c r="B115" i="4"/>
  <c r="C215" i="4"/>
  <c r="B223" i="4"/>
  <c r="L215" i="4"/>
  <c r="L214" i="4"/>
  <c r="K217" i="4"/>
  <c r="K218" i="4" s="1"/>
  <c r="L216" i="4"/>
  <c r="C171" i="4"/>
  <c r="B172" i="4"/>
  <c r="B173" i="4" s="1"/>
  <c r="B174" i="4" s="1"/>
  <c r="B175" i="4" s="1"/>
  <c r="B176" i="4" s="1"/>
  <c r="B177" i="4" s="1"/>
  <c r="B181" i="4" s="1"/>
  <c r="C113" i="4"/>
  <c r="L113" i="4"/>
  <c r="K114" i="4"/>
  <c r="K121" i="4" s="1"/>
  <c r="K122" i="4" s="1"/>
  <c r="H10" i="4"/>
  <c r="H18" i="4" s="1"/>
  <c r="D6" i="5" s="1"/>
  <c r="L63" i="4"/>
  <c r="B21" i="4"/>
  <c r="C12" i="4"/>
  <c r="C10" i="4"/>
  <c r="C11" i="4"/>
  <c r="L165" i="4" l="1"/>
  <c r="K166" i="4"/>
  <c r="C115" i="4"/>
  <c r="B116" i="4"/>
  <c r="L218" i="4"/>
  <c r="K219" i="4"/>
  <c r="C223" i="4"/>
  <c r="B224" i="4"/>
  <c r="L217" i="4"/>
  <c r="L114" i="4"/>
  <c r="C172" i="4"/>
  <c r="K72" i="4"/>
  <c r="L71" i="4"/>
  <c r="P51" i="4"/>
  <c r="P58" i="4" s="1"/>
  <c r="P47" i="4"/>
  <c r="Q47" i="4" s="1"/>
  <c r="P46" i="4"/>
  <c r="Q46" i="4" s="1"/>
  <c r="P45" i="4"/>
  <c r="Q45" i="4" s="1"/>
  <c r="P44" i="4"/>
  <c r="Q44" i="4" s="1"/>
  <c r="P43" i="4"/>
  <c r="Q43" i="4" s="1"/>
  <c r="P42" i="4"/>
  <c r="Q42" i="4" s="1"/>
  <c r="P41" i="4"/>
  <c r="P37" i="4"/>
  <c r="Q37" i="4" s="1"/>
  <c r="P36" i="4"/>
  <c r="Q36" i="4" s="1"/>
  <c r="P35" i="4"/>
  <c r="Q35" i="4" s="1"/>
  <c r="P34" i="4"/>
  <c r="Q34" i="4" s="1"/>
  <c r="P33" i="4"/>
  <c r="P32" i="4"/>
  <c r="Q32" i="4" s="1"/>
  <c r="P31" i="4"/>
  <c r="P27" i="4"/>
  <c r="Q27" i="4" s="1"/>
  <c r="P26" i="4"/>
  <c r="Q26" i="4" s="1"/>
  <c r="P25" i="4"/>
  <c r="Q25" i="4" s="1"/>
  <c r="P24" i="4"/>
  <c r="Q24" i="4" s="1"/>
  <c r="P23" i="4"/>
  <c r="Q23" i="4" s="1"/>
  <c r="P22" i="4"/>
  <c r="P21" i="4"/>
  <c r="P28" i="4" s="1"/>
  <c r="P17" i="4"/>
  <c r="Q17" i="4" s="1"/>
  <c r="P16" i="4"/>
  <c r="Q16" i="4" s="1"/>
  <c r="P15" i="4"/>
  <c r="Q15" i="4" s="1"/>
  <c r="P14" i="4"/>
  <c r="Q14" i="4" s="1"/>
  <c r="P13" i="4"/>
  <c r="Q13" i="4" s="1"/>
  <c r="P12" i="4"/>
  <c r="Q12" i="4" s="1"/>
  <c r="P11" i="4"/>
  <c r="Q11" i="4" s="1"/>
  <c r="K11" i="4"/>
  <c r="L11" i="4" s="1"/>
  <c r="P10" i="4"/>
  <c r="L10" i="4"/>
  <c r="P48" i="4" l="1"/>
  <c r="I7" i="5" s="1"/>
  <c r="P18" i="4"/>
  <c r="P38" i="4"/>
  <c r="L166" i="4"/>
  <c r="K171" i="4"/>
  <c r="C224" i="4"/>
  <c r="B225" i="4"/>
  <c r="L219" i="4"/>
  <c r="K223" i="4"/>
  <c r="L223" i="4" s="1"/>
  <c r="B117" i="4"/>
  <c r="C116" i="4"/>
  <c r="C173" i="4"/>
  <c r="L121" i="4"/>
  <c r="Q10" i="4"/>
  <c r="C7" i="5"/>
  <c r="Q31" i="4"/>
  <c r="Q38" i="4" s="1"/>
  <c r="Q21" i="4"/>
  <c r="Q51" i="4"/>
  <c r="Q58" i="4" s="1"/>
  <c r="K7" i="5"/>
  <c r="L72" i="4"/>
  <c r="K73" i="4"/>
  <c r="Q41" i="4"/>
  <c r="Q48" i="4" s="1"/>
  <c r="J7" i="5" s="1"/>
  <c r="Q22" i="4"/>
  <c r="K12" i="4"/>
  <c r="Q33" i="4"/>
  <c r="G56" i="4"/>
  <c r="G55" i="4"/>
  <c r="G54" i="4"/>
  <c r="G53" i="4"/>
  <c r="G52" i="4"/>
  <c r="G51" i="4"/>
  <c r="G47" i="4"/>
  <c r="G46" i="4"/>
  <c r="G45" i="4"/>
  <c r="G44" i="4"/>
  <c r="G43" i="4"/>
  <c r="G42" i="4"/>
  <c r="G41" i="4"/>
  <c r="G37" i="4"/>
  <c r="H37" i="4" s="1"/>
  <c r="G36" i="4"/>
  <c r="H36" i="4" s="1"/>
  <c r="G35" i="4"/>
  <c r="H35" i="4" s="1"/>
  <c r="G34" i="4"/>
  <c r="H34" i="4" s="1"/>
  <c r="G33" i="4"/>
  <c r="H33" i="4" s="1"/>
  <c r="G32" i="4"/>
  <c r="H32" i="4" s="1"/>
  <c r="G31" i="4"/>
  <c r="G27" i="4"/>
  <c r="G26" i="4"/>
  <c r="G25" i="4"/>
  <c r="G24" i="4"/>
  <c r="G23" i="4"/>
  <c r="G22" i="4"/>
  <c r="G21" i="4"/>
  <c r="G28" i="4" s="1"/>
  <c r="G58" i="4" l="1"/>
  <c r="G48" i="4"/>
  <c r="I6" i="5" s="1"/>
  <c r="D7" i="5"/>
  <c r="Q18" i="4"/>
  <c r="G38" i="4"/>
  <c r="Q28" i="4"/>
  <c r="K172" i="4"/>
  <c r="L171" i="4"/>
  <c r="C117" i="4"/>
  <c r="B121" i="4"/>
  <c r="C225" i="4"/>
  <c r="B226" i="4"/>
  <c r="K224" i="4"/>
  <c r="L224" i="4" s="1"/>
  <c r="L122" i="4"/>
  <c r="K123" i="4"/>
  <c r="C174" i="4"/>
  <c r="L7" i="5"/>
  <c r="L73" i="4"/>
  <c r="K74" i="4"/>
  <c r="K13" i="4"/>
  <c r="L12" i="4"/>
  <c r="H56" i="4"/>
  <c r="H55" i="4"/>
  <c r="H54" i="4"/>
  <c r="H53" i="4"/>
  <c r="H52" i="4"/>
  <c r="H51" i="4"/>
  <c r="H47" i="4"/>
  <c r="H46" i="4"/>
  <c r="H45" i="4"/>
  <c r="H44" i="4"/>
  <c r="H43" i="4"/>
  <c r="H42" i="4"/>
  <c r="H41" i="4"/>
  <c r="H48" i="4" s="1"/>
  <c r="J6" i="5" s="1"/>
  <c r="H31" i="4"/>
  <c r="H38" i="4" s="1"/>
  <c r="H6" i="5" s="1"/>
  <c r="H27" i="4"/>
  <c r="H26" i="4"/>
  <c r="H25" i="4"/>
  <c r="H21" i="4"/>
  <c r="H22" i="4"/>
  <c r="H23" i="4"/>
  <c r="H24" i="4"/>
  <c r="H28" i="4" l="1"/>
  <c r="H58" i="4"/>
  <c r="L172" i="4"/>
  <c r="K173" i="4"/>
  <c r="K225" i="4"/>
  <c r="L225" i="4" s="1"/>
  <c r="C121" i="4"/>
  <c r="B122" i="4"/>
  <c r="C226" i="4"/>
  <c r="B227" i="4"/>
  <c r="K226" i="4"/>
  <c r="C175" i="4"/>
  <c r="L123" i="4"/>
  <c r="K124" i="4"/>
  <c r="L6" i="5"/>
  <c r="L74" i="4"/>
  <c r="K75" i="4"/>
  <c r="L13" i="4"/>
  <c r="K14" i="4"/>
  <c r="K6" i="5"/>
  <c r="L173" i="4" l="1"/>
  <c r="K174" i="4"/>
  <c r="B228" i="4"/>
  <c r="C227" i="4"/>
  <c r="C122" i="4"/>
  <c r="B123" i="4"/>
  <c r="L226" i="4"/>
  <c r="K227" i="4"/>
  <c r="C176" i="4"/>
  <c r="L124" i="4"/>
  <c r="K125" i="4"/>
  <c r="K76" i="4"/>
  <c r="L75" i="4"/>
  <c r="K15" i="4"/>
  <c r="L14" i="4"/>
  <c r="L174" i="4" l="1"/>
  <c r="K175" i="4"/>
  <c r="B229" i="4"/>
  <c r="C228" i="4"/>
  <c r="C123" i="4"/>
  <c r="B124" i="4"/>
  <c r="L227" i="4"/>
  <c r="K228" i="4"/>
  <c r="L125" i="4"/>
  <c r="K126" i="4"/>
  <c r="C177" i="4"/>
  <c r="L76" i="4"/>
  <c r="K77" i="4"/>
  <c r="K81" i="4" s="1"/>
  <c r="L15" i="4"/>
  <c r="K16" i="4"/>
  <c r="C21" i="4"/>
  <c r="B22" i="4"/>
  <c r="K176" i="4" l="1"/>
  <c r="L175" i="4"/>
  <c r="C124" i="4"/>
  <c r="B125" i="4"/>
  <c r="C229" i="4"/>
  <c r="B233" i="4"/>
  <c r="L228" i="4"/>
  <c r="K229" i="4"/>
  <c r="L126" i="4"/>
  <c r="K127" i="4"/>
  <c r="K131" i="4" s="1"/>
  <c r="K132" i="4" s="1"/>
  <c r="K133" i="4" s="1"/>
  <c r="C181" i="4"/>
  <c r="B182" i="4"/>
  <c r="B183" i="4" s="1"/>
  <c r="B184" i="4" s="1"/>
  <c r="B185" i="4" s="1"/>
  <c r="B186" i="4" s="1"/>
  <c r="B187" i="4" s="1"/>
  <c r="L77" i="4"/>
  <c r="K17" i="4"/>
  <c r="L16" i="4"/>
  <c r="C22" i="4"/>
  <c r="B23" i="4"/>
  <c r="L176" i="4" l="1"/>
  <c r="K177" i="4"/>
  <c r="C233" i="4"/>
  <c r="B234" i="4"/>
  <c r="C125" i="4"/>
  <c r="B126" i="4"/>
  <c r="K233" i="4"/>
  <c r="L229" i="4"/>
  <c r="L127" i="4"/>
  <c r="C182" i="4"/>
  <c r="L81" i="4"/>
  <c r="K82" i="4"/>
  <c r="K21" i="4"/>
  <c r="L17" i="4"/>
  <c r="C23" i="4"/>
  <c r="B24" i="4"/>
  <c r="K181" i="4" l="1"/>
  <c r="L177" i="4"/>
  <c r="C126" i="4"/>
  <c r="B127" i="4"/>
  <c r="C234" i="4"/>
  <c r="B235" i="4"/>
  <c r="L233" i="4"/>
  <c r="K234" i="4"/>
  <c r="C183" i="4"/>
  <c r="L131" i="4"/>
  <c r="L82" i="4"/>
  <c r="K83" i="4"/>
  <c r="L21" i="4"/>
  <c r="K22" i="4"/>
  <c r="C24" i="4"/>
  <c r="B25" i="4"/>
  <c r="L181" i="4" l="1"/>
  <c r="K182" i="4"/>
  <c r="C235" i="4"/>
  <c r="B236" i="4"/>
  <c r="C127" i="4"/>
  <c r="B131" i="4"/>
  <c r="L234" i="4"/>
  <c r="K235" i="4"/>
  <c r="L132" i="4"/>
  <c r="C184" i="4"/>
  <c r="L83" i="4"/>
  <c r="K84" i="4"/>
  <c r="K23" i="4"/>
  <c r="L22" i="4"/>
  <c r="C25" i="4"/>
  <c r="B26" i="4"/>
  <c r="L182" i="4" l="1"/>
  <c r="K183" i="4"/>
  <c r="C131" i="4"/>
  <c r="B132" i="4"/>
  <c r="C236" i="4"/>
  <c r="B237" i="4"/>
  <c r="L235" i="4"/>
  <c r="K236" i="4"/>
  <c r="C185" i="4"/>
  <c r="L133" i="4"/>
  <c r="K134" i="4"/>
  <c r="L84" i="4"/>
  <c r="K85" i="4"/>
  <c r="K24" i="4"/>
  <c r="L23" i="4"/>
  <c r="C26" i="4"/>
  <c r="B27" i="4"/>
  <c r="L183" i="4" l="1"/>
  <c r="K184" i="4"/>
  <c r="C237" i="4"/>
  <c r="B238" i="4"/>
  <c r="B133" i="4"/>
  <c r="C132" i="4"/>
  <c r="L236" i="4"/>
  <c r="K237" i="4"/>
  <c r="L134" i="4"/>
  <c r="K135" i="4"/>
  <c r="C186" i="4"/>
  <c r="L85" i="4"/>
  <c r="K86" i="4"/>
  <c r="L24" i="4"/>
  <c r="K25" i="4"/>
  <c r="C27" i="4"/>
  <c r="B31" i="4"/>
  <c r="L184" i="4" l="1"/>
  <c r="K185" i="4"/>
  <c r="C133" i="4"/>
  <c r="B134" i="4"/>
  <c r="C238" i="4"/>
  <c r="B239" i="4"/>
  <c r="L237" i="4"/>
  <c r="K238" i="4"/>
  <c r="L135" i="4"/>
  <c r="K136" i="4"/>
  <c r="C187" i="4"/>
  <c r="B191" i="4"/>
  <c r="L86" i="4"/>
  <c r="K87" i="4"/>
  <c r="K91" i="4" s="1"/>
  <c r="K26" i="4"/>
  <c r="L25" i="4"/>
  <c r="C31" i="4"/>
  <c r="B32" i="4"/>
  <c r="L185" i="4" l="1"/>
  <c r="K186" i="4"/>
  <c r="B243" i="4"/>
  <c r="C239" i="4"/>
  <c r="C134" i="4"/>
  <c r="B135" i="4"/>
  <c r="L238" i="4"/>
  <c r="K239" i="4"/>
  <c r="C191" i="4"/>
  <c r="B192" i="4"/>
  <c r="B193" i="4" s="1"/>
  <c r="B194" i="4" s="1"/>
  <c r="B195" i="4" s="1"/>
  <c r="B196" i="4" s="1"/>
  <c r="B197" i="4" s="1"/>
  <c r="L136" i="4"/>
  <c r="K137" i="4"/>
  <c r="L87" i="4"/>
  <c r="L26" i="4"/>
  <c r="K27" i="4"/>
  <c r="C32" i="4"/>
  <c r="B33" i="4"/>
  <c r="K187" i="4" l="1"/>
  <c r="L186" i="4"/>
  <c r="B136" i="4"/>
  <c r="C135" i="4"/>
  <c r="B244" i="4"/>
  <c r="C243" i="4"/>
  <c r="L239" i="4"/>
  <c r="K243" i="4"/>
  <c r="L137" i="4"/>
  <c r="K141" i="4"/>
  <c r="C192" i="4"/>
  <c r="L91" i="4"/>
  <c r="K92" i="4"/>
  <c r="K31" i="4"/>
  <c r="L27" i="4"/>
  <c r="B34" i="4"/>
  <c r="C33" i="4"/>
  <c r="L187" i="4" l="1"/>
  <c r="K191" i="4"/>
  <c r="C244" i="4"/>
  <c r="B245" i="4"/>
  <c r="B137" i="4"/>
  <c r="C136" i="4"/>
  <c r="L243" i="4"/>
  <c r="K244" i="4"/>
  <c r="C193" i="4"/>
  <c r="L141" i="4"/>
  <c r="K142" i="4"/>
  <c r="L92" i="4"/>
  <c r="K93" i="4"/>
  <c r="L31" i="4"/>
  <c r="K32" i="4"/>
  <c r="B35" i="4"/>
  <c r="C34" i="4"/>
  <c r="L191" i="4" l="1"/>
  <c r="K192" i="4"/>
  <c r="C137" i="4"/>
  <c r="B141" i="4"/>
  <c r="C245" i="4"/>
  <c r="B246" i="4"/>
  <c r="L244" i="4"/>
  <c r="K245" i="4"/>
  <c r="C194" i="4"/>
  <c r="L142" i="4"/>
  <c r="K143" i="4"/>
  <c r="K94" i="4"/>
  <c r="L93" i="4"/>
  <c r="K33" i="4"/>
  <c r="L32" i="4"/>
  <c r="C35" i="4"/>
  <c r="B36" i="4"/>
  <c r="K193" i="4" l="1"/>
  <c r="L192" i="4"/>
  <c r="C246" i="4"/>
  <c r="B247" i="4"/>
  <c r="C141" i="4"/>
  <c r="B142" i="4"/>
  <c r="L245" i="4"/>
  <c r="K246" i="4"/>
  <c r="L143" i="4"/>
  <c r="K144" i="4"/>
  <c r="C195" i="4"/>
  <c r="K95" i="4"/>
  <c r="K96" i="4" s="1"/>
  <c r="L94" i="4"/>
  <c r="K34" i="4"/>
  <c r="L33" i="4"/>
  <c r="C36" i="4"/>
  <c r="B37" i="4"/>
  <c r="L193" i="4" l="1"/>
  <c r="K194" i="4"/>
  <c r="C142" i="4"/>
  <c r="B143" i="4"/>
  <c r="C247" i="4"/>
  <c r="B248" i="4"/>
  <c r="L246" i="4"/>
  <c r="K247" i="4"/>
  <c r="K145" i="4"/>
  <c r="L144" i="4"/>
  <c r="C196" i="4"/>
  <c r="L96" i="4"/>
  <c r="K97" i="4"/>
  <c r="L95" i="4"/>
  <c r="L34" i="4"/>
  <c r="K35" i="4"/>
  <c r="B41" i="4"/>
  <c r="C37" i="4"/>
  <c r="L194" i="4" l="1"/>
  <c r="K195" i="4"/>
  <c r="C143" i="4"/>
  <c r="B144" i="4"/>
  <c r="C248" i="4"/>
  <c r="B249" i="4"/>
  <c r="L247" i="4"/>
  <c r="K248" i="4"/>
  <c r="L145" i="4"/>
  <c r="K146" i="4"/>
  <c r="C197" i="4"/>
  <c r="B201" i="4"/>
  <c r="L97" i="4"/>
  <c r="K101" i="4"/>
  <c r="K36" i="4"/>
  <c r="L35" i="4"/>
  <c r="B42" i="4"/>
  <c r="C41" i="4"/>
  <c r="L195" i="4" l="1"/>
  <c r="K196" i="4"/>
  <c r="B253" i="4"/>
  <c r="C249" i="4"/>
  <c r="C144" i="4"/>
  <c r="B145" i="4"/>
  <c r="L248" i="4"/>
  <c r="K249" i="4"/>
  <c r="C201" i="4"/>
  <c r="B202" i="4"/>
  <c r="B203" i="4" s="1"/>
  <c r="B204" i="4" s="1"/>
  <c r="B205" i="4" s="1"/>
  <c r="B206" i="4" s="1"/>
  <c r="B207" i="4" s="1"/>
  <c r="B208" i="4" s="1"/>
  <c r="C208" i="4" s="1"/>
  <c r="L146" i="4"/>
  <c r="K147" i="4"/>
  <c r="L36" i="4"/>
  <c r="K37" i="4"/>
  <c r="C42" i="4"/>
  <c r="B43" i="4"/>
  <c r="K197" i="4" l="1"/>
  <c r="L196" i="4"/>
  <c r="C145" i="4"/>
  <c r="B146" i="4"/>
  <c r="C253" i="4"/>
  <c r="B254" i="4"/>
  <c r="K253" i="4"/>
  <c r="L249" i="4"/>
  <c r="L147" i="4"/>
  <c r="K151" i="4"/>
  <c r="C202" i="4"/>
  <c r="L101" i="4"/>
  <c r="K102" i="4"/>
  <c r="K41" i="4"/>
  <c r="L37" i="4"/>
  <c r="C43" i="4"/>
  <c r="B44" i="4"/>
  <c r="L197" i="4" l="1"/>
  <c r="K201" i="4"/>
  <c r="C254" i="4"/>
  <c r="B255" i="4"/>
  <c r="C146" i="4"/>
  <c r="B147" i="4"/>
  <c r="L253" i="4"/>
  <c r="K254" i="4"/>
  <c r="C203" i="4"/>
  <c r="L151" i="4"/>
  <c r="K152" i="4"/>
  <c r="L102" i="4"/>
  <c r="K103" i="4"/>
  <c r="L41" i="4"/>
  <c r="K42" i="4"/>
  <c r="K43" i="4" s="1"/>
  <c r="C44" i="4"/>
  <c r="B45" i="4"/>
  <c r="L201" i="4" l="1"/>
  <c r="K202" i="4"/>
  <c r="B151" i="4"/>
  <c r="C147" i="4"/>
  <c r="C255" i="4"/>
  <c r="B256" i="4"/>
  <c r="L254" i="4"/>
  <c r="L152" i="4"/>
  <c r="K153" i="4"/>
  <c r="C204" i="4"/>
  <c r="L103" i="4"/>
  <c r="K104" i="4"/>
  <c r="L42" i="4"/>
  <c r="C45" i="4"/>
  <c r="B46" i="4"/>
  <c r="L202" i="4" l="1"/>
  <c r="K203" i="4"/>
  <c r="L203" i="4" s="1"/>
  <c r="B257" i="4"/>
  <c r="C256" i="4"/>
  <c r="C151" i="4"/>
  <c r="B152" i="4"/>
  <c r="C205" i="4"/>
  <c r="L153" i="4"/>
  <c r="K154" i="4"/>
  <c r="K155" i="4" s="1"/>
  <c r="L155" i="4" s="1"/>
  <c r="L104" i="4"/>
  <c r="K105" i="4"/>
  <c r="K106" i="4" s="1"/>
  <c r="K107" i="4" s="1"/>
  <c r="L107" i="4" s="1"/>
  <c r="C46" i="4"/>
  <c r="B47" i="4"/>
  <c r="C152" i="4" l="1"/>
  <c r="B153" i="4"/>
  <c r="C153" i="4" s="1"/>
  <c r="B258" i="4"/>
  <c r="C258" i="4" s="1"/>
  <c r="C257" i="4"/>
  <c r="C206" i="4"/>
  <c r="C207" i="4"/>
  <c r="L154" i="4"/>
  <c r="L106" i="4"/>
  <c r="L105" i="4"/>
  <c r="K44" i="4"/>
  <c r="L43" i="4"/>
  <c r="C47" i="4"/>
  <c r="B51" i="4"/>
  <c r="L44" i="4" l="1"/>
  <c r="K45" i="4"/>
  <c r="B52" i="4"/>
  <c r="C51" i="4"/>
  <c r="K46" i="4" l="1"/>
  <c r="L45" i="4"/>
  <c r="C52" i="4"/>
  <c r="B53" i="4"/>
  <c r="L46" i="4" l="1"/>
  <c r="K47" i="4"/>
  <c r="B54" i="4"/>
  <c r="C53" i="4"/>
  <c r="L47" i="4" l="1"/>
  <c r="K51" i="4"/>
  <c r="K52" i="4" s="1"/>
  <c r="C54" i="4"/>
  <c r="B55" i="4"/>
  <c r="L52" i="4" l="1"/>
  <c r="L51" i="4"/>
  <c r="C55" i="4"/>
  <c r="B56" i="4"/>
  <c r="C56" i="4" s="1"/>
  <c r="B62" i="4" l="1"/>
  <c r="C61" i="4"/>
  <c r="B63" i="4" l="1"/>
  <c r="C62" i="4"/>
  <c r="B64" i="4" l="1"/>
  <c r="C63" i="4"/>
  <c r="C64" i="4" l="1"/>
  <c r="B65" i="4"/>
  <c r="F7" i="5"/>
  <c r="E7" i="5"/>
  <c r="N7" i="5" s="1"/>
  <c r="H7" i="5"/>
  <c r="G7" i="5"/>
  <c r="G6" i="5"/>
  <c r="F6" i="5"/>
  <c r="O6" i="5" s="1"/>
  <c r="E6" i="5"/>
  <c r="N6" i="5" s="1"/>
  <c r="O7" i="5" l="1"/>
  <c r="B71" i="4"/>
  <c r="C65" i="4"/>
  <c r="C71" i="4" l="1"/>
  <c r="B72" i="4"/>
  <c r="C72" i="4" l="1"/>
  <c r="B73" i="4"/>
  <c r="C73" i="4" l="1"/>
  <c r="B74" i="4"/>
  <c r="C74" i="4" l="1"/>
  <c r="B75" i="4"/>
  <c r="C75" i="4" l="1"/>
  <c r="B76" i="4"/>
  <c r="B77" i="4" l="1"/>
  <c r="C76" i="4"/>
  <c r="C77" i="4" l="1"/>
  <c r="B81" i="4"/>
  <c r="C81" i="4" l="1"/>
  <c r="B82" i="4"/>
  <c r="C82" i="4" l="1"/>
  <c r="B83" i="4"/>
  <c r="B84" i="4" l="1"/>
  <c r="C83" i="4"/>
  <c r="C84" i="4" l="1"/>
  <c r="B85" i="4"/>
  <c r="C85" i="4" l="1"/>
  <c r="B86" i="4"/>
  <c r="C86" i="4" l="1"/>
  <c r="B87" i="4"/>
  <c r="B91" i="4" l="1"/>
  <c r="C87" i="4"/>
  <c r="C91" i="4" l="1"/>
  <c r="B92" i="4"/>
  <c r="C92" i="4" l="1"/>
  <c r="B93" i="4"/>
  <c r="C93" i="4" l="1"/>
  <c r="B94" i="4"/>
  <c r="C94" i="4" l="1"/>
  <c r="B95" i="4"/>
  <c r="C95" i="4" l="1"/>
  <c r="B96" i="4"/>
  <c r="C96" i="4" l="1"/>
  <c r="B97" i="4"/>
  <c r="B101" i="4" l="1"/>
  <c r="C97" i="4"/>
  <c r="C101" i="4" l="1"/>
  <c r="B102" i="4"/>
  <c r="C102" i="4" l="1"/>
  <c r="B103" i="4"/>
  <c r="C103" i="4" l="1"/>
  <c r="B104" i="4"/>
  <c r="C104" i="4" s="1"/>
</calcChain>
</file>

<file path=xl/sharedStrings.xml><?xml version="1.0" encoding="utf-8"?>
<sst xmlns="http://schemas.openxmlformats.org/spreadsheetml/2006/main" count="588" uniqueCount="95">
  <si>
    <t>Occupancy</t>
  </si>
  <si>
    <t xml:space="preserve">Supervisor: </t>
  </si>
  <si>
    <t>Time In</t>
  </si>
  <si>
    <t>Time Out</t>
  </si>
  <si>
    <t>Lunch</t>
  </si>
  <si>
    <t>Accomplishments</t>
  </si>
  <si>
    <t>WEEK NO. 01</t>
  </si>
  <si>
    <t>Total</t>
  </si>
  <si>
    <t>WEEK NO. 02</t>
  </si>
  <si>
    <t>WEEK NO. 03</t>
  </si>
  <si>
    <t>WEEK NO. 04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</si>
  <si>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</si>
  <si>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</si>
  <si>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</si>
  <si>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</si>
  <si>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</si>
  <si>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</si>
  <si>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</si>
  <si>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</si>
  <si>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</si>
  <si>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25th Apr to 30th April</t>
  </si>
  <si>
    <t>1st May to 8th May</t>
  </si>
  <si>
    <t>January</t>
  </si>
  <si>
    <t>4th Apr to 10th April</t>
  </si>
  <si>
    <t>11th Apr to 17th April</t>
  </si>
  <si>
    <t>18th Apr to 24th April</t>
  </si>
  <si>
    <t>WEEK NO. 05</t>
  </si>
  <si>
    <t>1st April to 3rd April</t>
  </si>
  <si>
    <t>9th May to 15th May</t>
  </si>
  <si>
    <t>16th May to 22nd May</t>
  </si>
  <si>
    <t>23rd May to 29th May</t>
  </si>
  <si>
    <t>30th May to 31st May</t>
  </si>
  <si>
    <t>1st June to 5th June</t>
  </si>
  <si>
    <t>27th June to 30th June</t>
  </si>
  <si>
    <t>20th June to 26th June</t>
  </si>
  <si>
    <t>13th June to 19th June</t>
  </si>
  <si>
    <t>6th June to 12th June</t>
  </si>
  <si>
    <t>1st July to 3rd July</t>
  </si>
  <si>
    <t>4th July to 10th July</t>
  </si>
  <si>
    <t>11th July to 17th July</t>
  </si>
  <si>
    <t>18th July to 24th July</t>
  </si>
  <si>
    <t>25th July to 31st July</t>
  </si>
  <si>
    <t>1st August to 7th August</t>
  </si>
  <si>
    <t>29th August to 31st August</t>
  </si>
  <si>
    <t>22nd August to 28th August</t>
  </si>
  <si>
    <t>15th August to 21st August</t>
  </si>
  <si>
    <t>8th August to 14th August</t>
  </si>
  <si>
    <t>1st Sep to 4th Sep</t>
  </si>
  <si>
    <t>5th Sep to 11th Sep</t>
  </si>
  <si>
    <t>12th Sep to 18th Sep</t>
  </si>
  <si>
    <t>19th Sep to 25th Sep</t>
  </si>
  <si>
    <t>26st Sep to 30th Sep</t>
  </si>
  <si>
    <t>1st Oct to 2nd Oct</t>
  </si>
  <si>
    <t>24t Oct to 31st Oct</t>
  </si>
  <si>
    <t>17th Oct to 23rd Oct</t>
  </si>
  <si>
    <t>10th Oct to 16th Oct</t>
  </si>
  <si>
    <t>3rd Oct to 9th Oct</t>
  </si>
  <si>
    <t>1st Nov to 6th Nov</t>
  </si>
  <si>
    <t>28th Nov to 30th Nov</t>
  </si>
  <si>
    <t>21st Nov to 27th Nov</t>
  </si>
  <si>
    <t>14th Nov to 20th Nov</t>
  </si>
  <si>
    <t>7th Nov to 13th Nov</t>
  </si>
  <si>
    <t>1st Dec to 4th Dec</t>
  </si>
  <si>
    <t>26th Dec to 31st Dec</t>
  </si>
  <si>
    <t>19th Dec to 25th Dec</t>
  </si>
  <si>
    <t>12th Dec to 18th Dec</t>
  </si>
  <si>
    <t>5th Dec to 11th Dec</t>
  </si>
  <si>
    <t>1st Jan to 8th Jan</t>
  </si>
  <si>
    <t>30th Jan to 31st Jan</t>
  </si>
  <si>
    <t>23rd Jan to 29th Jan</t>
  </si>
  <si>
    <t>16th Jan to 22nd Jan</t>
  </si>
  <si>
    <t>9th Jan to 15th Jan</t>
  </si>
  <si>
    <t>DASBOR</t>
  </si>
  <si>
    <t>Bulan</t>
  </si>
  <si>
    <t>Jam</t>
  </si>
  <si>
    <t>Membayar</t>
  </si>
  <si>
    <t>Minggu 1</t>
  </si>
  <si>
    <t>Minggu 2</t>
  </si>
  <si>
    <t>Minggu 3</t>
  </si>
  <si>
    <t>Minggu 4</t>
  </si>
  <si>
    <t>Minggu 5</t>
  </si>
  <si>
    <t>Bulanan</t>
  </si>
  <si>
    <t>Nama :</t>
  </si>
  <si>
    <t>Alamat email :</t>
  </si>
  <si>
    <t>Tarif per Jam</t>
  </si>
  <si>
    <t>Departemen</t>
  </si>
  <si>
    <t>Judul :</t>
  </si>
  <si>
    <t>Perusahaan :</t>
  </si>
  <si>
    <t>MINGGU NO. 01</t>
  </si>
  <si>
    <t>Tanggal</t>
  </si>
  <si>
    <t>Hari</t>
  </si>
  <si>
    <t>Total Jam</t>
  </si>
  <si>
    <t>Bayar Diperoleh</t>
  </si>
  <si>
    <t>MINGGU NO. 02</t>
  </si>
  <si>
    <t>MINGGU NO.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</si>
</sst>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d\-mmm\-yy;@"/>
    <numFmt numFmtId="166" formatCode="0.0"/>
    <numFmt numFmtId="167" formatCode="_([$IDR]\ * #,##0.00_);_([$IDR]\ * \(#,##0.00\);_([$IDR]\ * &quot;-&quot;??_);_(@_)"/>
  </numFmts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20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22"/>
      <color rgb="FF000000"/>
      <name val="Times New Roman"/>
      <family val="1"/>
    </font>
    <font>
      <b/>
      <sz val="11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10"/>
      <color rgb="FF000000"/>
      <name val="Arial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theme="8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11" fillId="0" borderId="0" applyFont="0" applyFill="0" applyBorder="0" applyAlignment="0" applyProtection="0"/>
  </cellStyleXfs>
  <cellXfs count="49">
    <xf numFmtId="0" fontId="0" fillId="0" borderId="0" xfId="0"/>
    <xf numFmtId="49" fontId="2" fillId="0" borderId="1" xfId="1" applyNumberFormat="1" applyFont="1" applyBorder="1" applyAlignment="1">
      <alignment horizontal="center" vertical="center"/>
    </xf>
    <xf numFmtId="18" fontId="2" fillId="0" borderId="1" xfId="1" applyNumberFormat="1" applyFont="1" applyBorder="1" applyAlignment="1">
      <alignment horizontal="center" vertical="center"/>
    </xf>
    <xf numFmtId="2" fontId="2" fillId="0" borderId="2" xfId="1" applyNumberFormat="1" applyFont="1" applyBorder="1" applyAlignment="1">
      <alignment horizontal="center" vertical="center"/>
    </xf>
    <xf numFmtId="18" fontId="2" fillId="0" borderId="2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vertical="center"/>
    </xf>
    <xf numFmtId="2" fontId="2" fillId="0" borderId="1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5" xfId="0" applyFont="1" applyBorder="1" applyAlignment="1">
      <alignment vertical="center"/>
    </xf>
    <xf numFmtId="2" fontId="5" fillId="0" borderId="2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10" fillId="2" borderId="5" xfId="0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/>
    </xf>
    <xf numFmtId="0" fontId="6" fillId="0" borderId="2" xfId="0" applyFont="1" applyBorder="1"/>
    <xf numFmtId="49" fontId="2" fillId="0" borderId="2" xfId="1" applyNumberFormat="1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/>
    </xf>
    <xf numFmtId="164" fontId="5" fillId="0" borderId="7" xfId="1" applyNumberFormat="1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164" fontId="5" fillId="0" borderId="11" xfId="1" applyNumberFormat="1" applyFont="1" applyBorder="1" applyAlignment="1">
      <alignment horizontal="center" vertical="center"/>
    </xf>
    <xf numFmtId="164" fontId="5" fillId="0" borderId="12" xfId="1" applyNumberFormat="1" applyFont="1" applyBorder="1" applyAlignment="1">
      <alignment horizontal="center" vertical="center"/>
    </xf>
    <xf numFmtId="164" fontId="5" fillId="0" borderId="13" xfId="1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7" fontId="6" fillId="0" borderId="5" xfId="0" applyNumberFormat="1" applyFont="1" applyBorder="1" applyAlignment="1">
      <alignment horizontal="center" vertical="center"/>
    </xf>
    <xf numFmtId="167" fontId="6" fillId="0" borderId="5" xfId="2" applyNumberFormat="1" applyFont="1" applyBorder="1" applyAlignment="1">
      <alignment horizontal="center" vertical="center"/>
    </xf>
    <xf numFmtId="167" fontId="9" fillId="0" borderId="5" xfId="0" applyNumberFormat="1" applyFont="1" applyBorder="1" applyAlignment="1">
      <alignment horizontal="center" vertical="center"/>
    </xf>
    <xf numFmtId="167" fontId="6" fillId="0" borderId="5" xfId="0" applyNumberFormat="1" applyFont="1" applyBorder="1" applyAlignment="1">
      <alignment horizontal="center" vertical="center"/>
    </xf>
    <xf numFmtId="167" fontId="2" fillId="0" borderId="1" xfId="1" applyNumberFormat="1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167" fontId="2" fillId="0" borderId="2" xfId="1" applyNumberFormat="1" applyFont="1" applyBorder="1" applyAlignment="1">
      <alignment horizontal="center" vertical="center"/>
    </xf>
    <xf numFmtId="167" fontId="5" fillId="0" borderId="1" xfId="1" applyNumberFormat="1" applyFont="1" applyBorder="1" applyAlignment="1">
      <alignment horizontal="center" vertical="center"/>
    </xf>
    <xf numFmtId="167" fontId="3" fillId="3" borderId="8" xfId="0" applyNumberFormat="1" applyFont="1" applyFill="1" applyBorder="1" applyAlignment="1">
      <alignment horizontal="center" vertical="center"/>
    </xf>
    <xf numFmtId="167" fontId="3" fillId="3" borderId="10" xfId="0" applyNumberFormat="1" applyFont="1" applyFill="1" applyBorder="1" applyAlignment="1">
      <alignment horizontal="center" vertical="center"/>
    </xf>
    <xf numFmtId="167" fontId="4" fillId="4" borderId="6" xfId="1" applyNumberFormat="1" applyFont="1" applyFill="1" applyBorder="1" applyAlignment="1">
      <alignment horizontal="center" vertical="center"/>
    </xf>
    <xf numFmtId="167" fontId="6" fillId="0" borderId="2" xfId="0" applyNumberFormat="1" applyFont="1" applyBorder="1"/>
    <xf numFmtId="167" fontId="5" fillId="0" borderId="2" xfId="1" applyNumberFormat="1" applyFont="1" applyBorder="1" applyAlignment="1">
      <alignment horizontal="center" vertical="center"/>
    </xf>
  </cellXfs>
  <cellStyles count="3">
    <cellStyle name="Currency" xfId="2" builtinId="4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percentStacked"/>
        <c:varyColors val="0"/>
        <c:ser>
          <c:idx val="0"/>
          <c:order val="0"/>
          <c:tx>
            <c:strRef>
              <c:f>Dashboard!$N$4:$N$5</c:f>
              <c:strCache>
                <c:ptCount val="2"/>
                <c:pt idx="0">
                  <c:v>Bulanan</c:v>
                </c:pt>
                <c:pt idx="1">
                  <c:v>Jam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Dashboard!$B$6:$B$15</c:f>
              <c:strCache>
                <c:ptCount val="10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</c:strCache>
            </c:strRef>
          </c:cat>
          <c:val>
            <c:numRef>
              <c:f>Dashboard!$N$6:$N$15</c:f>
              <c:numCache>
                <c:formatCode>0.0</c:formatCode>
                <c:ptCount val="10"/>
                <c:pt idx="0">
                  <c:v>300.24999999999994</c:v>
                </c:pt>
                <c:pt idx="1">
                  <c:v>308.87499999999994</c:v>
                </c:pt>
                <c:pt idx="2">
                  <c:v>305.08333333333331</c:v>
                </c:pt>
                <c:pt idx="3">
                  <c:v>308.87499999999994</c:v>
                </c:pt>
                <c:pt idx="4">
                  <c:v>315.99999999999994</c:v>
                </c:pt>
                <c:pt idx="5">
                  <c:v>299.83333333333331</c:v>
                </c:pt>
                <c:pt idx="6">
                  <c:v>313.58333333333331</c:v>
                </c:pt>
                <c:pt idx="7">
                  <c:v>305.20833333333331</c:v>
                </c:pt>
                <c:pt idx="8">
                  <c:v>315.91666666666663</c:v>
                </c:pt>
                <c:pt idx="9">
                  <c:v>316.04166666666663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37-4CA7-B241-7C9858AE3827}"/>
            </c:ext>
          </c:extLst>
        </c:ser>
        <c:ser>
          <c:idx val="1"/>
          <c:order val="1"/>
          <c:tx>
            <c:strRef>
              <c:f>Dashboard!$O$4:$O$5</c:f>
              <c:strCache>
                <c:ptCount val="2"/>
                <c:pt idx="0">
                  <c:v>Bulanan</c:v>
                </c:pt>
                <c:pt idx="1">
                  <c:v>Membayar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Dashboard!$B$6:$B$15</c:f>
              <c:strCache>
                <c:ptCount val="10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</c:strCache>
            </c:strRef>
          </c:cat>
          <c:val>
            <c:numRef>
              <c:f>Dashboard!$O$6:$O$15</c:f>
              <c:numCache>
                <c:formatCode>_([$IDR]\ * #,##0.00_);_([$IDR]\ * \(#,##0.00\);_([$IDR]\ * "-"??_);_(@_)</c:formatCode>
                <c:ptCount val="10"/>
                <c:pt idx="0">
                  <c:v>10508.749999999998</c:v>
                </c:pt>
                <c:pt idx="1">
                  <c:v>10810.624999999998</c:v>
                </c:pt>
                <c:pt idx="2">
                  <c:v>10677.916666666664</c:v>
                </c:pt>
                <c:pt idx="3">
                  <c:v>10810.624999999998</c:v>
                </c:pt>
                <c:pt idx="4">
                  <c:v>11060</c:v>
                </c:pt>
                <c:pt idx="5">
                  <c:v>10494.166666666666</c:v>
                </c:pt>
                <c:pt idx="6">
                  <c:v>10975.416666666668</c:v>
                </c:pt>
                <c:pt idx="7">
                  <c:v>10682.291666666664</c:v>
                </c:pt>
                <c:pt idx="8">
                  <c:v>11057.083333333334</c:v>
                </c:pt>
                <c:pt idx="9">
                  <c:v>11061.458333333332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37-4CA7-B241-7C9858AE38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1028912"/>
        <c:axId val="31030992"/>
      </c:lineChart>
      <c:catAx>
        <c:axId val="31028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30992"/>
        <c:crosses val="autoZero"/>
        <c:auto val="1"/>
        <c:lblAlgn val="ctr"/>
        <c:lblOffset val="100"/>
        <c:noMultiLvlLbl val="0"/>
      </c:catAx>
      <c:valAx>
        <c:axId val="310309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2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002060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60614</xdr:colOff>
      <xdr:row>15</xdr:row>
      <xdr:rowOff>138854</xdr:rowOff>
    </xdr:from>
    <xdr:to>
      <xdr:col>15</xdr:col>
      <xdr:colOff>17318</xdr:colOff>
      <xdr:row>32</xdr:row>
      <xdr:rowOff>93980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6"/>
  <sheetViews>
    <sheetView showGridLines="0" showRowColHeaders="0" tabSelected="1" zoomScale="88" zoomScaleNormal="88" workbookViewId="0">
      <selection activeCell="R7" sqref="R7"/>
    </sheetView>
  </sheetViews>
  <sheetFormatPr defaultRowHeight="13.2" x14ac:dyDescent="0.25"/>
  <cols>
    <col min="1" max="1" width="1.109375" style="10" customWidth="1"/>
    <col min="2" max="2" width="10.88671875" style="10" customWidth="1"/>
    <col min="3" max="3" width="11.109375" style="10" customWidth="1"/>
    <col min="4" max="4" width="15.109375" style="10" customWidth="1"/>
    <col min="5" max="5" width="11.109375" style="10" customWidth="1"/>
    <col min="6" max="6" width="15.88671875" style="10" customWidth="1"/>
    <col min="7" max="7" width="11.109375" style="10" customWidth="1"/>
    <col min="8" max="8" width="14.88671875" style="10" customWidth="1"/>
    <col min="9" max="9" width="11.109375" style="10" customWidth="1"/>
    <col min="10" max="10" width="17" style="10" customWidth="1"/>
    <col min="11" max="11" width="11.109375" style="10" customWidth="1"/>
    <col min="12" max="12" width="15.109375" style="10" customWidth="1"/>
    <col min="13" max="13" width="1.109375" style="10" customWidth="1"/>
    <col min="14" max="14" width="8.88671875" style="10"/>
    <col min="15" max="15" width="14.33203125" style="10" bestFit="1" customWidth="1"/>
    <col min="16" max="16" width="1.21875" style="10" customWidth="1"/>
    <col min="17" max="16384" width="8.88671875" style="10"/>
  </cols>
  <sheetData>
    <row r="1" spans="2:15" ht="6" customHeight="1" x14ac:dyDescent="0.25"/>
    <row r="2" spans="2:15" ht="28.2" x14ac:dyDescent="0.25">
      <c r="B2" s="23" t="s">
        <v>72</v>
      </c>
      <c r="C2" s="23"/>
      <c r="D2" s="23"/>
      <c r="E2" s="23"/>
      <c r="F2" s="23"/>
    </row>
    <row r="3" spans="2:15" ht="6" customHeight="1" x14ac:dyDescent="0.25"/>
    <row r="4" spans="2:15" ht="24" customHeight="1" x14ac:dyDescent="0.25">
      <c r="B4" s="22" t="s">
        <v>73</v>
      </c>
      <c r="C4" s="22" t="s">
        <v>76</v>
      </c>
      <c r="D4" s="22"/>
      <c r="E4" s="22" t="s">
        <v>77</v>
      </c>
      <c r="F4" s="22"/>
      <c r="G4" s="22" t="s">
        <v>78</v>
      </c>
      <c r="H4" s="22"/>
      <c r="I4" s="22" t="s">
        <v>79</v>
      </c>
      <c r="J4" s="22"/>
      <c r="K4" s="22" t="s">
        <v>80</v>
      </c>
      <c r="L4" s="22"/>
      <c r="N4" s="22" t="s">
        <v>81</v>
      </c>
      <c r="O4" s="22"/>
    </row>
    <row r="5" spans="2:15" ht="24" customHeight="1" x14ac:dyDescent="0.25">
      <c r="B5" s="22"/>
      <c r="C5" s="14" t="s">
        <v>74</v>
      </c>
      <c r="D5" s="14" t="s">
        <v>75</v>
      </c>
      <c r="E5" s="14" t="s">
        <v>74</v>
      </c>
      <c r="F5" s="14" t="s">
        <v>75</v>
      </c>
      <c r="G5" s="14" t="s">
        <v>74</v>
      </c>
      <c r="H5" s="14" t="s">
        <v>75</v>
      </c>
      <c r="I5" s="14" t="s">
        <v>74</v>
      </c>
      <c r="J5" s="14" t="s">
        <v>75</v>
      </c>
      <c r="K5" s="14" t="s">
        <v>74</v>
      </c>
      <c r="L5" s="14" t="s">
        <v>75</v>
      </c>
      <c r="N5" s="14" t="s">
        <v>74</v>
      </c>
      <c r="O5" s="14" t="s">
        <v>75</v>
      </c>
    </row>
    <row r="6" spans="2:15" ht="18" customHeight="1" x14ac:dyDescent="0.25">
      <c r="B6" s="13" t="s">
        <v>11</v>
      </c>
      <c r="C6" s="15">
        <f>'Data '!G18</f>
        <v>29.041666666666664</v>
      </c>
      <c r="D6" s="36">
        <f>'Data '!H18</f>
        <v>1016.4583333333333</v>
      </c>
      <c r="E6" s="15">
        <f>'Data '!G28</f>
        <v>73.041666666666657</v>
      </c>
      <c r="F6" s="36">
        <f>'Data '!H28</f>
        <v>2556.458333333333</v>
      </c>
      <c r="G6" s="15">
        <f>'Data '!G38</f>
        <v>72.791666666666657</v>
      </c>
      <c r="H6" s="37">
        <f>'Data '!H38</f>
        <v>2547.7083333333326</v>
      </c>
      <c r="I6" s="15">
        <f>'Data '!G48</f>
        <v>72.999999999999986</v>
      </c>
      <c r="J6" s="36">
        <f>'Data '!H48</f>
        <v>2554.9999999999995</v>
      </c>
      <c r="K6" s="15">
        <f>'Data '!G58</f>
        <v>52.374999999999993</v>
      </c>
      <c r="L6" s="36">
        <f>'Data '!H58</f>
        <v>1833.1249999999998</v>
      </c>
      <c r="N6" s="16">
        <f t="shared" ref="N6" si="0">C6+E6+G6+K6+I6</f>
        <v>300.24999999999994</v>
      </c>
      <c r="O6" s="38">
        <f>D6+F6+H6+L6+J6</f>
        <v>10508.749999999998</v>
      </c>
    </row>
    <row r="7" spans="2:15" ht="18" customHeight="1" x14ac:dyDescent="0.25">
      <c r="B7" s="13" t="s">
        <v>12</v>
      </c>
      <c r="C7" s="15">
        <f>'Data '!P18</f>
        <v>82.708333333333314</v>
      </c>
      <c r="D7" s="36">
        <f>'Data '!Q18</f>
        <v>2894.7916666666661</v>
      </c>
      <c r="E7" s="15">
        <f>'Data '!P28</f>
        <v>67.541666666666657</v>
      </c>
      <c r="F7" s="36">
        <f>'Data '!Q28</f>
        <v>2363.958333333333</v>
      </c>
      <c r="G7" s="15">
        <f>'Data '!P38</f>
        <v>67.541666666666657</v>
      </c>
      <c r="H7" s="37">
        <f>'Data '!Q38</f>
        <v>2363.958333333333</v>
      </c>
      <c r="I7" s="15">
        <f>'Data '!P48</f>
        <v>72.999999999999986</v>
      </c>
      <c r="J7" s="36">
        <f>'Data '!Q48</f>
        <v>2555</v>
      </c>
      <c r="K7" s="15">
        <f>'Data '!P58</f>
        <v>18.083333333333332</v>
      </c>
      <c r="L7" s="36">
        <f>'Data '!Q58</f>
        <v>632.91666666666663</v>
      </c>
      <c r="N7" s="16">
        <f>C7+E7+G7+K7+I7</f>
        <v>308.87499999999994</v>
      </c>
      <c r="O7" s="38">
        <f t="shared" ref="O7:O15" si="1">D7+F7+H7+L7+J7</f>
        <v>10810.624999999998</v>
      </c>
    </row>
    <row r="8" spans="2:15" ht="18" customHeight="1" x14ac:dyDescent="0.25">
      <c r="B8" s="13" t="s">
        <v>13</v>
      </c>
      <c r="C8" s="15">
        <f>'Data '!G68</f>
        <v>48.458333333333336</v>
      </c>
      <c r="D8" s="36">
        <f>'Data '!H68</f>
        <v>1696.0416666666667</v>
      </c>
      <c r="E8" s="15">
        <f>'Data '!G78</f>
        <v>73.041666666666657</v>
      </c>
      <c r="F8" s="36">
        <f>'Data '!H78</f>
        <v>2556.458333333333</v>
      </c>
      <c r="G8" s="15">
        <f>'Data '!G88</f>
        <v>72.791666666666657</v>
      </c>
      <c r="H8" s="37">
        <f>'Data '!H88</f>
        <v>2547.7083333333326</v>
      </c>
      <c r="I8" s="15">
        <f>'Data '!G98</f>
        <v>72.999999999999986</v>
      </c>
      <c r="J8" s="36">
        <f>'Data '!H98</f>
        <v>2554.9999999999995</v>
      </c>
      <c r="K8" s="15">
        <f>'Data '!G108</f>
        <v>37.791666666666664</v>
      </c>
      <c r="L8" s="36">
        <f>'Data '!H108</f>
        <v>1322.7083333333333</v>
      </c>
      <c r="N8" s="16">
        <f t="shared" ref="N8:N15" si="2">C8+E8+G8+K8+I8</f>
        <v>305.08333333333331</v>
      </c>
      <c r="O8" s="38">
        <f t="shared" si="1"/>
        <v>10677.916666666664</v>
      </c>
    </row>
    <row r="9" spans="2:15" ht="18" customHeight="1" x14ac:dyDescent="0.25">
      <c r="B9" s="13" t="s">
        <v>14</v>
      </c>
      <c r="C9" s="15">
        <f>'Data '!P68</f>
        <v>29.291666666666664</v>
      </c>
      <c r="D9" s="36">
        <f>'Data '!Q68</f>
        <v>1025.2083333333333</v>
      </c>
      <c r="E9" s="15">
        <f>'Data '!P78</f>
        <v>73.041666666666657</v>
      </c>
      <c r="F9" s="36">
        <f>'Data '!Q78</f>
        <v>2556.458333333333</v>
      </c>
      <c r="G9" s="15">
        <f>'Data '!P88</f>
        <v>72.791666666666657</v>
      </c>
      <c r="H9" s="37">
        <f>'Data '!Q88</f>
        <v>2547.7083333333326</v>
      </c>
      <c r="I9" s="15">
        <f>'Data '!P98</f>
        <v>72.999999999999986</v>
      </c>
      <c r="J9" s="36">
        <f>'Data '!Q98</f>
        <v>2554.9999999999995</v>
      </c>
      <c r="K9" s="15">
        <f>'Data '!P108</f>
        <v>60.749999999999986</v>
      </c>
      <c r="L9" s="36">
        <f>'Data '!Q108</f>
        <v>2126.2499999999995</v>
      </c>
      <c r="N9" s="16">
        <f t="shared" si="2"/>
        <v>308.87499999999994</v>
      </c>
      <c r="O9" s="38">
        <f t="shared" si="1"/>
        <v>10810.624999999998</v>
      </c>
    </row>
    <row r="10" spans="2:15" ht="18" customHeight="1" x14ac:dyDescent="0.25">
      <c r="B10" s="13" t="s">
        <v>15</v>
      </c>
      <c r="C10" s="15">
        <f>'Data '!G118</f>
        <v>67.875</v>
      </c>
      <c r="D10" s="36">
        <f>'Data '!H118</f>
        <v>2375.625</v>
      </c>
      <c r="E10" s="15">
        <f>'Data '!G128</f>
        <v>73.041666666666657</v>
      </c>
      <c r="F10" s="36">
        <f>'Data '!H128</f>
        <v>2556.458333333333</v>
      </c>
      <c r="G10" s="15">
        <f>'Data '!G138</f>
        <v>72.791666666666657</v>
      </c>
      <c r="H10" s="37">
        <f>'Data '!H138</f>
        <v>2547.7083333333326</v>
      </c>
      <c r="I10" s="15">
        <f>'Data '!G148</f>
        <v>72.999999999999986</v>
      </c>
      <c r="J10" s="36">
        <f>'Data '!H148</f>
        <v>2554.9999999999995</v>
      </c>
      <c r="K10" s="15">
        <f>'Data '!G158</f>
        <v>29.291666666666664</v>
      </c>
      <c r="L10" s="36">
        <f>'Data '!H158</f>
        <v>1025.2083333333333</v>
      </c>
      <c r="N10" s="16">
        <f t="shared" si="2"/>
        <v>315.99999999999994</v>
      </c>
      <c r="O10" s="38">
        <f t="shared" si="1"/>
        <v>11060</v>
      </c>
    </row>
    <row r="11" spans="2:15" ht="18" customHeight="1" x14ac:dyDescent="0.25">
      <c r="B11" s="13" t="s">
        <v>16</v>
      </c>
      <c r="C11" s="15">
        <f>'Data '!P118</f>
        <v>37.791666666666664</v>
      </c>
      <c r="D11" s="36">
        <f>'Data '!Q118</f>
        <v>1322.7083333333333</v>
      </c>
      <c r="E11" s="15">
        <f>'Data '!P128</f>
        <v>74.208333333333329</v>
      </c>
      <c r="F11" s="36">
        <f>'Data '!Q128</f>
        <v>2597.291666666667</v>
      </c>
      <c r="G11" s="15">
        <f>'Data '!P138</f>
        <v>73.041666666666657</v>
      </c>
      <c r="H11" s="37">
        <f>'Data '!Q138</f>
        <v>2556.458333333333</v>
      </c>
      <c r="I11" s="15">
        <f>'Data '!P148</f>
        <v>72.999999999999986</v>
      </c>
      <c r="J11" s="36">
        <f>'Data '!Q148</f>
        <v>2554.9999999999995</v>
      </c>
      <c r="K11" s="15">
        <f>'Data '!P158</f>
        <v>41.791666666666657</v>
      </c>
      <c r="L11" s="36">
        <f>'Data '!Q158</f>
        <v>1462.708333333333</v>
      </c>
      <c r="N11" s="16">
        <f t="shared" si="2"/>
        <v>299.83333333333331</v>
      </c>
      <c r="O11" s="38">
        <f t="shared" si="1"/>
        <v>10494.166666666666</v>
      </c>
    </row>
    <row r="12" spans="2:15" ht="18" customHeight="1" x14ac:dyDescent="0.25">
      <c r="B12" s="13" t="s">
        <v>17</v>
      </c>
      <c r="C12" s="15">
        <f>'Data '!G168</f>
        <v>19.333333333333332</v>
      </c>
      <c r="D12" s="36">
        <f>'Data '!H168</f>
        <v>676.66666666666663</v>
      </c>
      <c r="E12" s="15">
        <f>'Data '!G178</f>
        <v>67.375</v>
      </c>
      <c r="F12" s="36">
        <f>'Data '!H178</f>
        <v>2358.125</v>
      </c>
      <c r="G12" s="15">
        <f>'Data '!G188</f>
        <v>67.541666666666657</v>
      </c>
      <c r="H12" s="37">
        <f>'Data '!H188</f>
        <v>2363.958333333333</v>
      </c>
      <c r="I12" s="15">
        <f>'Data '!G198</f>
        <v>73.666666666666657</v>
      </c>
      <c r="J12" s="36">
        <f>'Data '!H198</f>
        <v>2578.3333333333335</v>
      </c>
      <c r="K12" s="15">
        <f>'Data '!G209</f>
        <v>85.666666666666657</v>
      </c>
      <c r="L12" s="36">
        <f>'Data '!H209</f>
        <v>2998.3333333333335</v>
      </c>
      <c r="N12" s="16">
        <f t="shared" si="2"/>
        <v>313.58333333333331</v>
      </c>
      <c r="O12" s="38">
        <f t="shared" si="1"/>
        <v>10975.416666666668</v>
      </c>
    </row>
    <row r="13" spans="2:15" ht="18" customHeight="1" x14ac:dyDescent="0.25">
      <c r="B13" s="13" t="s">
        <v>18</v>
      </c>
      <c r="C13" s="15">
        <f>'Data '!P168</f>
        <v>58.291666666666657</v>
      </c>
      <c r="D13" s="36">
        <f>'Data '!Q168</f>
        <v>2040.208333333333</v>
      </c>
      <c r="E13" s="15">
        <f>'Data '!P178</f>
        <v>73.041666666666657</v>
      </c>
      <c r="F13" s="36">
        <f>'Data '!Q178</f>
        <v>2556.458333333333</v>
      </c>
      <c r="G13" s="15">
        <f>'Data '!P188</f>
        <v>72.791666666666657</v>
      </c>
      <c r="H13" s="37">
        <f>'Data '!Q188</f>
        <v>2547.7083333333326</v>
      </c>
      <c r="I13" s="15">
        <f>'Data '!P198</f>
        <v>72.999999999999986</v>
      </c>
      <c r="J13" s="36">
        <f>'Data '!Q198</f>
        <v>2554.9999999999995</v>
      </c>
      <c r="K13" s="15">
        <f>'Data '!P209</f>
        <v>28.083333333333329</v>
      </c>
      <c r="L13" s="36">
        <f>'Data '!Q209</f>
        <v>982.91666666666652</v>
      </c>
      <c r="N13" s="16">
        <f t="shared" si="2"/>
        <v>305.20833333333331</v>
      </c>
      <c r="O13" s="38">
        <f t="shared" si="1"/>
        <v>10682.291666666664</v>
      </c>
    </row>
    <row r="14" spans="2:15" ht="18" customHeight="1" x14ac:dyDescent="0.25">
      <c r="B14" s="13" t="s">
        <v>19</v>
      </c>
      <c r="C14" s="15">
        <f>'Data '!G220</f>
        <v>38.666666666666664</v>
      </c>
      <c r="D14" s="36">
        <f>'Data '!H220</f>
        <v>1353.3333333333333</v>
      </c>
      <c r="E14" s="15">
        <f>'Data '!G230</f>
        <v>67.375</v>
      </c>
      <c r="F14" s="36">
        <f>'Data '!H230</f>
        <v>2358.125</v>
      </c>
      <c r="G14" s="15">
        <f>'Data '!G240</f>
        <v>67.541666666666657</v>
      </c>
      <c r="H14" s="37">
        <f>'Data '!H240</f>
        <v>2363.958333333333</v>
      </c>
      <c r="I14" s="15">
        <f>'Data '!G250</f>
        <v>73.666666666666657</v>
      </c>
      <c r="J14" s="36">
        <f>'Data '!H250</f>
        <v>2578.3333333333335</v>
      </c>
      <c r="K14" s="15">
        <f>'Data '!G260</f>
        <v>68.666666666666657</v>
      </c>
      <c r="L14" s="36">
        <f>'Data '!H260</f>
        <v>2403.3333333333335</v>
      </c>
      <c r="N14" s="16">
        <f t="shared" si="2"/>
        <v>315.91666666666663</v>
      </c>
      <c r="O14" s="38">
        <f t="shared" si="1"/>
        <v>11057.083333333334</v>
      </c>
    </row>
    <row r="15" spans="2:15" ht="18" customHeight="1" x14ac:dyDescent="0.25">
      <c r="B15" s="13" t="s">
        <v>22</v>
      </c>
      <c r="C15" s="15">
        <f>'Data '!P220</f>
        <v>77.625</v>
      </c>
      <c r="D15" s="36">
        <f>'Data '!Q220</f>
        <v>2716.875</v>
      </c>
      <c r="E15" s="15">
        <f>'Data '!P230</f>
        <v>73.041666666666657</v>
      </c>
      <c r="F15" s="36">
        <f>'Data '!Q230</f>
        <v>2556.458333333333</v>
      </c>
      <c r="G15" s="15">
        <f>'Data '!P240</f>
        <v>72.791666666666657</v>
      </c>
      <c r="H15" s="37">
        <f>'Data '!Q240</f>
        <v>2547.7083333333326</v>
      </c>
      <c r="I15" s="15">
        <f>'Data '!P250</f>
        <v>72.999999999999986</v>
      </c>
      <c r="J15" s="36">
        <f>'Data '!Q250</f>
        <v>2554.9999999999995</v>
      </c>
      <c r="K15" s="15">
        <f>'Data '!P260</f>
        <v>19.583333333333332</v>
      </c>
      <c r="L15" s="36">
        <f>'Data '!Q260</f>
        <v>685.41666666666663</v>
      </c>
      <c r="N15" s="16">
        <f t="shared" si="2"/>
        <v>316.04166666666663</v>
      </c>
      <c r="O15" s="38">
        <f t="shared" si="1"/>
        <v>11061.458333333332</v>
      </c>
    </row>
    <row r="16" spans="2:15" ht="9.6" customHeight="1" x14ac:dyDescent="0.25"/>
  </sheetData>
  <mergeCells count="8">
    <mergeCell ref="N4:O4"/>
    <mergeCell ref="B2:F2"/>
    <mergeCell ref="C4:D4"/>
    <mergeCell ref="E4:F4"/>
    <mergeCell ref="G4:H4"/>
    <mergeCell ref="K4:L4"/>
    <mergeCell ref="B4:B5"/>
    <mergeCell ref="I4:J4"/>
  </mergeCells>
  <phoneticPr fontId="12" type="noConversion"/>
  <pageMargins left="0.7" right="0.7" top="0.75" bottom="0.75" header="0.3" footer="0.3"/>
  <pageSetup scale="3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260"/>
  <sheetViews>
    <sheetView showGridLines="0" zoomScale="90" zoomScaleNormal="90" zoomScaleSheetLayoutView="100" workbookViewId="0">
      <pane ySplit="5" topLeftCell="A6" activePane="bottomLeft" state="frozen"/>
      <selection pane="bottomLeft" activeCell="V97" sqref="V97"/>
    </sheetView>
  </sheetViews>
  <sheetFormatPr defaultRowHeight="19.95" customHeight="1" x14ac:dyDescent="0.25"/>
  <cols>
    <col min="1" max="1" width="1.109375" style="7" customWidth="1"/>
    <col min="2" max="2" width="12.6640625" style="7" bestFit="1" customWidth="1"/>
    <col min="3" max="3" width="10.33203125" style="7" bestFit="1" customWidth="1"/>
    <col min="4" max="4" width="10.77734375" style="7" customWidth="1"/>
    <col min="5" max="5" width="10.88671875" style="7" bestFit="1" customWidth="1"/>
    <col min="6" max="6" width="9.6640625" style="7" bestFit="1" customWidth="1"/>
    <col min="7" max="7" width="11.88671875" style="7" bestFit="1" customWidth="1"/>
    <col min="8" max="8" width="14.5546875" style="10" bestFit="1" customWidth="1"/>
    <col min="9" max="9" width="34.44140625" style="7" customWidth="1"/>
    <col min="10" max="10" width="1.6640625" style="7" customWidth="1"/>
    <col min="11" max="11" width="12.33203125" style="7" customWidth="1"/>
    <col min="12" max="12" width="10.77734375" style="7" bestFit="1" customWidth="1"/>
    <col min="13" max="13" width="9.88671875" style="7" bestFit="1" customWidth="1"/>
    <col min="14" max="14" width="11.5546875" style="7" bestFit="1" customWidth="1"/>
    <col min="15" max="15" width="9.6640625" style="7" bestFit="1" customWidth="1"/>
    <col min="16" max="16" width="13.33203125" style="7" customWidth="1"/>
    <col min="17" max="17" width="16" style="7" customWidth="1"/>
    <col min="18" max="18" width="34.44140625" style="7" customWidth="1"/>
    <col min="19" max="19" width="1.109375" style="7" customWidth="1"/>
    <col min="20" max="16384" width="8.88671875" style="7"/>
  </cols>
  <sheetData>
    <row r="1" spans="2:18" ht="13.2" x14ac:dyDescent="0.25"/>
    <row r="2" spans="2:18" s="8" customFormat="1" ht="21" customHeight="1" x14ac:dyDescent="0.25">
      <c r="B2" s="11" t="s">
        <v>82</v>
      </c>
      <c r="C2" s="35"/>
      <c r="D2" s="35"/>
      <c r="E2" s="35"/>
      <c r="G2" s="11" t="s">
        <v>85</v>
      </c>
      <c r="H2" s="35"/>
      <c r="I2" s="35"/>
    </row>
    <row r="3" spans="2:18" s="8" customFormat="1" ht="21" customHeight="1" x14ac:dyDescent="0.25">
      <c r="B3" s="11" t="s">
        <v>83</v>
      </c>
      <c r="C3" s="35"/>
      <c r="D3" s="35"/>
      <c r="E3" s="35"/>
      <c r="G3" s="11" t="s">
        <v>86</v>
      </c>
      <c r="H3" s="35"/>
      <c r="I3" s="35"/>
    </row>
    <row r="4" spans="2:18" s="8" customFormat="1" ht="21" customHeight="1" x14ac:dyDescent="0.25">
      <c r="B4" s="11" t="s">
        <v>84</v>
      </c>
      <c r="C4" s="39">
        <v>35</v>
      </c>
      <c r="D4" s="39"/>
      <c r="E4" s="39"/>
      <c r="G4" s="11" t="s">
        <v>87</v>
      </c>
      <c r="H4" s="35"/>
      <c r="I4" s="35"/>
    </row>
    <row r="5" spans="2:18" s="8" customFormat="1" ht="21" customHeight="1" x14ac:dyDescent="0.25">
      <c r="B5" s="11" t="s">
        <v>0</v>
      </c>
      <c r="C5" s="35"/>
      <c r="D5" s="35"/>
      <c r="E5" s="35"/>
      <c r="G5" s="11" t="s">
        <v>1</v>
      </c>
      <c r="H5" s="35"/>
      <c r="I5" s="35"/>
    </row>
    <row r="6" spans="2:18" ht="13.2" x14ac:dyDescent="0.25"/>
    <row r="7" spans="2:18" ht="13.2" x14ac:dyDescent="0.25"/>
    <row r="8" spans="2:18" ht="25.05" customHeight="1" x14ac:dyDescent="0.25">
      <c r="B8" s="24" t="s">
        <v>88</v>
      </c>
      <c r="C8" s="26"/>
      <c r="D8" s="26"/>
      <c r="E8" s="26"/>
      <c r="F8" s="26"/>
      <c r="G8" s="25"/>
      <c r="H8" s="24" t="s">
        <v>27</v>
      </c>
      <c r="I8" s="25"/>
      <c r="K8" s="24" t="s">
        <v>88</v>
      </c>
      <c r="L8" s="26"/>
      <c r="M8" s="26"/>
      <c r="N8" s="26"/>
      <c r="O8" s="26"/>
      <c r="P8" s="25"/>
      <c r="Q8" s="24" t="s">
        <v>21</v>
      </c>
      <c r="R8" s="25"/>
    </row>
    <row r="9" spans="2:18" ht="25.05" customHeight="1" x14ac:dyDescent="0.25">
      <c r="B9" s="17" t="s">
        <v>89</v>
      </c>
      <c r="C9" s="17" t="s">
        <v>90</v>
      </c>
      <c r="D9" s="17" t="s">
        <v>2</v>
      </c>
      <c r="E9" s="18" t="s">
        <v>4</v>
      </c>
      <c r="F9" s="17" t="s">
        <v>3</v>
      </c>
      <c r="G9" s="17" t="s">
        <v>91</v>
      </c>
      <c r="H9" s="17" t="s">
        <v>92</v>
      </c>
      <c r="I9" s="17" t="s">
        <v>5</v>
      </c>
      <c r="K9" s="17" t="s">
        <v>89</v>
      </c>
      <c r="L9" s="17" t="s">
        <v>90</v>
      </c>
      <c r="M9" s="17" t="s">
        <v>2</v>
      </c>
      <c r="N9" s="18" t="s">
        <v>4</v>
      </c>
      <c r="O9" s="17" t="s">
        <v>3</v>
      </c>
      <c r="P9" s="17" t="s">
        <v>91</v>
      </c>
      <c r="Q9" s="17" t="s">
        <v>92</v>
      </c>
      <c r="R9" s="17" t="s">
        <v>5</v>
      </c>
    </row>
    <row r="10" spans="2:18" ht="19.95" customHeight="1" x14ac:dyDescent="0.25">
      <c r="B10" s="6">
        <v>44652</v>
      </c>
      <c r="C10" s="1" t="str">
        <f>TEXT(B10,"dddd")</f>
        <v>Friday</v>
      </c>
      <c r="D10" s="4">
        <v>0.25</v>
      </c>
      <c r="E10" s="9">
        <v>0.33333333333333331</v>
      </c>
      <c r="F10" s="4">
        <v>0.66666666666666663</v>
      </c>
      <c r="G10" s="9">
        <f t="shared" ref="G10" si="0">((F10-D10)*24)-E10</f>
        <v>9.6666666666666661</v>
      </c>
      <c r="H10" s="40">
        <f t="shared" ref="H10:H12" si="1">$C$4*G10</f>
        <v>338.33333333333331</v>
      </c>
      <c r="I10" s="6"/>
      <c r="K10" s="5">
        <v>44682</v>
      </c>
      <c r="L10" s="1" t="str">
        <f>TEXT(K10,"dddd")</f>
        <v>Sunday</v>
      </c>
      <c r="M10" s="2">
        <v>0.25</v>
      </c>
      <c r="N10" s="9">
        <v>0.29166666666666669</v>
      </c>
      <c r="O10" s="2">
        <v>0.66666666666666663</v>
      </c>
      <c r="P10" s="9">
        <f>((O10-M10)*24)-N10</f>
        <v>9.7083333333333339</v>
      </c>
      <c r="Q10" s="40">
        <f t="shared" ref="Q10:Q17" si="2">$C$4*P10</f>
        <v>339.79166666666669</v>
      </c>
      <c r="R10" s="5"/>
    </row>
    <row r="11" spans="2:18" ht="19.95" customHeight="1" x14ac:dyDescent="0.25">
      <c r="B11" s="6">
        <f>B10+1</f>
        <v>44653</v>
      </c>
      <c r="C11" s="1" t="str">
        <f>TEXT(B11,"dddd")</f>
        <v>Saturday</v>
      </c>
      <c r="D11" s="4">
        <v>0.25</v>
      </c>
      <c r="E11" s="9">
        <v>0.33333333333333331</v>
      </c>
      <c r="F11" s="4">
        <v>0.66666666666666663</v>
      </c>
      <c r="G11" s="9">
        <f t="shared" ref="G11" si="3">((F11-D11)*24)-E11</f>
        <v>9.6666666666666661</v>
      </c>
      <c r="H11" s="40">
        <f t="shared" si="1"/>
        <v>338.33333333333331</v>
      </c>
      <c r="I11" s="6"/>
      <c r="K11" s="6">
        <f t="shared" ref="K11:K17" si="4">K10+1</f>
        <v>44683</v>
      </c>
      <c r="L11" s="1" t="str">
        <f t="shared" ref="L11:L17" si="5">TEXT(K11,"dddd")</f>
        <v>Monday</v>
      </c>
      <c r="M11" s="4">
        <v>0.29166666666666669</v>
      </c>
      <c r="N11" s="9">
        <v>0.33333333333333331</v>
      </c>
      <c r="O11" s="4">
        <v>0.71875</v>
      </c>
      <c r="P11" s="9">
        <f>((O11-M11)*24)-N11</f>
        <v>9.9166666666666661</v>
      </c>
      <c r="Q11" s="40">
        <f t="shared" si="2"/>
        <v>347.08333333333331</v>
      </c>
      <c r="R11" s="6"/>
    </row>
    <row r="12" spans="2:18" ht="19.95" customHeight="1" x14ac:dyDescent="0.25">
      <c r="B12" s="6">
        <f>B11+1</f>
        <v>44654</v>
      </c>
      <c r="C12" s="1" t="str">
        <f>TEXT(B12,"dddd")</f>
        <v>Sunday</v>
      </c>
      <c r="D12" s="2">
        <v>0.25</v>
      </c>
      <c r="E12" s="9">
        <v>0.29166666666666669</v>
      </c>
      <c r="F12" s="2">
        <v>0.66666666666666663</v>
      </c>
      <c r="G12" s="9">
        <f>((F12-D12)*24)-E12</f>
        <v>9.7083333333333339</v>
      </c>
      <c r="H12" s="40">
        <f t="shared" si="1"/>
        <v>339.79166666666669</v>
      </c>
      <c r="I12" s="5"/>
      <c r="K12" s="6">
        <f t="shared" si="4"/>
        <v>44684</v>
      </c>
      <c r="L12" s="1" t="str">
        <f t="shared" si="5"/>
        <v>Tuesday</v>
      </c>
      <c r="M12" s="4">
        <v>0.25</v>
      </c>
      <c r="N12" s="9">
        <v>0.33333333333333331</v>
      </c>
      <c r="O12" s="4">
        <v>0.66666666666666663</v>
      </c>
      <c r="P12" s="9">
        <f t="shared" ref="P12:P17" si="6">((O12-M12)*24)-N12</f>
        <v>9.6666666666666661</v>
      </c>
      <c r="Q12" s="40">
        <f t="shared" si="2"/>
        <v>338.33333333333331</v>
      </c>
      <c r="R12" s="6"/>
    </row>
    <row r="13" spans="2:18" ht="19.95" customHeight="1" x14ac:dyDescent="0.25">
      <c r="B13" s="20"/>
      <c r="C13" s="20"/>
      <c r="D13" s="20"/>
      <c r="E13" s="20"/>
      <c r="F13" s="20"/>
      <c r="G13" s="20"/>
      <c r="H13" s="41"/>
      <c r="I13" s="20"/>
      <c r="K13" s="6">
        <f t="shared" si="4"/>
        <v>44685</v>
      </c>
      <c r="L13" s="1" t="str">
        <f t="shared" si="5"/>
        <v>Wednesday</v>
      </c>
      <c r="M13" s="4">
        <v>0.375</v>
      </c>
      <c r="N13" s="9">
        <v>0.33333333333333331</v>
      </c>
      <c r="O13" s="4">
        <v>0.74305555555555547</v>
      </c>
      <c r="P13" s="9">
        <f t="shared" si="6"/>
        <v>8.4999999999999982</v>
      </c>
      <c r="Q13" s="40">
        <f t="shared" si="2"/>
        <v>297.49999999999994</v>
      </c>
      <c r="R13" s="6"/>
    </row>
    <row r="14" spans="2:18" ht="19.95" customHeight="1" x14ac:dyDescent="0.25">
      <c r="B14" s="20"/>
      <c r="C14" s="20"/>
      <c r="D14" s="20"/>
      <c r="E14" s="20"/>
      <c r="F14" s="20"/>
      <c r="G14" s="20"/>
      <c r="H14" s="41"/>
      <c r="I14" s="20"/>
      <c r="K14" s="6">
        <f t="shared" si="4"/>
        <v>44686</v>
      </c>
      <c r="L14" s="1" t="str">
        <f t="shared" si="5"/>
        <v>Thursday</v>
      </c>
      <c r="M14" s="4">
        <v>0.41666666666666669</v>
      </c>
      <c r="N14" s="9">
        <v>0.45833333333333331</v>
      </c>
      <c r="O14" s="4">
        <v>0.66666666666666663</v>
      </c>
      <c r="P14" s="9">
        <f t="shared" si="6"/>
        <v>5.5416666666666652</v>
      </c>
      <c r="Q14" s="40">
        <f t="shared" si="2"/>
        <v>193.95833333333329</v>
      </c>
      <c r="R14" s="6"/>
    </row>
    <row r="15" spans="2:18" ht="19.95" customHeight="1" x14ac:dyDescent="0.25">
      <c r="B15" s="20"/>
      <c r="C15" s="20"/>
      <c r="D15" s="20"/>
      <c r="E15" s="20"/>
      <c r="F15" s="20"/>
      <c r="G15" s="20"/>
      <c r="H15" s="41"/>
      <c r="I15" s="20"/>
      <c r="K15" s="6">
        <f t="shared" si="4"/>
        <v>44687</v>
      </c>
      <c r="L15" s="1" t="str">
        <f t="shared" si="5"/>
        <v>Friday</v>
      </c>
      <c r="M15" s="4">
        <v>0.35416666666666669</v>
      </c>
      <c r="N15" s="9">
        <v>0.45833333333333331</v>
      </c>
      <c r="O15" s="4">
        <v>0.75</v>
      </c>
      <c r="P15" s="9">
        <f t="shared" si="6"/>
        <v>9.0416666666666661</v>
      </c>
      <c r="Q15" s="40">
        <f t="shared" si="2"/>
        <v>316.45833333333331</v>
      </c>
      <c r="R15" s="6"/>
    </row>
    <row r="16" spans="2:18" ht="19.95" customHeight="1" x14ac:dyDescent="0.25">
      <c r="B16" s="6"/>
      <c r="C16" s="21"/>
      <c r="D16" s="4"/>
      <c r="E16" s="3"/>
      <c r="F16" s="4"/>
      <c r="G16" s="3"/>
      <c r="H16" s="42"/>
      <c r="I16" s="6"/>
      <c r="K16" s="6">
        <f t="shared" si="4"/>
        <v>44688</v>
      </c>
      <c r="L16" s="1" t="str">
        <f t="shared" si="5"/>
        <v>Saturday</v>
      </c>
      <c r="M16" s="4">
        <v>0.27083333333333331</v>
      </c>
      <c r="N16" s="9">
        <v>0.33333333333333331</v>
      </c>
      <c r="O16" s="4">
        <v>0.91666666666666663</v>
      </c>
      <c r="P16" s="9">
        <f t="shared" si="6"/>
        <v>15.166666666666664</v>
      </c>
      <c r="Q16" s="40">
        <f t="shared" si="2"/>
        <v>530.83333333333326</v>
      </c>
      <c r="R16" s="6"/>
    </row>
    <row r="17" spans="2:18" ht="19.95" customHeight="1" x14ac:dyDescent="0.25">
      <c r="B17" s="6"/>
      <c r="C17" s="1"/>
      <c r="D17" s="4"/>
      <c r="E17" s="9"/>
      <c r="F17" s="4"/>
      <c r="G17" s="9"/>
      <c r="H17" s="40"/>
      <c r="I17" s="6"/>
      <c r="K17" s="6">
        <f t="shared" si="4"/>
        <v>44689</v>
      </c>
      <c r="L17" s="1" t="str">
        <f t="shared" si="5"/>
        <v>Sunday</v>
      </c>
      <c r="M17" s="4">
        <v>0.27083333333333331</v>
      </c>
      <c r="N17" s="9">
        <v>0.33333333333333331</v>
      </c>
      <c r="O17" s="4">
        <v>0.91666666666666663</v>
      </c>
      <c r="P17" s="9">
        <f t="shared" si="6"/>
        <v>15.166666666666664</v>
      </c>
      <c r="Q17" s="40">
        <f t="shared" si="2"/>
        <v>530.83333333333326</v>
      </c>
      <c r="R17" s="6"/>
    </row>
    <row r="18" spans="2:18" ht="19.95" customHeight="1" x14ac:dyDescent="0.25">
      <c r="B18" s="31" t="s">
        <v>7</v>
      </c>
      <c r="C18" s="32"/>
      <c r="D18" s="32"/>
      <c r="E18" s="32"/>
      <c r="F18" s="33"/>
      <c r="G18" s="19">
        <f>SUM(G10:G17)</f>
        <v>29.041666666666664</v>
      </c>
      <c r="H18" s="43">
        <f>SUM(H10:H17)</f>
        <v>1016.4583333333333</v>
      </c>
      <c r="I18" s="5"/>
      <c r="K18" s="27" t="s">
        <v>7</v>
      </c>
      <c r="L18" s="28"/>
      <c r="M18" s="28"/>
      <c r="N18" s="28"/>
      <c r="O18" s="29"/>
      <c r="P18" s="12">
        <f>SUM(P10:P17)</f>
        <v>82.708333333333314</v>
      </c>
      <c r="Q18" s="43">
        <f>SUM(Q10:Q17)</f>
        <v>2894.7916666666661</v>
      </c>
      <c r="R18" s="5"/>
    </row>
    <row r="19" spans="2:18" ht="25.05" customHeight="1" x14ac:dyDescent="0.25">
      <c r="B19" s="34" t="s">
        <v>93</v>
      </c>
      <c r="C19" s="34"/>
      <c r="D19" s="34"/>
      <c r="E19" s="34"/>
      <c r="F19" s="34"/>
      <c r="G19" s="34"/>
      <c r="H19" s="34" t="s">
        <v>23</v>
      </c>
      <c r="I19" s="34"/>
      <c r="K19" s="34" t="s">
        <v>93</v>
      </c>
      <c r="L19" s="34"/>
      <c r="M19" s="34"/>
      <c r="N19" s="34"/>
      <c r="O19" s="34"/>
      <c r="P19" s="34"/>
      <c r="Q19" s="24" t="s">
        <v>28</v>
      </c>
      <c r="R19" s="25"/>
    </row>
    <row r="20" spans="2:18" ht="25.05" customHeight="1" x14ac:dyDescent="0.25">
      <c r="B20" s="17" t="s">
        <v>89</v>
      </c>
      <c r="C20" s="17" t="s">
        <v>90</v>
      </c>
      <c r="D20" s="17" t="s">
        <v>2</v>
      </c>
      <c r="E20" s="18" t="s">
        <v>4</v>
      </c>
      <c r="F20" s="17" t="s">
        <v>3</v>
      </c>
      <c r="G20" s="17" t="s">
        <v>91</v>
      </c>
      <c r="H20" s="17" t="s">
        <v>92</v>
      </c>
      <c r="I20" s="17" t="s">
        <v>5</v>
      </c>
      <c r="K20" s="17" t="s">
        <v>89</v>
      </c>
      <c r="L20" s="17" t="s">
        <v>90</v>
      </c>
      <c r="M20" s="17" t="s">
        <v>2</v>
      </c>
      <c r="N20" s="18" t="s">
        <v>4</v>
      </c>
      <c r="O20" s="17" t="s">
        <v>3</v>
      </c>
      <c r="P20" s="17" t="s">
        <v>91</v>
      </c>
      <c r="Q20" s="17" t="s">
        <v>92</v>
      </c>
      <c r="R20" s="17" t="s">
        <v>5</v>
      </c>
    </row>
    <row r="21" spans="2:18" ht="25.05" customHeight="1" x14ac:dyDescent="0.25">
      <c r="B21" s="5">
        <f>B12+1</f>
        <v>44655</v>
      </c>
      <c r="C21" s="1" t="str">
        <f t="shared" ref="C21:C26" si="7">TEXT(B21,"dddd")</f>
        <v>Monday</v>
      </c>
      <c r="D21" s="2">
        <v>0.375</v>
      </c>
      <c r="E21" s="9">
        <v>0.33333333333333331</v>
      </c>
      <c r="F21" s="2">
        <v>0.74305555555555547</v>
      </c>
      <c r="G21" s="9">
        <f>((F21-D21)*24)-E21</f>
        <v>8.4999999999999982</v>
      </c>
      <c r="H21" s="40">
        <f>$C$4*G21</f>
        <v>297.49999999999994</v>
      </c>
      <c r="I21" s="5"/>
      <c r="K21" s="5">
        <f>K17+1</f>
        <v>44690</v>
      </c>
      <c r="L21" s="1" t="str">
        <f>TEXT(K21,"dddd")</f>
        <v>Monday</v>
      </c>
      <c r="M21" s="2">
        <v>0.25</v>
      </c>
      <c r="N21" s="9">
        <v>0.29166666666666669</v>
      </c>
      <c r="O21" s="2">
        <v>0.66666666666666663</v>
      </c>
      <c r="P21" s="9">
        <f t="shared" ref="P21:P27" si="8">((O21-M21)*24)-N21</f>
        <v>9.7083333333333339</v>
      </c>
      <c r="Q21" s="40">
        <f t="shared" ref="Q21:Q27" si="9">$C$4*P21</f>
        <v>339.79166666666669</v>
      </c>
      <c r="R21" s="5"/>
    </row>
    <row r="22" spans="2:18" ht="25.05" customHeight="1" x14ac:dyDescent="0.25">
      <c r="B22" s="6">
        <f>B21+1</f>
        <v>44656</v>
      </c>
      <c r="C22" s="1" t="str">
        <f t="shared" si="7"/>
        <v>Tuesday</v>
      </c>
      <c r="D22" s="4">
        <v>0.41666666666666669</v>
      </c>
      <c r="E22" s="9">
        <v>0.45833333333333331</v>
      </c>
      <c r="F22" s="4">
        <v>0.66666666666666663</v>
      </c>
      <c r="G22" s="9">
        <f>((F22-D22)*24)-E22</f>
        <v>5.5416666666666652</v>
      </c>
      <c r="H22" s="40">
        <f>$C$4*G22</f>
        <v>193.95833333333329</v>
      </c>
      <c r="I22" s="6"/>
      <c r="K22" s="6">
        <f t="shared" ref="K22:K27" si="10">K21+1</f>
        <v>44691</v>
      </c>
      <c r="L22" s="1" t="str">
        <f t="shared" ref="L22:L27" si="11">TEXT(K22,"dddd")</f>
        <v>Tuesday</v>
      </c>
      <c r="M22" s="4">
        <v>0.29166666666666669</v>
      </c>
      <c r="N22" s="9">
        <v>0.33333333333333331</v>
      </c>
      <c r="O22" s="4">
        <v>0.71875</v>
      </c>
      <c r="P22" s="9">
        <f t="shared" si="8"/>
        <v>9.9166666666666661</v>
      </c>
      <c r="Q22" s="40">
        <f t="shared" si="9"/>
        <v>347.08333333333331</v>
      </c>
      <c r="R22" s="6"/>
    </row>
    <row r="23" spans="2:18" ht="25.05" customHeight="1" x14ac:dyDescent="0.25">
      <c r="B23" s="6">
        <f>B22+1</f>
        <v>44657</v>
      </c>
      <c r="C23" s="1" t="str">
        <f t="shared" si="7"/>
        <v>Wednesday</v>
      </c>
      <c r="D23" s="4">
        <v>0.35416666666666669</v>
      </c>
      <c r="E23" s="9">
        <v>0.45833333333333331</v>
      </c>
      <c r="F23" s="4">
        <v>0.75</v>
      </c>
      <c r="G23" s="9">
        <f>((F23-D23)*24)-E23</f>
        <v>9.0416666666666661</v>
      </c>
      <c r="H23" s="40">
        <f>$C$4*G23</f>
        <v>316.45833333333331</v>
      </c>
      <c r="I23" s="6"/>
      <c r="K23" s="6">
        <f t="shared" si="10"/>
        <v>44692</v>
      </c>
      <c r="L23" s="1" t="str">
        <f t="shared" si="11"/>
        <v>Wednesday</v>
      </c>
      <c r="M23" s="4">
        <v>0.25</v>
      </c>
      <c r="N23" s="9">
        <v>0.33333333333333331</v>
      </c>
      <c r="O23" s="4">
        <v>0.66666666666666663</v>
      </c>
      <c r="P23" s="9">
        <f t="shared" si="8"/>
        <v>9.6666666666666661</v>
      </c>
      <c r="Q23" s="40">
        <f t="shared" si="9"/>
        <v>338.33333333333331</v>
      </c>
      <c r="R23" s="6"/>
    </row>
    <row r="24" spans="2:18" ht="25.05" customHeight="1" x14ac:dyDescent="0.25">
      <c r="B24" s="6">
        <f>B23+1</f>
        <v>44658</v>
      </c>
      <c r="C24" s="1" t="str">
        <f t="shared" si="7"/>
        <v>Thursday</v>
      </c>
      <c r="D24" s="4">
        <v>0.27083333333333331</v>
      </c>
      <c r="E24" s="9">
        <v>0.33333333333333331</v>
      </c>
      <c r="F24" s="4">
        <v>0.91666666666666663</v>
      </c>
      <c r="G24" s="9">
        <f>((F24-D24)*24)-E24</f>
        <v>15.166666666666664</v>
      </c>
      <c r="H24" s="40">
        <f>$C$4*G24</f>
        <v>530.83333333333326</v>
      </c>
      <c r="I24" s="6"/>
      <c r="K24" s="6">
        <f t="shared" si="10"/>
        <v>44693</v>
      </c>
      <c r="L24" s="1" t="str">
        <f t="shared" si="11"/>
        <v>Thursday</v>
      </c>
      <c r="M24" s="4">
        <v>0.375</v>
      </c>
      <c r="N24" s="9">
        <v>0.33333333333333331</v>
      </c>
      <c r="O24" s="4">
        <v>0.74305555555555547</v>
      </c>
      <c r="P24" s="9">
        <f t="shared" si="8"/>
        <v>8.4999999999999982</v>
      </c>
      <c r="Q24" s="40">
        <f t="shared" si="9"/>
        <v>297.49999999999994</v>
      </c>
      <c r="R24" s="6"/>
    </row>
    <row r="25" spans="2:18" ht="25.05" customHeight="1" x14ac:dyDescent="0.25">
      <c r="B25" s="6">
        <f>B24+1</f>
        <v>44659</v>
      </c>
      <c r="C25" s="1" t="str">
        <f t="shared" si="7"/>
        <v>Friday</v>
      </c>
      <c r="D25" s="4">
        <v>0.27083333333333331</v>
      </c>
      <c r="E25" s="9">
        <v>0.33333333333333331</v>
      </c>
      <c r="F25" s="4">
        <v>0.91666666666666663</v>
      </c>
      <c r="G25" s="9">
        <f>((F25-D25)*24)-E25</f>
        <v>15.166666666666664</v>
      </c>
      <c r="H25" s="40">
        <f>$C$4*G25</f>
        <v>530.83333333333326</v>
      </c>
      <c r="I25" s="6"/>
      <c r="K25" s="6">
        <f t="shared" si="10"/>
        <v>44694</v>
      </c>
      <c r="L25" s="1" t="str">
        <f t="shared" si="11"/>
        <v>Friday</v>
      </c>
      <c r="M25" s="4">
        <v>0.41666666666666669</v>
      </c>
      <c r="N25" s="9">
        <v>0.45833333333333331</v>
      </c>
      <c r="O25" s="4">
        <v>0.66666666666666663</v>
      </c>
      <c r="P25" s="9">
        <f t="shared" si="8"/>
        <v>5.5416666666666652</v>
      </c>
      <c r="Q25" s="40">
        <f t="shared" si="9"/>
        <v>193.95833333333329</v>
      </c>
      <c r="R25" s="6"/>
    </row>
    <row r="26" spans="2:18" ht="19.95" customHeight="1" x14ac:dyDescent="0.25">
      <c r="B26" s="5">
        <f>B25+1</f>
        <v>44660</v>
      </c>
      <c r="C26" s="1" t="str">
        <f t="shared" si="7"/>
        <v>Saturday</v>
      </c>
      <c r="D26" s="2">
        <v>0.25</v>
      </c>
      <c r="E26" s="9">
        <v>0.29166666666666669</v>
      </c>
      <c r="F26" s="2">
        <v>0.66666666666666663</v>
      </c>
      <c r="G26" s="9">
        <f t="shared" ref="G26:G27" si="12">((F26-D26)*24)-E26</f>
        <v>9.7083333333333339</v>
      </c>
      <c r="H26" s="40">
        <f t="shared" ref="H26:H27" si="13">$C$4*G26</f>
        <v>339.79166666666669</v>
      </c>
      <c r="I26" s="5"/>
      <c r="K26" s="6">
        <f t="shared" si="10"/>
        <v>44695</v>
      </c>
      <c r="L26" s="1" t="str">
        <f t="shared" si="11"/>
        <v>Saturday</v>
      </c>
      <c r="M26" s="4">
        <v>0.35416666666666669</v>
      </c>
      <c r="N26" s="9">
        <v>0.45833333333333331</v>
      </c>
      <c r="O26" s="4">
        <v>0.75</v>
      </c>
      <c r="P26" s="9">
        <f t="shared" si="8"/>
        <v>9.0416666666666661</v>
      </c>
      <c r="Q26" s="40">
        <f t="shared" si="9"/>
        <v>316.45833333333331</v>
      </c>
      <c r="R26" s="6"/>
    </row>
    <row r="27" spans="2:18" ht="19.95" customHeight="1" x14ac:dyDescent="0.25">
      <c r="B27" s="6">
        <f t="shared" ref="B27" si="14">B26+1</f>
        <v>44661</v>
      </c>
      <c r="C27" s="1" t="str">
        <f t="shared" ref="C27" si="15">TEXT(B27,"dddd")</f>
        <v>Sunday</v>
      </c>
      <c r="D27" s="4">
        <v>0.29166666666666669</v>
      </c>
      <c r="E27" s="9">
        <v>0.33333333333333331</v>
      </c>
      <c r="F27" s="4">
        <v>0.71875</v>
      </c>
      <c r="G27" s="9">
        <f t="shared" si="12"/>
        <v>9.9166666666666661</v>
      </c>
      <c r="H27" s="40">
        <f t="shared" si="13"/>
        <v>347.08333333333331</v>
      </c>
      <c r="I27" s="6"/>
      <c r="K27" s="6">
        <f t="shared" si="10"/>
        <v>44696</v>
      </c>
      <c r="L27" s="1" t="str">
        <f t="shared" si="11"/>
        <v>Sunday</v>
      </c>
      <c r="M27" s="4">
        <v>0.27083333333333331</v>
      </c>
      <c r="N27" s="9">
        <v>0.33333333333333331</v>
      </c>
      <c r="O27" s="4">
        <v>0.91666666666666663</v>
      </c>
      <c r="P27" s="9">
        <f t="shared" si="8"/>
        <v>15.166666666666664</v>
      </c>
      <c r="Q27" s="40">
        <f t="shared" si="9"/>
        <v>530.83333333333326</v>
      </c>
      <c r="R27" s="6"/>
    </row>
    <row r="28" spans="2:18" ht="19.95" customHeight="1" x14ac:dyDescent="0.25">
      <c r="B28" s="31" t="s">
        <v>7</v>
      </c>
      <c r="C28" s="32"/>
      <c r="D28" s="32"/>
      <c r="E28" s="32"/>
      <c r="F28" s="33"/>
      <c r="G28" s="12">
        <f>SUM(G21:G27)</f>
        <v>73.041666666666657</v>
      </c>
      <c r="H28" s="43">
        <f>SUM(H21:H27)</f>
        <v>2556.458333333333</v>
      </c>
      <c r="I28" s="5"/>
      <c r="K28" s="30" t="s">
        <v>7</v>
      </c>
      <c r="L28" s="30"/>
      <c r="M28" s="30"/>
      <c r="N28" s="30"/>
      <c r="O28" s="30"/>
      <c r="P28" s="12">
        <f>SUM(P21:P27)</f>
        <v>67.541666666666657</v>
      </c>
      <c r="Q28" s="43">
        <f>SUM(Q21:Q27)</f>
        <v>2363.958333333333</v>
      </c>
      <c r="R28" s="6"/>
    </row>
    <row r="29" spans="2:18" ht="25.05" customHeight="1" x14ac:dyDescent="0.25">
      <c r="B29" s="24" t="s">
        <v>94</v>
      </c>
      <c r="C29" s="26"/>
      <c r="D29" s="26"/>
      <c r="E29" s="26"/>
      <c r="F29" s="26"/>
      <c r="G29" s="25"/>
      <c r="H29" s="24" t="s">
        <v>24</v>
      </c>
      <c r="I29" s="25"/>
      <c r="K29" s="24" t="s">
        <v>94</v>
      </c>
      <c r="L29" s="26"/>
      <c r="M29" s="26"/>
      <c r="N29" s="26"/>
      <c r="O29" s="26"/>
      <c r="P29" s="25"/>
      <c r="Q29" s="24" t="s">
        <v>29</v>
      </c>
      <c r="R29" s="25"/>
    </row>
    <row r="30" spans="2:18" ht="25.05" customHeight="1" x14ac:dyDescent="0.25">
      <c r="B30" s="17" t="s">
        <v>89</v>
      </c>
      <c r="C30" s="17" t="s">
        <v>90</v>
      </c>
      <c r="D30" s="17" t="s">
        <v>2</v>
      </c>
      <c r="E30" s="18" t="s">
        <v>4</v>
      </c>
      <c r="F30" s="17" t="s">
        <v>3</v>
      </c>
      <c r="G30" s="17" t="s">
        <v>91</v>
      </c>
      <c r="H30" s="17" t="s">
        <v>92</v>
      </c>
      <c r="I30" s="17" t="s">
        <v>5</v>
      </c>
      <c r="K30" s="17" t="s">
        <v>89</v>
      </c>
      <c r="L30" s="17" t="s">
        <v>90</v>
      </c>
      <c r="M30" s="17" t="s">
        <v>2</v>
      </c>
      <c r="N30" s="18" t="s">
        <v>4</v>
      </c>
      <c r="O30" s="17" t="s">
        <v>3</v>
      </c>
      <c r="P30" s="17" t="s">
        <v>91</v>
      </c>
      <c r="Q30" s="17" t="s">
        <v>92</v>
      </c>
      <c r="R30" s="17" t="s">
        <v>5</v>
      </c>
    </row>
    <row r="31" spans="2:18" ht="25.05" customHeight="1" x14ac:dyDescent="0.25">
      <c r="B31" s="6">
        <f>B27+1</f>
        <v>44662</v>
      </c>
      <c r="C31" s="1" t="str">
        <f t="shared" ref="C31:C37" si="16">TEXT(B31,"dddd")</f>
        <v>Monday</v>
      </c>
      <c r="D31" s="4">
        <v>0.25</v>
      </c>
      <c r="E31" s="9">
        <v>0.33333333333333331</v>
      </c>
      <c r="F31" s="4">
        <v>0.66666666666666663</v>
      </c>
      <c r="G31" s="9">
        <f t="shared" ref="G31:G37" si="17">((F31-D31)*24)-E31</f>
        <v>9.6666666666666661</v>
      </c>
      <c r="H31" s="40">
        <f t="shared" ref="H31:H37" si="18">$C$4*G31</f>
        <v>338.33333333333331</v>
      </c>
      <c r="I31" s="42"/>
      <c r="K31" s="6">
        <f>K27+1</f>
        <v>44697</v>
      </c>
      <c r="L31" s="1" t="str">
        <f t="shared" ref="L31:L37" si="19">TEXT(K31,"dddd")</f>
        <v>Monday</v>
      </c>
      <c r="M31" s="4">
        <v>0.27083333333333331</v>
      </c>
      <c r="N31" s="9">
        <v>0.33333333333333331</v>
      </c>
      <c r="O31" s="4">
        <v>0.91666666666666663</v>
      </c>
      <c r="P31" s="9">
        <f t="shared" ref="P31:P37" si="20">((O31-M31)*24)-N31</f>
        <v>15.166666666666664</v>
      </c>
      <c r="Q31" s="40">
        <f t="shared" ref="Q31:Q37" si="21">$C$4*P31</f>
        <v>530.83333333333326</v>
      </c>
      <c r="R31" s="42"/>
    </row>
    <row r="32" spans="2:18" ht="25.05" customHeight="1" x14ac:dyDescent="0.25">
      <c r="B32" s="6">
        <f t="shared" ref="B32:B37" si="22">B31+1</f>
        <v>44663</v>
      </c>
      <c r="C32" s="1" t="str">
        <f t="shared" si="16"/>
        <v>Tuesday</v>
      </c>
      <c r="D32" s="4">
        <v>0.375</v>
      </c>
      <c r="E32" s="9">
        <v>0.33333333333333331</v>
      </c>
      <c r="F32" s="4">
        <v>0.74305555555555547</v>
      </c>
      <c r="G32" s="9">
        <f t="shared" si="17"/>
        <v>8.4999999999999982</v>
      </c>
      <c r="H32" s="40">
        <f t="shared" si="18"/>
        <v>297.49999999999994</v>
      </c>
      <c r="I32" s="42"/>
      <c r="K32" s="5">
        <f t="shared" ref="K32:K37" si="23">K31+1</f>
        <v>44698</v>
      </c>
      <c r="L32" s="1" t="str">
        <f t="shared" si="19"/>
        <v>Tuesday</v>
      </c>
      <c r="M32" s="2">
        <v>0.25</v>
      </c>
      <c r="N32" s="9">
        <v>0.29166666666666669</v>
      </c>
      <c r="O32" s="2">
        <v>0.66666666666666663</v>
      </c>
      <c r="P32" s="9">
        <f t="shared" si="20"/>
        <v>9.7083333333333339</v>
      </c>
      <c r="Q32" s="40">
        <f t="shared" si="21"/>
        <v>339.79166666666669</v>
      </c>
      <c r="R32" s="40"/>
    </row>
    <row r="33" spans="2:18" ht="25.05" customHeight="1" x14ac:dyDescent="0.25">
      <c r="B33" s="6">
        <f t="shared" si="22"/>
        <v>44664</v>
      </c>
      <c r="C33" s="1" t="str">
        <f t="shared" si="16"/>
        <v>Wednesday</v>
      </c>
      <c r="D33" s="4">
        <v>0.41666666666666669</v>
      </c>
      <c r="E33" s="9">
        <v>0.45833333333333331</v>
      </c>
      <c r="F33" s="4">
        <v>0.66666666666666663</v>
      </c>
      <c r="G33" s="9">
        <f t="shared" si="17"/>
        <v>5.5416666666666652</v>
      </c>
      <c r="H33" s="40">
        <f t="shared" si="18"/>
        <v>193.95833333333329</v>
      </c>
      <c r="I33" s="42"/>
      <c r="K33" s="6">
        <f t="shared" si="23"/>
        <v>44699</v>
      </c>
      <c r="L33" s="1" t="str">
        <f t="shared" si="19"/>
        <v>Wednesday</v>
      </c>
      <c r="M33" s="4">
        <v>0.29166666666666669</v>
      </c>
      <c r="N33" s="9">
        <v>0.33333333333333331</v>
      </c>
      <c r="O33" s="4">
        <v>0.71875</v>
      </c>
      <c r="P33" s="9">
        <f t="shared" si="20"/>
        <v>9.9166666666666661</v>
      </c>
      <c r="Q33" s="40">
        <f t="shared" si="21"/>
        <v>347.08333333333331</v>
      </c>
      <c r="R33" s="42"/>
    </row>
    <row r="34" spans="2:18" ht="25.05" customHeight="1" x14ac:dyDescent="0.25">
      <c r="B34" s="6">
        <f t="shared" si="22"/>
        <v>44665</v>
      </c>
      <c r="C34" s="1" t="str">
        <f t="shared" si="16"/>
        <v>Thursday</v>
      </c>
      <c r="D34" s="4">
        <v>0.35416666666666669</v>
      </c>
      <c r="E34" s="9">
        <v>0.45833333333333331</v>
      </c>
      <c r="F34" s="4">
        <v>0.75</v>
      </c>
      <c r="G34" s="9">
        <f t="shared" si="17"/>
        <v>9.0416666666666661</v>
      </c>
      <c r="H34" s="40">
        <f t="shared" si="18"/>
        <v>316.45833333333331</v>
      </c>
      <c r="I34" s="42"/>
      <c r="K34" s="6">
        <f t="shared" si="23"/>
        <v>44700</v>
      </c>
      <c r="L34" s="1" t="str">
        <f t="shared" si="19"/>
        <v>Thursday</v>
      </c>
      <c r="M34" s="4">
        <v>0.25</v>
      </c>
      <c r="N34" s="9">
        <v>0.33333333333333331</v>
      </c>
      <c r="O34" s="4">
        <v>0.66666666666666663</v>
      </c>
      <c r="P34" s="9">
        <f t="shared" si="20"/>
        <v>9.6666666666666661</v>
      </c>
      <c r="Q34" s="40">
        <f t="shared" si="21"/>
        <v>338.33333333333331</v>
      </c>
      <c r="R34" s="42"/>
    </row>
    <row r="35" spans="2:18" ht="25.05" customHeight="1" x14ac:dyDescent="0.25">
      <c r="B35" s="6">
        <f t="shared" si="22"/>
        <v>44666</v>
      </c>
      <c r="C35" s="1" t="str">
        <f t="shared" si="16"/>
        <v>Friday</v>
      </c>
      <c r="D35" s="4">
        <v>0.27083333333333331</v>
      </c>
      <c r="E35" s="9">
        <v>0.33333333333333331</v>
      </c>
      <c r="F35" s="4">
        <v>0.91666666666666663</v>
      </c>
      <c r="G35" s="9">
        <f t="shared" si="17"/>
        <v>15.166666666666664</v>
      </c>
      <c r="H35" s="40">
        <f t="shared" si="18"/>
        <v>530.83333333333326</v>
      </c>
      <c r="I35" s="42"/>
      <c r="K35" s="6">
        <f t="shared" si="23"/>
        <v>44701</v>
      </c>
      <c r="L35" s="1" t="str">
        <f t="shared" si="19"/>
        <v>Friday</v>
      </c>
      <c r="M35" s="4">
        <v>0.375</v>
      </c>
      <c r="N35" s="9">
        <v>0.33333333333333331</v>
      </c>
      <c r="O35" s="4">
        <v>0.74305555555555547</v>
      </c>
      <c r="P35" s="9">
        <f t="shared" si="20"/>
        <v>8.4999999999999982</v>
      </c>
      <c r="Q35" s="40">
        <f t="shared" si="21"/>
        <v>297.49999999999994</v>
      </c>
      <c r="R35" s="42"/>
    </row>
    <row r="36" spans="2:18" ht="25.05" customHeight="1" x14ac:dyDescent="0.25">
      <c r="B36" s="6">
        <f t="shared" si="22"/>
        <v>44667</v>
      </c>
      <c r="C36" s="1" t="str">
        <f t="shared" si="16"/>
        <v>Saturday</v>
      </c>
      <c r="D36" s="4">
        <v>0.27083333333333331</v>
      </c>
      <c r="E36" s="9">
        <v>0.33333333333333331</v>
      </c>
      <c r="F36" s="4">
        <v>0.91666666666666663</v>
      </c>
      <c r="G36" s="9">
        <f t="shared" si="17"/>
        <v>15.166666666666664</v>
      </c>
      <c r="H36" s="40">
        <f t="shared" si="18"/>
        <v>530.83333333333326</v>
      </c>
      <c r="I36" s="42"/>
      <c r="K36" s="6">
        <f t="shared" si="23"/>
        <v>44702</v>
      </c>
      <c r="L36" s="1" t="str">
        <f t="shared" si="19"/>
        <v>Saturday</v>
      </c>
      <c r="M36" s="4">
        <v>0.41666666666666669</v>
      </c>
      <c r="N36" s="9">
        <v>0.45833333333333331</v>
      </c>
      <c r="O36" s="4">
        <v>0.66666666666666663</v>
      </c>
      <c r="P36" s="9">
        <f t="shared" si="20"/>
        <v>5.5416666666666652</v>
      </c>
      <c r="Q36" s="40">
        <f t="shared" si="21"/>
        <v>193.95833333333329</v>
      </c>
      <c r="R36" s="42"/>
    </row>
    <row r="37" spans="2:18" ht="19.95" customHeight="1" x14ac:dyDescent="0.25">
      <c r="B37" s="5">
        <f t="shared" si="22"/>
        <v>44668</v>
      </c>
      <c r="C37" s="1" t="str">
        <f t="shared" si="16"/>
        <v>Sunday</v>
      </c>
      <c r="D37" s="2">
        <v>0.25</v>
      </c>
      <c r="E37" s="9">
        <v>0.29166666666666669</v>
      </c>
      <c r="F37" s="2">
        <v>0.66666666666666663</v>
      </c>
      <c r="G37" s="9">
        <f t="shared" si="17"/>
        <v>9.7083333333333339</v>
      </c>
      <c r="H37" s="40">
        <f t="shared" si="18"/>
        <v>339.79166666666669</v>
      </c>
      <c r="I37" s="40"/>
      <c r="K37" s="6">
        <f t="shared" si="23"/>
        <v>44703</v>
      </c>
      <c r="L37" s="1" t="str">
        <f t="shared" si="19"/>
        <v>Sunday</v>
      </c>
      <c r="M37" s="4">
        <v>0.35416666666666669</v>
      </c>
      <c r="N37" s="9">
        <v>0.45833333333333331</v>
      </c>
      <c r="O37" s="4">
        <v>0.75</v>
      </c>
      <c r="P37" s="9">
        <f t="shared" si="20"/>
        <v>9.0416666666666661</v>
      </c>
      <c r="Q37" s="40">
        <f t="shared" si="21"/>
        <v>316.45833333333331</v>
      </c>
      <c r="R37" s="42"/>
    </row>
    <row r="38" spans="2:18" ht="19.95" customHeight="1" x14ac:dyDescent="0.25">
      <c r="B38" s="27" t="s">
        <v>7</v>
      </c>
      <c r="C38" s="28"/>
      <c r="D38" s="28"/>
      <c r="E38" s="28"/>
      <c r="F38" s="29"/>
      <c r="G38" s="12">
        <f>SUM(G31:G37)</f>
        <v>72.791666666666657</v>
      </c>
      <c r="H38" s="43">
        <f>SUM(H31:H37)</f>
        <v>2547.7083333333326</v>
      </c>
      <c r="I38" s="40"/>
      <c r="K38" s="27" t="s">
        <v>7</v>
      </c>
      <c r="L38" s="28"/>
      <c r="M38" s="28"/>
      <c r="N38" s="28"/>
      <c r="O38" s="29"/>
      <c r="P38" s="12">
        <f>SUM(P31:P37)</f>
        <v>67.541666666666657</v>
      </c>
      <c r="Q38" s="43">
        <f>SUM(Q31:Q37)</f>
        <v>2363.958333333333</v>
      </c>
      <c r="R38" s="40"/>
    </row>
    <row r="39" spans="2:18" ht="25.05" customHeight="1" x14ac:dyDescent="0.25">
      <c r="B39" s="24" t="s">
        <v>10</v>
      </c>
      <c r="C39" s="26"/>
      <c r="D39" s="26"/>
      <c r="E39" s="26"/>
      <c r="F39" s="26"/>
      <c r="G39" s="25"/>
      <c r="H39" s="44" t="s">
        <v>25</v>
      </c>
      <c r="I39" s="45"/>
      <c r="K39" s="24" t="s">
        <v>10</v>
      </c>
      <c r="L39" s="26"/>
      <c r="M39" s="26"/>
      <c r="N39" s="26"/>
      <c r="O39" s="26"/>
      <c r="P39" s="25"/>
      <c r="Q39" s="44" t="s">
        <v>30</v>
      </c>
      <c r="R39" s="45"/>
    </row>
    <row r="40" spans="2:18" ht="25.05" customHeight="1" x14ac:dyDescent="0.25">
      <c r="B40" s="17" t="s">
        <v>89</v>
      </c>
      <c r="C40" s="17" t="s">
        <v>90</v>
      </c>
      <c r="D40" s="17" t="s">
        <v>2</v>
      </c>
      <c r="E40" s="18" t="s">
        <v>4</v>
      </c>
      <c r="F40" s="17" t="s">
        <v>3</v>
      </c>
      <c r="G40" s="17" t="s">
        <v>91</v>
      </c>
      <c r="H40" s="46" t="s">
        <v>92</v>
      </c>
      <c r="I40" s="46" t="s">
        <v>5</v>
      </c>
      <c r="K40" s="17" t="s">
        <v>89</v>
      </c>
      <c r="L40" s="17" t="s">
        <v>90</v>
      </c>
      <c r="M40" s="17" t="s">
        <v>2</v>
      </c>
      <c r="N40" s="18" t="s">
        <v>4</v>
      </c>
      <c r="O40" s="17" t="s">
        <v>3</v>
      </c>
      <c r="P40" s="17" t="s">
        <v>91</v>
      </c>
      <c r="Q40" s="46" t="s">
        <v>92</v>
      </c>
      <c r="R40" s="46" t="s">
        <v>5</v>
      </c>
    </row>
    <row r="41" spans="2:18" ht="25.05" customHeight="1" x14ac:dyDescent="0.25">
      <c r="B41" s="6">
        <f>B37+1</f>
        <v>44669</v>
      </c>
      <c r="C41" s="1" t="str">
        <f t="shared" ref="C41:C47" si="24">TEXT(B41,"dddd")</f>
        <v>Monday</v>
      </c>
      <c r="D41" s="4">
        <v>0.29166666666666669</v>
      </c>
      <c r="E41" s="9">
        <v>0.33333333333333331</v>
      </c>
      <c r="F41" s="4">
        <v>0.71875</v>
      </c>
      <c r="G41" s="9">
        <f t="shared" ref="G41:G47" si="25">((F41-D41)*24)-E41</f>
        <v>9.9166666666666661</v>
      </c>
      <c r="H41" s="40">
        <f t="shared" ref="H41:H47" si="26">$C$4*G41</f>
        <v>347.08333333333331</v>
      </c>
      <c r="I41" s="42"/>
      <c r="K41" s="6">
        <f>K37+1</f>
        <v>44704</v>
      </c>
      <c r="L41" s="1" t="str">
        <f>TEXT(K41,"dddd")</f>
        <v>Monday</v>
      </c>
      <c r="M41" s="4">
        <v>0.27083333333333331</v>
      </c>
      <c r="N41" s="9">
        <v>0.33333333333333331</v>
      </c>
      <c r="O41" s="4">
        <v>0.91666666666666663</v>
      </c>
      <c r="P41" s="9">
        <f>((O41-M41)*24)-N41</f>
        <v>15.166666666666664</v>
      </c>
      <c r="Q41" s="40">
        <f>$C$4*P41</f>
        <v>530.83333333333326</v>
      </c>
      <c r="R41" s="42"/>
    </row>
    <row r="42" spans="2:18" ht="25.05" customHeight="1" x14ac:dyDescent="0.25">
      <c r="B42" s="6">
        <f t="shared" ref="B42:B47" si="27">B41+1</f>
        <v>44670</v>
      </c>
      <c r="C42" s="1" t="str">
        <f t="shared" si="24"/>
        <v>Tuesday</v>
      </c>
      <c r="D42" s="4">
        <v>0.25</v>
      </c>
      <c r="E42" s="9">
        <v>0.33333333333333331</v>
      </c>
      <c r="F42" s="4">
        <v>0.66666666666666663</v>
      </c>
      <c r="G42" s="9">
        <f t="shared" si="25"/>
        <v>9.6666666666666661</v>
      </c>
      <c r="H42" s="40">
        <f t="shared" si="26"/>
        <v>338.33333333333331</v>
      </c>
      <c r="I42" s="42"/>
      <c r="K42" s="6">
        <f t="shared" ref="K42:K47" si="28">K41+1</f>
        <v>44705</v>
      </c>
      <c r="L42" s="1" t="str">
        <f>TEXT(K42,"dddd")</f>
        <v>Tuesday</v>
      </c>
      <c r="M42" s="4">
        <v>0.27083333333333331</v>
      </c>
      <c r="N42" s="9">
        <v>0.33333333333333331</v>
      </c>
      <c r="O42" s="4">
        <v>0.91666666666666663</v>
      </c>
      <c r="P42" s="9">
        <f>((O42-M42)*24)-N42</f>
        <v>15.166666666666664</v>
      </c>
      <c r="Q42" s="40">
        <f>$C$4*P42</f>
        <v>530.83333333333326</v>
      </c>
      <c r="R42" s="42"/>
    </row>
    <row r="43" spans="2:18" ht="25.05" customHeight="1" x14ac:dyDescent="0.25">
      <c r="B43" s="6">
        <f t="shared" si="27"/>
        <v>44671</v>
      </c>
      <c r="C43" s="1" t="str">
        <f t="shared" si="24"/>
        <v>Wednesday</v>
      </c>
      <c r="D43" s="4">
        <v>0.375</v>
      </c>
      <c r="E43" s="9">
        <v>0.33333333333333331</v>
      </c>
      <c r="F43" s="4">
        <v>0.74305555555555547</v>
      </c>
      <c r="G43" s="9">
        <f t="shared" si="25"/>
        <v>8.4999999999999982</v>
      </c>
      <c r="H43" s="40">
        <f t="shared" si="26"/>
        <v>297.49999999999994</v>
      </c>
      <c r="I43" s="42"/>
      <c r="K43" s="6">
        <f t="shared" si="28"/>
        <v>44706</v>
      </c>
      <c r="L43" s="1" t="str">
        <f t="shared" ref="L43:L47" si="29">TEXT(K43,"dddd")</f>
        <v>Wednesday</v>
      </c>
      <c r="M43" s="4">
        <v>0.29166666666666669</v>
      </c>
      <c r="N43" s="9">
        <v>0.33333333333333331</v>
      </c>
      <c r="O43" s="4">
        <v>0.71875</v>
      </c>
      <c r="P43" s="9">
        <f t="shared" ref="P43:P47" si="30">((O43-M43)*24)-N43</f>
        <v>9.9166666666666661</v>
      </c>
      <c r="Q43" s="40">
        <f t="shared" ref="Q43:Q47" si="31">$C$4*P43</f>
        <v>347.08333333333331</v>
      </c>
      <c r="R43" s="42"/>
    </row>
    <row r="44" spans="2:18" ht="25.05" customHeight="1" x14ac:dyDescent="0.25">
      <c r="B44" s="6">
        <f t="shared" si="27"/>
        <v>44672</v>
      </c>
      <c r="C44" s="1" t="str">
        <f t="shared" si="24"/>
        <v>Thursday</v>
      </c>
      <c r="D44" s="4">
        <v>0.41666666666666669</v>
      </c>
      <c r="E44" s="9">
        <v>0.45833333333333331</v>
      </c>
      <c r="F44" s="4">
        <v>0.66666666666666663</v>
      </c>
      <c r="G44" s="9">
        <f t="shared" si="25"/>
        <v>5.5416666666666652</v>
      </c>
      <c r="H44" s="40">
        <f t="shared" si="26"/>
        <v>193.95833333333329</v>
      </c>
      <c r="I44" s="42"/>
      <c r="K44" s="6">
        <f t="shared" si="28"/>
        <v>44707</v>
      </c>
      <c r="L44" s="1" t="str">
        <f t="shared" si="29"/>
        <v>Thursday</v>
      </c>
      <c r="M44" s="4">
        <v>0.25</v>
      </c>
      <c r="N44" s="9">
        <v>0.33333333333333331</v>
      </c>
      <c r="O44" s="4">
        <v>0.66666666666666663</v>
      </c>
      <c r="P44" s="9">
        <f t="shared" si="30"/>
        <v>9.6666666666666661</v>
      </c>
      <c r="Q44" s="40">
        <f t="shared" si="31"/>
        <v>338.33333333333331</v>
      </c>
      <c r="R44" s="42"/>
    </row>
    <row r="45" spans="2:18" ht="25.05" customHeight="1" x14ac:dyDescent="0.25">
      <c r="B45" s="6">
        <f t="shared" si="27"/>
        <v>44673</v>
      </c>
      <c r="C45" s="1" t="str">
        <f t="shared" si="24"/>
        <v>Friday</v>
      </c>
      <c r="D45" s="4">
        <v>0.35416666666666669</v>
      </c>
      <c r="E45" s="9">
        <v>0.45833333333333331</v>
      </c>
      <c r="F45" s="4">
        <v>0.75</v>
      </c>
      <c r="G45" s="9">
        <f t="shared" si="25"/>
        <v>9.0416666666666661</v>
      </c>
      <c r="H45" s="40">
        <f t="shared" si="26"/>
        <v>316.45833333333331</v>
      </c>
      <c r="I45" s="42"/>
      <c r="K45" s="6">
        <f t="shared" si="28"/>
        <v>44708</v>
      </c>
      <c r="L45" s="1" t="str">
        <f t="shared" si="29"/>
        <v>Friday</v>
      </c>
      <c r="M45" s="4">
        <v>0.375</v>
      </c>
      <c r="N45" s="9">
        <v>0.33333333333333331</v>
      </c>
      <c r="O45" s="4">
        <v>0.74305555555555547</v>
      </c>
      <c r="P45" s="9">
        <f t="shared" si="30"/>
        <v>8.4999999999999982</v>
      </c>
      <c r="Q45" s="40">
        <f t="shared" si="31"/>
        <v>297.49999999999994</v>
      </c>
      <c r="R45" s="42"/>
    </row>
    <row r="46" spans="2:18" ht="25.05" customHeight="1" x14ac:dyDescent="0.25">
      <c r="B46" s="6">
        <f t="shared" si="27"/>
        <v>44674</v>
      </c>
      <c r="C46" s="1" t="str">
        <f t="shared" si="24"/>
        <v>Saturday</v>
      </c>
      <c r="D46" s="4">
        <v>0.27083333333333331</v>
      </c>
      <c r="E46" s="9">
        <v>0.33333333333333331</v>
      </c>
      <c r="F46" s="4">
        <v>0.91666666666666663</v>
      </c>
      <c r="G46" s="9">
        <f t="shared" si="25"/>
        <v>15.166666666666664</v>
      </c>
      <c r="H46" s="40">
        <f t="shared" si="26"/>
        <v>530.83333333333326</v>
      </c>
      <c r="I46" s="42"/>
      <c r="K46" s="6">
        <f t="shared" si="28"/>
        <v>44709</v>
      </c>
      <c r="L46" s="1" t="str">
        <f t="shared" si="29"/>
        <v>Saturday</v>
      </c>
      <c r="M46" s="4">
        <v>0.41666666666666669</v>
      </c>
      <c r="N46" s="9">
        <v>0.45833333333333331</v>
      </c>
      <c r="O46" s="4">
        <v>0.66666666666666663</v>
      </c>
      <c r="P46" s="9">
        <f t="shared" si="30"/>
        <v>5.5416666666666652</v>
      </c>
      <c r="Q46" s="40">
        <f t="shared" si="31"/>
        <v>193.95833333333329</v>
      </c>
      <c r="R46" s="42"/>
    </row>
    <row r="47" spans="2:18" ht="25.05" customHeight="1" x14ac:dyDescent="0.25">
      <c r="B47" s="6">
        <f t="shared" si="27"/>
        <v>44675</v>
      </c>
      <c r="C47" s="1" t="str">
        <f t="shared" si="24"/>
        <v>Sunday</v>
      </c>
      <c r="D47" s="4">
        <v>0.27083333333333331</v>
      </c>
      <c r="E47" s="9">
        <v>0.33333333333333331</v>
      </c>
      <c r="F47" s="4">
        <v>0.91666666666666663</v>
      </c>
      <c r="G47" s="9">
        <f t="shared" si="25"/>
        <v>15.166666666666664</v>
      </c>
      <c r="H47" s="40">
        <f t="shared" si="26"/>
        <v>530.83333333333326</v>
      </c>
      <c r="I47" s="42"/>
      <c r="K47" s="6">
        <f t="shared" si="28"/>
        <v>44710</v>
      </c>
      <c r="L47" s="1" t="str">
        <f t="shared" si="29"/>
        <v>Sunday</v>
      </c>
      <c r="M47" s="4">
        <v>0.35416666666666669</v>
      </c>
      <c r="N47" s="9">
        <v>0.45833333333333331</v>
      </c>
      <c r="O47" s="4">
        <v>0.75</v>
      </c>
      <c r="P47" s="9">
        <f t="shared" si="30"/>
        <v>9.0416666666666661</v>
      </c>
      <c r="Q47" s="40">
        <f t="shared" si="31"/>
        <v>316.45833333333331</v>
      </c>
      <c r="R47" s="42"/>
    </row>
    <row r="48" spans="2:18" ht="25.05" customHeight="1" x14ac:dyDescent="0.25">
      <c r="B48" s="27" t="s">
        <v>7</v>
      </c>
      <c r="C48" s="28"/>
      <c r="D48" s="28"/>
      <c r="E48" s="28"/>
      <c r="F48" s="29"/>
      <c r="G48" s="12">
        <f>SUM(G41:G47)</f>
        <v>72.999999999999986</v>
      </c>
      <c r="H48" s="43">
        <f>SUM(H41:H47)</f>
        <v>2554.9999999999995</v>
      </c>
      <c r="I48" s="40"/>
      <c r="K48" s="27" t="s">
        <v>7</v>
      </c>
      <c r="L48" s="28"/>
      <c r="M48" s="28"/>
      <c r="N48" s="28"/>
      <c r="O48" s="29"/>
      <c r="P48" s="12">
        <f>SUM(P41:P47)</f>
        <v>72.999999999999986</v>
      </c>
      <c r="Q48" s="43">
        <f>SUM(Q41:Q47)</f>
        <v>2555</v>
      </c>
      <c r="R48" s="40"/>
    </row>
    <row r="49" spans="2:18" ht="25.05" customHeight="1" x14ac:dyDescent="0.25">
      <c r="B49" s="24" t="s">
        <v>26</v>
      </c>
      <c r="C49" s="26"/>
      <c r="D49" s="26"/>
      <c r="E49" s="26"/>
      <c r="F49" s="26"/>
      <c r="G49" s="25"/>
      <c r="H49" s="44" t="s">
        <v>20</v>
      </c>
      <c r="I49" s="45"/>
      <c r="K49" s="24" t="s">
        <v>26</v>
      </c>
      <c r="L49" s="26"/>
      <c r="M49" s="26"/>
      <c r="N49" s="26"/>
      <c r="O49" s="26"/>
      <c r="P49" s="25"/>
      <c r="Q49" s="44" t="s">
        <v>31</v>
      </c>
      <c r="R49" s="45"/>
    </row>
    <row r="50" spans="2:18" ht="25.05" customHeight="1" x14ac:dyDescent="0.25">
      <c r="B50" s="17" t="s">
        <v>89</v>
      </c>
      <c r="C50" s="17" t="s">
        <v>90</v>
      </c>
      <c r="D50" s="17" t="s">
        <v>2</v>
      </c>
      <c r="E50" s="18" t="s">
        <v>4</v>
      </c>
      <c r="F50" s="17" t="s">
        <v>3</v>
      </c>
      <c r="G50" s="17" t="s">
        <v>91</v>
      </c>
      <c r="H50" s="46" t="s">
        <v>92</v>
      </c>
      <c r="I50" s="46" t="s">
        <v>5</v>
      </c>
      <c r="K50" s="17" t="s">
        <v>89</v>
      </c>
      <c r="L50" s="17" t="s">
        <v>90</v>
      </c>
      <c r="M50" s="17" t="s">
        <v>2</v>
      </c>
      <c r="N50" s="18" t="s">
        <v>4</v>
      </c>
      <c r="O50" s="17" t="s">
        <v>3</v>
      </c>
      <c r="P50" s="17" t="s">
        <v>91</v>
      </c>
      <c r="Q50" s="46" t="s">
        <v>92</v>
      </c>
      <c r="R50" s="46" t="s">
        <v>5</v>
      </c>
    </row>
    <row r="51" spans="2:18" ht="19.95" customHeight="1" x14ac:dyDescent="0.25">
      <c r="B51" s="5">
        <f>B47+1</f>
        <v>44676</v>
      </c>
      <c r="C51" s="1" t="str">
        <f>TEXT(B51,"dddd")</f>
        <v>Monday</v>
      </c>
      <c r="D51" s="2">
        <v>0.25</v>
      </c>
      <c r="E51" s="9">
        <v>0.29166666666666669</v>
      </c>
      <c r="F51" s="2">
        <v>0.66666666666666663</v>
      </c>
      <c r="G51" s="9">
        <f t="shared" ref="G51:G56" si="32">((F51-D51)*24)-E51</f>
        <v>9.7083333333333339</v>
      </c>
      <c r="H51" s="40">
        <f t="shared" ref="H51:H56" si="33">$C$4*G51</f>
        <v>339.79166666666669</v>
      </c>
      <c r="I51" s="40"/>
      <c r="K51" s="6">
        <f>K47+1</f>
        <v>44711</v>
      </c>
      <c r="L51" s="1" t="str">
        <f t="shared" ref="L51" si="34">TEXT(K51,"dddd")</f>
        <v>Monday</v>
      </c>
      <c r="M51" s="4">
        <v>0.35416666666666669</v>
      </c>
      <c r="N51" s="9">
        <v>0.45833333333333331</v>
      </c>
      <c r="O51" s="4">
        <v>0.75</v>
      </c>
      <c r="P51" s="9">
        <f t="shared" ref="P51" si="35">((O51-M51)*24)-N51</f>
        <v>9.0416666666666661</v>
      </c>
      <c r="Q51" s="40">
        <f t="shared" ref="Q51" si="36">$C$4*P51</f>
        <v>316.45833333333331</v>
      </c>
      <c r="R51" s="42"/>
    </row>
    <row r="52" spans="2:18" ht="19.95" customHeight="1" x14ac:dyDescent="0.25">
      <c r="B52" s="6">
        <f>B51+1</f>
        <v>44677</v>
      </c>
      <c r="C52" s="1" t="str">
        <f t="shared" ref="C52:C56" si="37">TEXT(B52,"dddd")</f>
        <v>Tuesday</v>
      </c>
      <c r="D52" s="4">
        <v>0.29166666666666669</v>
      </c>
      <c r="E52" s="9">
        <v>0.33333333333333331</v>
      </c>
      <c r="F52" s="4">
        <v>0.71875</v>
      </c>
      <c r="G52" s="9">
        <f t="shared" si="32"/>
        <v>9.9166666666666661</v>
      </c>
      <c r="H52" s="40">
        <f t="shared" si="33"/>
        <v>347.08333333333331</v>
      </c>
      <c r="I52" s="42"/>
      <c r="K52" s="6">
        <f>K51+1</f>
        <v>44712</v>
      </c>
      <c r="L52" s="1" t="str">
        <f t="shared" ref="L52" si="38">TEXT(K52,"dddd")</f>
        <v>Tuesday</v>
      </c>
      <c r="M52" s="4">
        <v>0.35416666666666669</v>
      </c>
      <c r="N52" s="9">
        <v>0.45833333333333331</v>
      </c>
      <c r="O52" s="4">
        <v>0.75</v>
      </c>
      <c r="P52" s="9">
        <f t="shared" ref="P52" si="39">((O52-M52)*24)-N52</f>
        <v>9.0416666666666661</v>
      </c>
      <c r="Q52" s="40">
        <f t="shared" ref="Q52" si="40">$C$4*P52</f>
        <v>316.45833333333331</v>
      </c>
      <c r="R52" s="42"/>
    </row>
    <row r="53" spans="2:18" ht="19.95" customHeight="1" x14ac:dyDescent="0.25">
      <c r="B53" s="6">
        <f>B52+1</f>
        <v>44678</v>
      </c>
      <c r="C53" s="1" t="str">
        <f t="shared" si="37"/>
        <v>Wednesday</v>
      </c>
      <c r="D53" s="4">
        <v>0.25</v>
      </c>
      <c r="E53" s="9">
        <v>0.33333333333333331</v>
      </c>
      <c r="F53" s="4">
        <v>0.66666666666666663</v>
      </c>
      <c r="G53" s="9">
        <f t="shared" si="32"/>
        <v>9.6666666666666661</v>
      </c>
      <c r="H53" s="40">
        <f t="shared" si="33"/>
        <v>338.33333333333331</v>
      </c>
      <c r="I53" s="42"/>
      <c r="K53" s="6"/>
      <c r="L53" s="1"/>
      <c r="M53" s="4"/>
      <c r="N53" s="9"/>
      <c r="O53" s="4"/>
      <c r="P53" s="9"/>
      <c r="Q53" s="40"/>
      <c r="R53" s="42"/>
    </row>
    <row r="54" spans="2:18" ht="19.95" customHeight="1" x14ac:dyDescent="0.25">
      <c r="B54" s="6">
        <f>B53+1</f>
        <v>44679</v>
      </c>
      <c r="C54" s="1" t="str">
        <f t="shared" si="37"/>
        <v>Thursday</v>
      </c>
      <c r="D54" s="4">
        <v>0.375</v>
      </c>
      <c r="E54" s="9">
        <v>0.33333333333333331</v>
      </c>
      <c r="F54" s="4">
        <v>0.74305555555555547</v>
      </c>
      <c r="G54" s="9">
        <f t="shared" si="32"/>
        <v>8.4999999999999982</v>
      </c>
      <c r="H54" s="40">
        <f t="shared" si="33"/>
        <v>297.49999999999994</v>
      </c>
      <c r="I54" s="42"/>
      <c r="K54" s="6"/>
      <c r="L54" s="1"/>
      <c r="M54" s="4"/>
      <c r="N54" s="9"/>
      <c r="O54" s="4"/>
      <c r="P54" s="9"/>
      <c r="Q54" s="40"/>
      <c r="R54" s="42"/>
    </row>
    <row r="55" spans="2:18" ht="19.95" customHeight="1" x14ac:dyDescent="0.25">
      <c r="B55" s="6">
        <f>B54+1</f>
        <v>44680</v>
      </c>
      <c r="C55" s="1" t="str">
        <f t="shared" si="37"/>
        <v>Friday</v>
      </c>
      <c r="D55" s="4">
        <v>0.41666666666666669</v>
      </c>
      <c r="E55" s="9">
        <v>0.45833333333333331</v>
      </c>
      <c r="F55" s="4">
        <v>0.66666666666666663</v>
      </c>
      <c r="G55" s="9">
        <f t="shared" si="32"/>
        <v>5.5416666666666652</v>
      </c>
      <c r="H55" s="40">
        <f t="shared" si="33"/>
        <v>193.95833333333329</v>
      </c>
      <c r="I55" s="42"/>
      <c r="K55" s="6"/>
      <c r="L55" s="1"/>
      <c r="M55" s="4"/>
      <c r="N55" s="9"/>
      <c r="O55" s="4"/>
      <c r="P55" s="9"/>
      <c r="Q55" s="40"/>
      <c r="R55" s="42"/>
    </row>
    <row r="56" spans="2:18" ht="19.95" customHeight="1" x14ac:dyDescent="0.25">
      <c r="B56" s="6">
        <f>B55+1</f>
        <v>44681</v>
      </c>
      <c r="C56" s="1" t="str">
        <f t="shared" si="37"/>
        <v>Saturday</v>
      </c>
      <c r="D56" s="4">
        <v>0.35416666666666669</v>
      </c>
      <c r="E56" s="9">
        <v>0.45833333333333331</v>
      </c>
      <c r="F56" s="4">
        <v>0.75</v>
      </c>
      <c r="G56" s="9">
        <f t="shared" si="32"/>
        <v>9.0416666666666661</v>
      </c>
      <c r="H56" s="40">
        <f t="shared" si="33"/>
        <v>316.45833333333331</v>
      </c>
      <c r="I56" s="42"/>
      <c r="K56" s="6"/>
      <c r="L56" s="1"/>
      <c r="M56" s="4"/>
      <c r="N56" s="9"/>
      <c r="O56" s="4"/>
      <c r="P56" s="6"/>
      <c r="Q56" s="40"/>
      <c r="R56" s="42"/>
    </row>
    <row r="57" spans="2:18" ht="19.95" customHeight="1" x14ac:dyDescent="0.25">
      <c r="B57" s="6"/>
      <c r="C57" s="1"/>
      <c r="D57" s="4"/>
      <c r="E57" s="9"/>
      <c r="F57" s="4"/>
      <c r="G57" s="3"/>
      <c r="H57" s="40"/>
      <c r="I57" s="42"/>
      <c r="K57" s="6"/>
      <c r="L57" s="1"/>
      <c r="M57" s="4"/>
      <c r="N57" s="9"/>
      <c r="O57" s="4"/>
      <c r="P57" s="6"/>
      <c r="Q57" s="40"/>
      <c r="R57" s="42"/>
    </row>
    <row r="58" spans="2:18" ht="19.95" customHeight="1" x14ac:dyDescent="0.25">
      <c r="B58" s="27" t="s">
        <v>7</v>
      </c>
      <c r="C58" s="28"/>
      <c r="D58" s="28"/>
      <c r="E58" s="28"/>
      <c r="F58" s="29"/>
      <c r="G58" s="12">
        <f>SUM(G51:G57)</f>
        <v>52.374999999999993</v>
      </c>
      <c r="H58" s="43">
        <f>SUM(H51:H57)</f>
        <v>1833.1249999999998</v>
      </c>
      <c r="I58" s="40"/>
      <c r="K58" s="27" t="s">
        <v>7</v>
      </c>
      <c r="L58" s="28"/>
      <c r="M58" s="28"/>
      <c r="N58" s="28"/>
      <c r="O58" s="29"/>
      <c r="P58" s="12">
        <f>SUM(P51:P57)</f>
        <v>18.083333333333332</v>
      </c>
      <c r="Q58" s="43">
        <f>SUM(Q51:Q57)</f>
        <v>632.91666666666663</v>
      </c>
      <c r="R58" s="42"/>
    </row>
    <row r="59" spans="2:18" ht="19.95" customHeight="1" x14ac:dyDescent="0.25">
      <c r="B59" s="24" t="s">
        <v>6</v>
      </c>
      <c r="C59" s="26"/>
      <c r="D59" s="26"/>
      <c r="E59" s="26"/>
      <c r="F59" s="26"/>
      <c r="G59" s="25"/>
      <c r="H59" s="44" t="s">
        <v>32</v>
      </c>
      <c r="I59" s="45"/>
      <c r="K59" s="24" t="s">
        <v>6</v>
      </c>
      <c r="L59" s="26"/>
      <c r="M59" s="26"/>
      <c r="N59" s="26"/>
      <c r="O59" s="26"/>
      <c r="P59" s="25"/>
      <c r="Q59" s="44" t="s">
        <v>37</v>
      </c>
      <c r="R59" s="45"/>
    </row>
    <row r="60" spans="2:18" ht="19.95" customHeight="1" x14ac:dyDescent="0.25">
      <c r="B60" s="17" t="s">
        <v>89</v>
      </c>
      <c r="C60" s="17" t="s">
        <v>90</v>
      </c>
      <c r="D60" s="17" t="s">
        <v>2</v>
      </c>
      <c r="E60" s="18" t="s">
        <v>4</v>
      </c>
      <c r="F60" s="17" t="s">
        <v>3</v>
      </c>
      <c r="G60" s="17" t="s">
        <v>91</v>
      </c>
      <c r="H60" s="46" t="s">
        <v>92</v>
      </c>
      <c r="I60" s="46" t="s">
        <v>5</v>
      </c>
      <c r="K60" s="17" t="s">
        <v>89</v>
      </c>
      <c r="L60" s="17" t="s">
        <v>90</v>
      </c>
      <c r="M60" s="17" t="s">
        <v>2</v>
      </c>
      <c r="N60" s="18" t="s">
        <v>4</v>
      </c>
      <c r="O60" s="17" t="s">
        <v>3</v>
      </c>
      <c r="P60" s="17" t="s">
        <v>91</v>
      </c>
      <c r="Q60" s="46" t="s">
        <v>92</v>
      </c>
      <c r="R60" s="46" t="s">
        <v>5</v>
      </c>
    </row>
    <row r="61" spans="2:18" ht="19.95" customHeight="1" x14ac:dyDescent="0.25">
      <c r="B61" s="6">
        <v>44713</v>
      </c>
      <c r="C61" s="1" t="str">
        <f>TEXT(B61,"dddd")</f>
        <v>Wednesday</v>
      </c>
      <c r="D61" s="4">
        <v>0.25</v>
      </c>
      <c r="E61" s="9">
        <v>0.33333333333333331</v>
      </c>
      <c r="F61" s="4">
        <v>0.66666666666666663</v>
      </c>
      <c r="G61" s="9">
        <f t="shared" ref="G61:G62" si="41">((F61-D61)*24)-E61</f>
        <v>9.6666666666666661</v>
      </c>
      <c r="H61" s="40">
        <f t="shared" ref="H61:H63" si="42">$C$4*G61</f>
        <v>338.33333333333331</v>
      </c>
      <c r="I61" s="42"/>
      <c r="K61" s="5">
        <v>44743</v>
      </c>
      <c r="L61" s="1" t="str">
        <f>TEXT(K61,"dddd")</f>
        <v>Friday</v>
      </c>
      <c r="M61" s="2">
        <v>0.25</v>
      </c>
      <c r="N61" s="9">
        <v>0.29166666666666669</v>
      </c>
      <c r="O61" s="2">
        <v>0.66666666666666663</v>
      </c>
      <c r="P61" s="9">
        <f>((O61-M61)*24)-N61</f>
        <v>9.7083333333333339</v>
      </c>
      <c r="Q61" s="40">
        <f t="shared" ref="Q61:Q63" si="43">$C$4*P61</f>
        <v>339.79166666666669</v>
      </c>
      <c r="R61" s="40"/>
    </row>
    <row r="62" spans="2:18" ht="19.95" customHeight="1" x14ac:dyDescent="0.25">
      <c r="B62" s="6">
        <f>B61+1</f>
        <v>44714</v>
      </c>
      <c r="C62" s="1" t="str">
        <f>TEXT(B62,"dddd")</f>
        <v>Thursday</v>
      </c>
      <c r="D62" s="4">
        <v>0.25</v>
      </c>
      <c r="E62" s="9">
        <v>0.33333333333333331</v>
      </c>
      <c r="F62" s="4">
        <v>0.66666666666666663</v>
      </c>
      <c r="G62" s="9">
        <f t="shared" si="41"/>
        <v>9.6666666666666661</v>
      </c>
      <c r="H62" s="40">
        <f t="shared" si="42"/>
        <v>338.33333333333331</v>
      </c>
      <c r="I62" s="42"/>
      <c r="K62" s="6">
        <f t="shared" ref="K62:K63" si="44">K61+1</f>
        <v>44744</v>
      </c>
      <c r="L62" s="1" t="str">
        <f t="shared" ref="L62:L63" si="45">TEXT(K62,"dddd")</f>
        <v>Saturday</v>
      </c>
      <c r="M62" s="4">
        <v>0.29166666666666669</v>
      </c>
      <c r="N62" s="9">
        <v>0.33333333333333331</v>
      </c>
      <c r="O62" s="4">
        <v>0.71875</v>
      </c>
      <c r="P62" s="9">
        <f>((O62-M62)*24)-N62</f>
        <v>9.9166666666666661</v>
      </c>
      <c r="Q62" s="40">
        <f t="shared" si="43"/>
        <v>347.08333333333331</v>
      </c>
      <c r="R62" s="42"/>
    </row>
    <row r="63" spans="2:18" ht="19.95" customHeight="1" x14ac:dyDescent="0.25">
      <c r="B63" s="6">
        <f>B62+1</f>
        <v>44715</v>
      </c>
      <c r="C63" s="1" t="str">
        <f>TEXT(B63,"dddd")</f>
        <v>Friday</v>
      </c>
      <c r="D63" s="2">
        <v>0.25</v>
      </c>
      <c r="E63" s="9">
        <v>0.29166666666666669</v>
      </c>
      <c r="F63" s="2">
        <v>0.66666666666666663</v>
      </c>
      <c r="G63" s="9">
        <f>((F63-D63)*24)-E63</f>
        <v>9.7083333333333339</v>
      </c>
      <c r="H63" s="40">
        <f t="shared" si="42"/>
        <v>339.79166666666669</v>
      </c>
      <c r="I63" s="40"/>
      <c r="K63" s="6">
        <f t="shared" si="44"/>
        <v>44745</v>
      </c>
      <c r="L63" s="1" t="str">
        <f t="shared" si="45"/>
        <v>Sunday</v>
      </c>
      <c r="M63" s="4">
        <v>0.25</v>
      </c>
      <c r="N63" s="9">
        <v>0.33333333333333331</v>
      </c>
      <c r="O63" s="4">
        <v>0.66666666666666663</v>
      </c>
      <c r="P63" s="9">
        <f t="shared" ref="P63" si="46">((O63-M63)*24)-N63</f>
        <v>9.6666666666666661</v>
      </c>
      <c r="Q63" s="40">
        <f t="shared" si="43"/>
        <v>338.33333333333331</v>
      </c>
      <c r="R63" s="42"/>
    </row>
    <row r="64" spans="2:18" ht="19.95" customHeight="1" x14ac:dyDescent="0.25">
      <c r="B64" s="6">
        <f>B63+1</f>
        <v>44716</v>
      </c>
      <c r="C64" s="1" t="str">
        <f>TEXT(B64,"dddd")</f>
        <v>Saturday</v>
      </c>
      <c r="D64" s="2">
        <v>0.25</v>
      </c>
      <c r="E64" s="9">
        <v>0.29166666666666669</v>
      </c>
      <c r="F64" s="2">
        <v>0.66666666666666663</v>
      </c>
      <c r="G64" s="9">
        <f>((F64-D64)*24)-E64</f>
        <v>9.7083333333333339</v>
      </c>
      <c r="H64" s="40">
        <f t="shared" ref="H64" si="47">$C$4*G64</f>
        <v>339.79166666666669</v>
      </c>
      <c r="I64" s="40"/>
      <c r="K64" s="20"/>
      <c r="L64" s="20"/>
      <c r="M64" s="20"/>
      <c r="N64" s="20"/>
      <c r="O64" s="20"/>
      <c r="P64" s="20"/>
      <c r="Q64" s="47"/>
      <c r="R64" s="47"/>
    </row>
    <row r="65" spans="2:18" ht="19.95" customHeight="1" x14ac:dyDescent="0.25">
      <c r="B65" s="6">
        <f>B64+1</f>
        <v>44717</v>
      </c>
      <c r="C65" s="1" t="str">
        <f>TEXT(B65,"dddd")</f>
        <v>Sunday</v>
      </c>
      <c r="D65" s="2">
        <v>0.25</v>
      </c>
      <c r="E65" s="9">
        <v>0.29166666666666669</v>
      </c>
      <c r="F65" s="2">
        <v>0.66666666666666663</v>
      </c>
      <c r="G65" s="9">
        <f>((F65-D65)*24)-E65</f>
        <v>9.7083333333333339</v>
      </c>
      <c r="H65" s="40">
        <f t="shared" ref="H65" si="48">$C$4*G65</f>
        <v>339.79166666666669</v>
      </c>
      <c r="I65" s="40"/>
      <c r="K65" s="20"/>
      <c r="L65" s="20"/>
      <c r="M65" s="20"/>
      <c r="N65" s="20"/>
      <c r="O65" s="20"/>
      <c r="P65" s="20"/>
      <c r="Q65" s="47"/>
      <c r="R65" s="47"/>
    </row>
    <row r="66" spans="2:18" ht="19.95" customHeight="1" x14ac:dyDescent="0.25">
      <c r="B66" s="20"/>
      <c r="C66" s="20"/>
      <c r="D66" s="20"/>
      <c r="E66" s="20"/>
      <c r="F66" s="20"/>
      <c r="G66" s="20"/>
      <c r="H66" s="41"/>
      <c r="I66" s="47"/>
      <c r="K66" s="20"/>
      <c r="L66" s="20"/>
      <c r="M66" s="20"/>
      <c r="N66" s="20"/>
      <c r="O66" s="20"/>
      <c r="P66" s="20"/>
      <c r="Q66" s="47"/>
      <c r="R66" s="47"/>
    </row>
    <row r="67" spans="2:18" ht="19.95" customHeight="1" x14ac:dyDescent="0.25">
      <c r="B67" s="6"/>
      <c r="C67" s="21"/>
      <c r="D67" s="4"/>
      <c r="E67" s="3"/>
      <c r="F67" s="4"/>
      <c r="G67" s="3"/>
      <c r="H67" s="42"/>
      <c r="I67" s="42"/>
      <c r="K67" s="20"/>
      <c r="L67" s="20"/>
      <c r="M67" s="20"/>
      <c r="N67" s="20"/>
      <c r="O67" s="20"/>
      <c r="P67" s="20"/>
      <c r="Q67" s="47"/>
      <c r="R67" s="47"/>
    </row>
    <row r="68" spans="2:18" ht="19.95" customHeight="1" x14ac:dyDescent="0.25">
      <c r="B68" s="31" t="s">
        <v>7</v>
      </c>
      <c r="C68" s="32"/>
      <c r="D68" s="32"/>
      <c r="E68" s="32"/>
      <c r="F68" s="33"/>
      <c r="G68" s="19">
        <f>SUM(G61:G67)</f>
        <v>48.458333333333336</v>
      </c>
      <c r="H68" s="43">
        <f>SUM(H61:H67)</f>
        <v>1696.0416666666667</v>
      </c>
      <c r="I68" s="40"/>
      <c r="K68" s="30" t="s">
        <v>7</v>
      </c>
      <c r="L68" s="30"/>
      <c r="M68" s="30"/>
      <c r="N68" s="30"/>
      <c r="O68" s="30"/>
      <c r="P68" s="19">
        <f>SUM(P61:P67)</f>
        <v>29.291666666666664</v>
      </c>
      <c r="Q68" s="43">
        <f>SUM(Q61:Q67)</f>
        <v>1025.2083333333333</v>
      </c>
      <c r="R68" s="42"/>
    </row>
    <row r="69" spans="2:18" ht="19.95" customHeight="1" x14ac:dyDescent="0.25">
      <c r="B69" s="34" t="s">
        <v>8</v>
      </c>
      <c r="C69" s="34"/>
      <c r="D69" s="34"/>
      <c r="E69" s="34"/>
      <c r="F69" s="34"/>
      <c r="G69" s="34"/>
      <c r="H69" s="44" t="s">
        <v>36</v>
      </c>
      <c r="I69" s="45"/>
      <c r="K69" s="24" t="s">
        <v>8</v>
      </c>
      <c r="L69" s="26"/>
      <c r="M69" s="26"/>
      <c r="N69" s="26"/>
      <c r="O69" s="26"/>
      <c r="P69" s="25"/>
      <c r="Q69" s="44" t="s">
        <v>38</v>
      </c>
      <c r="R69" s="45"/>
    </row>
    <row r="70" spans="2:18" ht="19.95" customHeight="1" x14ac:dyDescent="0.25">
      <c r="B70" s="17" t="s">
        <v>89</v>
      </c>
      <c r="C70" s="17" t="s">
        <v>90</v>
      </c>
      <c r="D70" s="17" t="s">
        <v>2</v>
      </c>
      <c r="E70" s="18" t="s">
        <v>4</v>
      </c>
      <c r="F70" s="17" t="s">
        <v>3</v>
      </c>
      <c r="G70" s="17" t="s">
        <v>91</v>
      </c>
      <c r="H70" s="46" t="s">
        <v>92</v>
      </c>
      <c r="I70" s="46" t="s">
        <v>5</v>
      </c>
      <c r="K70" s="17" t="s">
        <v>89</v>
      </c>
      <c r="L70" s="17" t="s">
        <v>90</v>
      </c>
      <c r="M70" s="17" t="s">
        <v>2</v>
      </c>
      <c r="N70" s="18" t="s">
        <v>4</v>
      </c>
      <c r="O70" s="17" t="s">
        <v>3</v>
      </c>
      <c r="P70" s="17" t="s">
        <v>91</v>
      </c>
      <c r="Q70" s="46" t="s">
        <v>92</v>
      </c>
      <c r="R70" s="46" t="s">
        <v>5</v>
      </c>
    </row>
    <row r="71" spans="2:18" ht="19.95" customHeight="1" x14ac:dyDescent="0.25">
      <c r="B71" s="5">
        <f>B65+1</f>
        <v>44718</v>
      </c>
      <c r="C71" s="1" t="str">
        <f t="shared" ref="C71:C77" si="49">TEXT(B71,"dddd")</f>
        <v>Monday</v>
      </c>
      <c r="D71" s="2">
        <v>0.375</v>
      </c>
      <c r="E71" s="9">
        <v>0.33333333333333331</v>
      </c>
      <c r="F71" s="2">
        <v>0.74305555555555547</v>
      </c>
      <c r="G71" s="9">
        <f>((F71-D71)*24)-E71</f>
        <v>8.4999999999999982</v>
      </c>
      <c r="H71" s="40">
        <f>$C$4*G71</f>
        <v>297.49999999999994</v>
      </c>
      <c r="I71" s="40"/>
      <c r="K71" s="6">
        <f>K63+1</f>
        <v>44746</v>
      </c>
      <c r="L71" s="1" t="str">
        <f t="shared" ref="L71:L77" si="50">TEXT(K71,"dddd")</f>
        <v>Monday</v>
      </c>
      <c r="M71" s="4">
        <v>0.375</v>
      </c>
      <c r="N71" s="9">
        <v>0.33333333333333331</v>
      </c>
      <c r="O71" s="4">
        <v>0.74305555555555547</v>
      </c>
      <c r="P71" s="9">
        <f t="shared" ref="P71:P77" si="51">((O71-M71)*24)-N71</f>
        <v>8.4999999999999982</v>
      </c>
      <c r="Q71" s="40">
        <f t="shared" ref="Q71:Q77" si="52">$C$4*P71</f>
        <v>297.49999999999994</v>
      </c>
      <c r="R71" s="42"/>
    </row>
    <row r="72" spans="2:18" ht="19.95" customHeight="1" x14ac:dyDescent="0.25">
      <c r="B72" s="6">
        <f>B71+1</f>
        <v>44719</v>
      </c>
      <c r="C72" s="1" t="str">
        <f t="shared" si="49"/>
        <v>Tuesday</v>
      </c>
      <c r="D72" s="4">
        <v>0.41666666666666669</v>
      </c>
      <c r="E72" s="9">
        <v>0.45833333333333331</v>
      </c>
      <c r="F72" s="4">
        <v>0.66666666666666663</v>
      </c>
      <c r="G72" s="9">
        <f>((F72-D72)*24)-E72</f>
        <v>5.5416666666666652</v>
      </c>
      <c r="H72" s="40">
        <f>$C$4*G72</f>
        <v>193.95833333333329</v>
      </c>
      <c r="I72" s="42"/>
      <c r="K72" s="6">
        <f t="shared" ref="K72:K77" si="53">K71+1</f>
        <v>44747</v>
      </c>
      <c r="L72" s="1" t="str">
        <f t="shared" si="50"/>
        <v>Tuesday</v>
      </c>
      <c r="M72" s="4">
        <v>0.41666666666666669</v>
      </c>
      <c r="N72" s="9">
        <v>0.45833333333333331</v>
      </c>
      <c r="O72" s="4">
        <v>0.66666666666666663</v>
      </c>
      <c r="P72" s="9">
        <f t="shared" si="51"/>
        <v>5.5416666666666652</v>
      </c>
      <c r="Q72" s="40">
        <f t="shared" si="52"/>
        <v>193.95833333333329</v>
      </c>
      <c r="R72" s="42"/>
    </row>
    <row r="73" spans="2:18" ht="19.95" customHeight="1" x14ac:dyDescent="0.25">
      <c r="B73" s="6">
        <f>B72+1</f>
        <v>44720</v>
      </c>
      <c r="C73" s="1" t="str">
        <f t="shared" si="49"/>
        <v>Wednesday</v>
      </c>
      <c r="D73" s="4">
        <v>0.35416666666666669</v>
      </c>
      <c r="E73" s="9">
        <v>0.45833333333333331</v>
      </c>
      <c r="F73" s="4">
        <v>0.75</v>
      </c>
      <c r="G73" s="9">
        <f>((F73-D73)*24)-E73</f>
        <v>9.0416666666666661</v>
      </c>
      <c r="H73" s="40">
        <f>$C$4*G73</f>
        <v>316.45833333333331</v>
      </c>
      <c r="I73" s="42"/>
      <c r="K73" s="6">
        <f t="shared" si="53"/>
        <v>44748</v>
      </c>
      <c r="L73" s="1" t="str">
        <f t="shared" si="50"/>
        <v>Wednesday</v>
      </c>
      <c r="M73" s="4">
        <v>0.35416666666666669</v>
      </c>
      <c r="N73" s="9">
        <v>0.45833333333333331</v>
      </c>
      <c r="O73" s="4">
        <v>0.75</v>
      </c>
      <c r="P73" s="9">
        <f t="shared" si="51"/>
        <v>9.0416666666666661</v>
      </c>
      <c r="Q73" s="40">
        <f t="shared" si="52"/>
        <v>316.45833333333331</v>
      </c>
      <c r="R73" s="42"/>
    </row>
    <row r="74" spans="2:18" ht="19.95" customHeight="1" x14ac:dyDescent="0.25">
      <c r="B74" s="6">
        <f>B73+1</f>
        <v>44721</v>
      </c>
      <c r="C74" s="1" t="str">
        <f t="shared" si="49"/>
        <v>Thursday</v>
      </c>
      <c r="D74" s="4">
        <v>0.27083333333333331</v>
      </c>
      <c r="E74" s="9">
        <v>0.33333333333333331</v>
      </c>
      <c r="F74" s="4">
        <v>0.91666666666666663</v>
      </c>
      <c r="G74" s="9">
        <f>((F74-D74)*24)-E74</f>
        <v>15.166666666666664</v>
      </c>
      <c r="H74" s="40">
        <f>$C$4*G74</f>
        <v>530.83333333333326</v>
      </c>
      <c r="I74" s="42"/>
      <c r="K74" s="6">
        <f t="shared" si="53"/>
        <v>44749</v>
      </c>
      <c r="L74" s="1" t="str">
        <f t="shared" si="50"/>
        <v>Thursday</v>
      </c>
      <c r="M74" s="4">
        <v>0.27083333333333331</v>
      </c>
      <c r="N74" s="9">
        <v>0.33333333333333331</v>
      </c>
      <c r="O74" s="4">
        <v>0.91666666666666663</v>
      </c>
      <c r="P74" s="9">
        <f t="shared" si="51"/>
        <v>15.166666666666664</v>
      </c>
      <c r="Q74" s="40">
        <f t="shared" si="52"/>
        <v>530.83333333333326</v>
      </c>
      <c r="R74" s="42"/>
    </row>
    <row r="75" spans="2:18" ht="19.95" customHeight="1" x14ac:dyDescent="0.25">
      <c r="B75" s="6">
        <f>B74+1</f>
        <v>44722</v>
      </c>
      <c r="C75" s="1" t="str">
        <f t="shared" si="49"/>
        <v>Friday</v>
      </c>
      <c r="D75" s="4">
        <v>0.27083333333333331</v>
      </c>
      <c r="E75" s="9">
        <v>0.33333333333333331</v>
      </c>
      <c r="F75" s="4">
        <v>0.91666666666666663</v>
      </c>
      <c r="G75" s="9">
        <f>((F75-D75)*24)-E75</f>
        <v>15.166666666666664</v>
      </c>
      <c r="H75" s="40">
        <f>$C$4*G75</f>
        <v>530.83333333333326</v>
      </c>
      <c r="I75" s="42"/>
      <c r="K75" s="6">
        <f t="shared" si="53"/>
        <v>44750</v>
      </c>
      <c r="L75" s="1" t="str">
        <f t="shared" si="50"/>
        <v>Friday</v>
      </c>
      <c r="M75" s="4">
        <v>0.27083333333333331</v>
      </c>
      <c r="N75" s="9">
        <v>0.33333333333333331</v>
      </c>
      <c r="O75" s="4">
        <v>0.91666666666666663</v>
      </c>
      <c r="P75" s="9">
        <f t="shared" si="51"/>
        <v>15.166666666666664</v>
      </c>
      <c r="Q75" s="40">
        <f t="shared" si="52"/>
        <v>530.83333333333326</v>
      </c>
      <c r="R75" s="42"/>
    </row>
    <row r="76" spans="2:18" ht="19.95" customHeight="1" x14ac:dyDescent="0.25">
      <c r="B76" s="5">
        <f>B75+1</f>
        <v>44723</v>
      </c>
      <c r="C76" s="1" t="str">
        <f t="shared" si="49"/>
        <v>Saturday</v>
      </c>
      <c r="D76" s="2">
        <v>0.25</v>
      </c>
      <c r="E76" s="9">
        <v>0.29166666666666669</v>
      </c>
      <c r="F76" s="2">
        <v>0.66666666666666663</v>
      </c>
      <c r="G76" s="9">
        <f t="shared" ref="G76:G77" si="54">((F76-D76)*24)-E76</f>
        <v>9.7083333333333339</v>
      </c>
      <c r="H76" s="40">
        <f t="shared" ref="H76:H77" si="55">$C$4*G76</f>
        <v>339.79166666666669</v>
      </c>
      <c r="I76" s="40"/>
      <c r="K76" s="5">
        <f t="shared" si="53"/>
        <v>44751</v>
      </c>
      <c r="L76" s="1" t="str">
        <f t="shared" si="50"/>
        <v>Saturday</v>
      </c>
      <c r="M76" s="2">
        <v>0.25</v>
      </c>
      <c r="N76" s="9">
        <v>0.29166666666666669</v>
      </c>
      <c r="O76" s="2">
        <v>0.66666666666666663</v>
      </c>
      <c r="P76" s="9">
        <f t="shared" si="51"/>
        <v>9.7083333333333339</v>
      </c>
      <c r="Q76" s="40">
        <f t="shared" si="52"/>
        <v>339.79166666666669</v>
      </c>
      <c r="R76" s="40"/>
    </row>
    <row r="77" spans="2:18" ht="19.95" customHeight="1" x14ac:dyDescent="0.25">
      <c r="B77" s="6">
        <f t="shared" ref="B77" si="56">B76+1</f>
        <v>44724</v>
      </c>
      <c r="C77" s="1" t="str">
        <f t="shared" si="49"/>
        <v>Sunday</v>
      </c>
      <c r="D77" s="4">
        <v>0.29166666666666669</v>
      </c>
      <c r="E77" s="9">
        <v>0.33333333333333331</v>
      </c>
      <c r="F77" s="4">
        <v>0.71875</v>
      </c>
      <c r="G77" s="9">
        <f t="shared" si="54"/>
        <v>9.9166666666666661</v>
      </c>
      <c r="H77" s="40">
        <f t="shared" si="55"/>
        <v>347.08333333333331</v>
      </c>
      <c r="I77" s="42"/>
      <c r="K77" s="6">
        <f t="shared" si="53"/>
        <v>44752</v>
      </c>
      <c r="L77" s="1" t="str">
        <f t="shared" si="50"/>
        <v>Sunday</v>
      </c>
      <c r="M77" s="4">
        <v>0.29166666666666669</v>
      </c>
      <c r="N77" s="9">
        <v>0.33333333333333331</v>
      </c>
      <c r="O77" s="4">
        <v>0.71875</v>
      </c>
      <c r="P77" s="9">
        <f t="shared" si="51"/>
        <v>9.9166666666666661</v>
      </c>
      <c r="Q77" s="40">
        <f t="shared" si="52"/>
        <v>347.08333333333331</v>
      </c>
      <c r="R77" s="42"/>
    </row>
    <row r="78" spans="2:18" ht="19.95" customHeight="1" x14ac:dyDescent="0.25">
      <c r="B78" s="31" t="s">
        <v>7</v>
      </c>
      <c r="C78" s="32"/>
      <c r="D78" s="32"/>
      <c r="E78" s="32"/>
      <c r="F78" s="33"/>
      <c r="G78" s="12">
        <f>SUM(G71:G77)</f>
        <v>73.041666666666657</v>
      </c>
      <c r="H78" s="43">
        <f>SUM(H71:H77)</f>
        <v>2556.458333333333</v>
      </c>
      <c r="I78" s="40"/>
      <c r="K78" s="30" t="s">
        <v>7</v>
      </c>
      <c r="L78" s="30"/>
      <c r="M78" s="30"/>
      <c r="N78" s="30"/>
      <c r="O78" s="30"/>
      <c r="P78" s="12">
        <f>SUM(P71:P77)</f>
        <v>73.041666666666657</v>
      </c>
      <c r="Q78" s="43">
        <f>SUM(Q71:Q77)</f>
        <v>2556.458333333333</v>
      </c>
      <c r="R78" s="42"/>
    </row>
    <row r="79" spans="2:18" ht="19.95" customHeight="1" x14ac:dyDescent="0.25">
      <c r="B79" s="24" t="s">
        <v>9</v>
      </c>
      <c r="C79" s="26"/>
      <c r="D79" s="26"/>
      <c r="E79" s="26"/>
      <c r="F79" s="26"/>
      <c r="G79" s="25"/>
      <c r="H79" s="44" t="s">
        <v>35</v>
      </c>
      <c r="I79" s="45"/>
      <c r="K79" s="24" t="s">
        <v>9</v>
      </c>
      <c r="L79" s="26"/>
      <c r="M79" s="26"/>
      <c r="N79" s="26"/>
      <c r="O79" s="26"/>
      <c r="P79" s="25"/>
      <c r="Q79" s="44" t="s">
        <v>39</v>
      </c>
      <c r="R79" s="45"/>
    </row>
    <row r="80" spans="2:18" ht="19.95" customHeight="1" x14ac:dyDescent="0.25">
      <c r="B80" s="17" t="s">
        <v>89</v>
      </c>
      <c r="C80" s="17" t="s">
        <v>90</v>
      </c>
      <c r="D80" s="17" t="s">
        <v>2</v>
      </c>
      <c r="E80" s="18" t="s">
        <v>4</v>
      </c>
      <c r="F80" s="17" t="s">
        <v>3</v>
      </c>
      <c r="G80" s="17" t="s">
        <v>91</v>
      </c>
      <c r="H80" s="46" t="s">
        <v>92</v>
      </c>
      <c r="I80" s="46" t="s">
        <v>5</v>
      </c>
      <c r="K80" s="17" t="s">
        <v>89</v>
      </c>
      <c r="L80" s="17" t="s">
        <v>90</v>
      </c>
      <c r="M80" s="17" t="s">
        <v>2</v>
      </c>
      <c r="N80" s="18" t="s">
        <v>4</v>
      </c>
      <c r="O80" s="17" t="s">
        <v>3</v>
      </c>
      <c r="P80" s="17" t="s">
        <v>91</v>
      </c>
      <c r="Q80" s="46" t="s">
        <v>92</v>
      </c>
      <c r="R80" s="46" t="s">
        <v>5</v>
      </c>
    </row>
    <row r="81" spans="2:18" ht="19.95" customHeight="1" x14ac:dyDescent="0.25">
      <c r="B81" s="6">
        <f>B77+1</f>
        <v>44725</v>
      </c>
      <c r="C81" s="1" t="str">
        <f t="shared" ref="C81:C87" si="57">TEXT(B81,"dddd")</f>
        <v>Monday</v>
      </c>
      <c r="D81" s="4">
        <v>0.25</v>
      </c>
      <c r="E81" s="9">
        <v>0.33333333333333331</v>
      </c>
      <c r="F81" s="4">
        <v>0.66666666666666663</v>
      </c>
      <c r="G81" s="9">
        <f t="shared" ref="G81:G87" si="58">((F81-D81)*24)-E81</f>
        <v>9.6666666666666661</v>
      </c>
      <c r="H81" s="40">
        <f t="shared" ref="H81:H87" si="59">$C$4*G81</f>
        <v>338.33333333333331</v>
      </c>
      <c r="I81" s="42"/>
      <c r="K81" s="6">
        <f>K77+1</f>
        <v>44753</v>
      </c>
      <c r="L81" s="1" t="str">
        <f t="shared" ref="L81:L87" si="60">TEXT(K81,"dddd")</f>
        <v>Monday</v>
      </c>
      <c r="M81" s="4">
        <v>0.25</v>
      </c>
      <c r="N81" s="9">
        <v>0.33333333333333331</v>
      </c>
      <c r="O81" s="4">
        <v>0.66666666666666663</v>
      </c>
      <c r="P81" s="9">
        <f t="shared" ref="P81:P87" si="61">((O81-M81)*24)-N81</f>
        <v>9.6666666666666661</v>
      </c>
      <c r="Q81" s="40">
        <f t="shared" ref="Q81:Q87" si="62">$C$4*P81</f>
        <v>338.33333333333331</v>
      </c>
      <c r="R81" s="42"/>
    </row>
    <row r="82" spans="2:18" ht="19.95" customHeight="1" x14ac:dyDescent="0.25">
      <c r="B82" s="6">
        <f t="shared" ref="B82:B87" si="63">B81+1</f>
        <v>44726</v>
      </c>
      <c r="C82" s="1" t="str">
        <f t="shared" si="57"/>
        <v>Tuesday</v>
      </c>
      <c r="D82" s="4">
        <v>0.375</v>
      </c>
      <c r="E82" s="9">
        <v>0.33333333333333331</v>
      </c>
      <c r="F82" s="4">
        <v>0.74305555555555547</v>
      </c>
      <c r="G82" s="9">
        <f t="shared" si="58"/>
        <v>8.4999999999999982</v>
      </c>
      <c r="H82" s="40">
        <f t="shared" si="59"/>
        <v>297.49999999999994</v>
      </c>
      <c r="I82" s="42"/>
      <c r="K82" s="6">
        <f t="shared" ref="K82:K87" si="64">K81+1</f>
        <v>44754</v>
      </c>
      <c r="L82" s="1" t="str">
        <f t="shared" si="60"/>
        <v>Tuesday</v>
      </c>
      <c r="M82" s="4">
        <v>0.375</v>
      </c>
      <c r="N82" s="9">
        <v>0.33333333333333331</v>
      </c>
      <c r="O82" s="4">
        <v>0.74305555555555547</v>
      </c>
      <c r="P82" s="9">
        <f t="shared" si="61"/>
        <v>8.4999999999999982</v>
      </c>
      <c r="Q82" s="40">
        <f t="shared" si="62"/>
        <v>297.49999999999994</v>
      </c>
      <c r="R82" s="42"/>
    </row>
    <row r="83" spans="2:18" ht="19.95" customHeight="1" x14ac:dyDescent="0.25">
      <c r="B83" s="6">
        <f t="shared" si="63"/>
        <v>44727</v>
      </c>
      <c r="C83" s="1" t="str">
        <f t="shared" si="57"/>
        <v>Wednesday</v>
      </c>
      <c r="D83" s="4">
        <v>0.41666666666666669</v>
      </c>
      <c r="E83" s="9">
        <v>0.45833333333333331</v>
      </c>
      <c r="F83" s="4">
        <v>0.66666666666666663</v>
      </c>
      <c r="G83" s="9">
        <f t="shared" si="58"/>
        <v>5.5416666666666652</v>
      </c>
      <c r="H83" s="40">
        <f t="shared" si="59"/>
        <v>193.95833333333329</v>
      </c>
      <c r="I83" s="42"/>
      <c r="K83" s="6">
        <f t="shared" si="64"/>
        <v>44755</v>
      </c>
      <c r="L83" s="1" t="str">
        <f t="shared" si="60"/>
        <v>Wednesday</v>
      </c>
      <c r="M83" s="4">
        <v>0.41666666666666669</v>
      </c>
      <c r="N83" s="9">
        <v>0.45833333333333331</v>
      </c>
      <c r="O83" s="4">
        <v>0.66666666666666663</v>
      </c>
      <c r="P83" s="9">
        <f t="shared" si="61"/>
        <v>5.5416666666666652</v>
      </c>
      <c r="Q83" s="40">
        <f t="shared" si="62"/>
        <v>193.95833333333329</v>
      </c>
      <c r="R83" s="42"/>
    </row>
    <row r="84" spans="2:18" ht="19.95" customHeight="1" x14ac:dyDescent="0.25">
      <c r="B84" s="6">
        <f t="shared" si="63"/>
        <v>44728</v>
      </c>
      <c r="C84" s="1" t="str">
        <f t="shared" si="57"/>
        <v>Thursday</v>
      </c>
      <c r="D84" s="4">
        <v>0.35416666666666669</v>
      </c>
      <c r="E84" s="9">
        <v>0.45833333333333331</v>
      </c>
      <c r="F84" s="4">
        <v>0.75</v>
      </c>
      <c r="G84" s="9">
        <f t="shared" si="58"/>
        <v>9.0416666666666661</v>
      </c>
      <c r="H84" s="40">
        <f t="shared" si="59"/>
        <v>316.45833333333331</v>
      </c>
      <c r="I84" s="42"/>
      <c r="K84" s="6">
        <f t="shared" si="64"/>
        <v>44756</v>
      </c>
      <c r="L84" s="1" t="str">
        <f t="shared" si="60"/>
        <v>Thursday</v>
      </c>
      <c r="M84" s="4">
        <v>0.35416666666666669</v>
      </c>
      <c r="N84" s="9">
        <v>0.45833333333333331</v>
      </c>
      <c r="O84" s="4">
        <v>0.75</v>
      </c>
      <c r="P84" s="9">
        <f t="shared" si="61"/>
        <v>9.0416666666666661</v>
      </c>
      <c r="Q84" s="40">
        <f t="shared" si="62"/>
        <v>316.45833333333331</v>
      </c>
      <c r="R84" s="42"/>
    </row>
    <row r="85" spans="2:18" ht="19.95" customHeight="1" x14ac:dyDescent="0.25">
      <c r="B85" s="6">
        <f t="shared" si="63"/>
        <v>44729</v>
      </c>
      <c r="C85" s="1" t="str">
        <f t="shared" si="57"/>
        <v>Friday</v>
      </c>
      <c r="D85" s="4">
        <v>0.27083333333333331</v>
      </c>
      <c r="E85" s="9">
        <v>0.33333333333333331</v>
      </c>
      <c r="F85" s="4">
        <v>0.91666666666666663</v>
      </c>
      <c r="G85" s="9">
        <f t="shared" si="58"/>
        <v>15.166666666666664</v>
      </c>
      <c r="H85" s="40">
        <f t="shared" si="59"/>
        <v>530.83333333333326</v>
      </c>
      <c r="I85" s="42"/>
      <c r="K85" s="6">
        <f t="shared" si="64"/>
        <v>44757</v>
      </c>
      <c r="L85" s="1" t="str">
        <f t="shared" si="60"/>
        <v>Friday</v>
      </c>
      <c r="M85" s="4">
        <v>0.27083333333333331</v>
      </c>
      <c r="N85" s="9">
        <v>0.33333333333333331</v>
      </c>
      <c r="O85" s="4">
        <v>0.91666666666666663</v>
      </c>
      <c r="P85" s="9">
        <f t="shared" si="61"/>
        <v>15.166666666666664</v>
      </c>
      <c r="Q85" s="40">
        <f t="shared" si="62"/>
        <v>530.83333333333326</v>
      </c>
      <c r="R85" s="42"/>
    </row>
    <row r="86" spans="2:18" ht="19.95" customHeight="1" x14ac:dyDescent="0.25">
      <c r="B86" s="6">
        <f t="shared" si="63"/>
        <v>44730</v>
      </c>
      <c r="C86" s="1" t="str">
        <f t="shared" si="57"/>
        <v>Saturday</v>
      </c>
      <c r="D86" s="4">
        <v>0.27083333333333331</v>
      </c>
      <c r="E86" s="9">
        <v>0.33333333333333331</v>
      </c>
      <c r="F86" s="4">
        <v>0.91666666666666663</v>
      </c>
      <c r="G86" s="9">
        <f t="shared" si="58"/>
        <v>15.166666666666664</v>
      </c>
      <c r="H86" s="40">
        <f t="shared" si="59"/>
        <v>530.83333333333326</v>
      </c>
      <c r="I86" s="42"/>
      <c r="K86" s="6">
        <f t="shared" si="64"/>
        <v>44758</v>
      </c>
      <c r="L86" s="1" t="str">
        <f t="shared" si="60"/>
        <v>Saturday</v>
      </c>
      <c r="M86" s="4">
        <v>0.27083333333333331</v>
      </c>
      <c r="N86" s="9">
        <v>0.33333333333333331</v>
      </c>
      <c r="O86" s="4">
        <v>0.91666666666666663</v>
      </c>
      <c r="P86" s="9">
        <f t="shared" si="61"/>
        <v>15.166666666666664</v>
      </c>
      <c r="Q86" s="40">
        <f t="shared" si="62"/>
        <v>530.83333333333326</v>
      </c>
      <c r="R86" s="42"/>
    </row>
    <row r="87" spans="2:18" ht="19.95" customHeight="1" x14ac:dyDescent="0.25">
      <c r="B87" s="5">
        <f t="shared" si="63"/>
        <v>44731</v>
      </c>
      <c r="C87" s="1" t="str">
        <f t="shared" si="57"/>
        <v>Sunday</v>
      </c>
      <c r="D87" s="2">
        <v>0.25</v>
      </c>
      <c r="E87" s="9">
        <v>0.29166666666666669</v>
      </c>
      <c r="F87" s="2">
        <v>0.66666666666666663</v>
      </c>
      <c r="G87" s="9">
        <f t="shared" si="58"/>
        <v>9.7083333333333339</v>
      </c>
      <c r="H87" s="40">
        <f t="shared" si="59"/>
        <v>339.79166666666669</v>
      </c>
      <c r="I87" s="40"/>
      <c r="K87" s="5">
        <f t="shared" si="64"/>
        <v>44759</v>
      </c>
      <c r="L87" s="1" t="str">
        <f t="shared" si="60"/>
        <v>Sunday</v>
      </c>
      <c r="M87" s="2">
        <v>0.25</v>
      </c>
      <c r="N87" s="9">
        <v>0.29166666666666669</v>
      </c>
      <c r="O87" s="2">
        <v>0.66666666666666663</v>
      </c>
      <c r="P87" s="9">
        <f t="shared" si="61"/>
        <v>9.7083333333333339</v>
      </c>
      <c r="Q87" s="40">
        <f t="shared" si="62"/>
        <v>339.79166666666669</v>
      </c>
      <c r="R87" s="40"/>
    </row>
    <row r="88" spans="2:18" ht="19.95" customHeight="1" x14ac:dyDescent="0.25">
      <c r="B88" s="27" t="s">
        <v>7</v>
      </c>
      <c r="C88" s="28"/>
      <c r="D88" s="28"/>
      <c r="E88" s="28"/>
      <c r="F88" s="29"/>
      <c r="G88" s="12">
        <f>SUM(G81:G87)</f>
        <v>72.791666666666657</v>
      </c>
      <c r="H88" s="43">
        <f>SUM(H81:H87)</f>
        <v>2547.7083333333326</v>
      </c>
      <c r="I88" s="40"/>
      <c r="K88" s="27" t="s">
        <v>7</v>
      </c>
      <c r="L88" s="28"/>
      <c r="M88" s="28"/>
      <c r="N88" s="28"/>
      <c r="O88" s="29"/>
      <c r="P88" s="12">
        <f>SUM(P81:P87)</f>
        <v>72.791666666666657</v>
      </c>
      <c r="Q88" s="43">
        <f>SUM(Q81:Q87)</f>
        <v>2547.7083333333326</v>
      </c>
      <c r="R88" s="40"/>
    </row>
    <row r="89" spans="2:18" ht="19.95" customHeight="1" x14ac:dyDescent="0.25">
      <c r="B89" s="24" t="s">
        <v>10</v>
      </c>
      <c r="C89" s="26"/>
      <c r="D89" s="26"/>
      <c r="E89" s="26"/>
      <c r="F89" s="26"/>
      <c r="G89" s="25"/>
      <c r="H89" s="44" t="s">
        <v>34</v>
      </c>
      <c r="I89" s="45"/>
      <c r="K89" s="24" t="s">
        <v>10</v>
      </c>
      <c r="L89" s="26"/>
      <c r="M89" s="26"/>
      <c r="N89" s="26"/>
      <c r="O89" s="26"/>
      <c r="P89" s="25"/>
      <c r="Q89" s="44" t="s">
        <v>40</v>
      </c>
      <c r="R89" s="45"/>
    </row>
    <row r="90" spans="2:18" ht="19.95" customHeight="1" x14ac:dyDescent="0.25">
      <c r="B90" s="17" t="s">
        <v>89</v>
      </c>
      <c r="C90" s="17" t="s">
        <v>90</v>
      </c>
      <c r="D90" s="17" t="s">
        <v>2</v>
      </c>
      <c r="E90" s="18" t="s">
        <v>4</v>
      </c>
      <c r="F90" s="17" t="s">
        <v>3</v>
      </c>
      <c r="G90" s="17" t="s">
        <v>91</v>
      </c>
      <c r="H90" s="46" t="s">
        <v>92</v>
      </c>
      <c r="I90" s="46" t="s">
        <v>5</v>
      </c>
      <c r="K90" s="17" t="s">
        <v>89</v>
      </c>
      <c r="L90" s="17" t="s">
        <v>90</v>
      </c>
      <c r="M90" s="17" t="s">
        <v>2</v>
      </c>
      <c r="N90" s="18" t="s">
        <v>4</v>
      </c>
      <c r="O90" s="17" t="s">
        <v>3</v>
      </c>
      <c r="P90" s="17" t="s">
        <v>91</v>
      </c>
      <c r="Q90" s="46" t="s">
        <v>92</v>
      </c>
      <c r="R90" s="46" t="s">
        <v>5</v>
      </c>
    </row>
    <row r="91" spans="2:18" ht="19.95" customHeight="1" x14ac:dyDescent="0.25">
      <c r="B91" s="6">
        <f>B87+1</f>
        <v>44732</v>
      </c>
      <c r="C91" s="1" t="str">
        <f t="shared" ref="C91:C97" si="65">TEXT(B91,"dddd")</f>
        <v>Monday</v>
      </c>
      <c r="D91" s="4">
        <v>0.29166666666666669</v>
      </c>
      <c r="E91" s="9">
        <v>0.33333333333333331</v>
      </c>
      <c r="F91" s="4">
        <v>0.71875</v>
      </c>
      <c r="G91" s="9">
        <f t="shared" ref="G91:G97" si="66">((F91-D91)*24)-E91</f>
        <v>9.9166666666666661</v>
      </c>
      <c r="H91" s="40">
        <f t="shared" ref="H91:H97" si="67">$C$4*G91</f>
        <v>347.08333333333331</v>
      </c>
      <c r="I91" s="42"/>
      <c r="K91" s="6">
        <f>K87+1</f>
        <v>44760</v>
      </c>
      <c r="L91" s="1" t="str">
        <f t="shared" ref="L91:L97" si="68">TEXT(K91,"dddd")</f>
        <v>Monday</v>
      </c>
      <c r="M91" s="4">
        <v>0.29166666666666669</v>
      </c>
      <c r="N91" s="9">
        <v>0.33333333333333331</v>
      </c>
      <c r="O91" s="4">
        <v>0.71875</v>
      </c>
      <c r="P91" s="9">
        <f t="shared" ref="P91:P97" si="69">((O91-M91)*24)-N91</f>
        <v>9.9166666666666661</v>
      </c>
      <c r="Q91" s="40">
        <f t="shared" ref="Q91:Q97" si="70">$C$4*P91</f>
        <v>347.08333333333331</v>
      </c>
      <c r="R91" s="42"/>
    </row>
    <row r="92" spans="2:18" ht="19.95" customHeight="1" x14ac:dyDescent="0.25">
      <c r="B92" s="6">
        <f t="shared" ref="B92:B97" si="71">B91+1</f>
        <v>44733</v>
      </c>
      <c r="C92" s="1" t="str">
        <f t="shared" si="65"/>
        <v>Tuesday</v>
      </c>
      <c r="D92" s="4">
        <v>0.25</v>
      </c>
      <c r="E92" s="9">
        <v>0.33333333333333331</v>
      </c>
      <c r="F92" s="4">
        <v>0.66666666666666663</v>
      </c>
      <c r="G92" s="9">
        <f t="shared" si="66"/>
        <v>9.6666666666666661</v>
      </c>
      <c r="H92" s="40">
        <f t="shared" si="67"/>
        <v>338.33333333333331</v>
      </c>
      <c r="I92" s="42"/>
      <c r="K92" s="6">
        <f>K91+1</f>
        <v>44761</v>
      </c>
      <c r="L92" s="1" t="str">
        <f t="shared" si="68"/>
        <v>Tuesday</v>
      </c>
      <c r="M92" s="4">
        <v>0.25</v>
      </c>
      <c r="N92" s="9">
        <v>0.33333333333333331</v>
      </c>
      <c r="O92" s="4">
        <v>0.66666666666666663</v>
      </c>
      <c r="P92" s="9">
        <f t="shared" si="69"/>
        <v>9.6666666666666661</v>
      </c>
      <c r="Q92" s="40">
        <f t="shared" si="70"/>
        <v>338.33333333333331</v>
      </c>
      <c r="R92" s="42"/>
    </row>
    <row r="93" spans="2:18" ht="19.95" customHeight="1" x14ac:dyDescent="0.25">
      <c r="B93" s="6">
        <f t="shared" si="71"/>
        <v>44734</v>
      </c>
      <c r="C93" s="1" t="str">
        <f t="shared" si="65"/>
        <v>Wednesday</v>
      </c>
      <c r="D93" s="4">
        <v>0.375</v>
      </c>
      <c r="E93" s="9">
        <v>0.33333333333333331</v>
      </c>
      <c r="F93" s="4">
        <v>0.74305555555555547</v>
      </c>
      <c r="G93" s="9">
        <f t="shared" si="66"/>
        <v>8.4999999999999982</v>
      </c>
      <c r="H93" s="40">
        <f t="shared" si="67"/>
        <v>297.49999999999994</v>
      </c>
      <c r="I93" s="42"/>
      <c r="K93" s="6">
        <f>K92+1</f>
        <v>44762</v>
      </c>
      <c r="L93" s="1" t="str">
        <f t="shared" si="68"/>
        <v>Wednesday</v>
      </c>
      <c r="M93" s="4">
        <v>0.375</v>
      </c>
      <c r="N93" s="9">
        <v>0.33333333333333331</v>
      </c>
      <c r="O93" s="4">
        <v>0.74305555555555547</v>
      </c>
      <c r="P93" s="9">
        <f t="shared" si="69"/>
        <v>8.4999999999999982</v>
      </c>
      <c r="Q93" s="40">
        <f t="shared" si="70"/>
        <v>297.49999999999994</v>
      </c>
      <c r="R93" s="42"/>
    </row>
    <row r="94" spans="2:18" ht="19.95" customHeight="1" x14ac:dyDescent="0.25">
      <c r="B94" s="6">
        <f t="shared" si="71"/>
        <v>44735</v>
      </c>
      <c r="C94" s="1" t="str">
        <f t="shared" si="65"/>
        <v>Thursday</v>
      </c>
      <c r="D94" s="4">
        <v>0.41666666666666669</v>
      </c>
      <c r="E94" s="9">
        <v>0.45833333333333331</v>
      </c>
      <c r="F94" s="4">
        <v>0.66666666666666663</v>
      </c>
      <c r="G94" s="9">
        <f t="shared" si="66"/>
        <v>5.5416666666666652</v>
      </c>
      <c r="H94" s="40">
        <f t="shared" si="67"/>
        <v>193.95833333333329</v>
      </c>
      <c r="I94" s="42"/>
      <c r="K94" s="6">
        <f>K93+1</f>
        <v>44763</v>
      </c>
      <c r="L94" s="1" t="str">
        <f t="shared" si="68"/>
        <v>Thursday</v>
      </c>
      <c r="M94" s="4">
        <v>0.41666666666666669</v>
      </c>
      <c r="N94" s="9">
        <v>0.45833333333333331</v>
      </c>
      <c r="O94" s="4">
        <v>0.66666666666666663</v>
      </c>
      <c r="P94" s="9">
        <f t="shared" si="69"/>
        <v>5.5416666666666652</v>
      </c>
      <c r="Q94" s="40">
        <f t="shared" si="70"/>
        <v>193.95833333333329</v>
      </c>
      <c r="R94" s="42"/>
    </row>
    <row r="95" spans="2:18" ht="19.95" customHeight="1" x14ac:dyDescent="0.25">
      <c r="B95" s="6">
        <f t="shared" si="71"/>
        <v>44736</v>
      </c>
      <c r="C95" s="1" t="str">
        <f t="shared" si="65"/>
        <v>Friday</v>
      </c>
      <c r="D95" s="4">
        <v>0.35416666666666669</v>
      </c>
      <c r="E95" s="9">
        <v>0.45833333333333331</v>
      </c>
      <c r="F95" s="4">
        <v>0.75</v>
      </c>
      <c r="G95" s="9">
        <f t="shared" si="66"/>
        <v>9.0416666666666661</v>
      </c>
      <c r="H95" s="40">
        <f t="shared" si="67"/>
        <v>316.45833333333331</v>
      </c>
      <c r="I95" s="42"/>
      <c r="K95" s="6">
        <f>K94+1</f>
        <v>44764</v>
      </c>
      <c r="L95" s="1" t="str">
        <f t="shared" si="68"/>
        <v>Friday</v>
      </c>
      <c r="M95" s="4">
        <v>0.35416666666666669</v>
      </c>
      <c r="N95" s="9">
        <v>0.45833333333333331</v>
      </c>
      <c r="O95" s="4">
        <v>0.75</v>
      </c>
      <c r="P95" s="9">
        <f t="shared" si="69"/>
        <v>9.0416666666666661</v>
      </c>
      <c r="Q95" s="40">
        <f t="shared" si="70"/>
        <v>316.45833333333331</v>
      </c>
      <c r="R95" s="42"/>
    </row>
    <row r="96" spans="2:18" ht="19.95" customHeight="1" x14ac:dyDescent="0.25">
      <c r="B96" s="6">
        <f t="shared" si="71"/>
        <v>44737</v>
      </c>
      <c r="C96" s="1" t="str">
        <f t="shared" si="65"/>
        <v>Saturday</v>
      </c>
      <c r="D96" s="4">
        <v>0.27083333333333331</v>
      </c>
      <c r="E96" s="9">
        <v>0.33333333333333331</v>
      </c>
      <c r="F96" s="4">
        <v>0.91666666666666663</v>
      </c>
      <c r="G96" s="9">
        <f t="shared" si="66"/>
        <v>15.166666666666664</v>
      </c>
      <c r="H96" s="40">
        <f t="shared" si="67"/>
        <v>530.83333333333326</v>
      </c>
      <c r="I96" s="42"/>
      <c r="K96" s="6">
        <f>K95+1</f>
        <v>44765</v>
      </c>
      <c r="L96" s="1" t="str">
        <f t="shared" si="68"/>
        <v>Saturday</v>
      </c>
      <c r="M96" s="4">
        <v>0.27083333333333331</v>
      </c>
      <c r="N96" s="9">
        <v>0.33333333333333331</v>
      </c>
      <c r="O96" s="4">
        <v>0.91666666666666663</v>
      </c>
      <c r="P96" s="9">
        <f t="shared" si="69"/>
        <v>15.166666666666664</v>
      </c>
      <c r="Q96" s="40">
        <f t="shared" si="70"/>
        <v>530.83333333333326</v>
      </c>
      <c r="R96" s="42"/>
    </row>
    <row r="97" spans="2:18" ht="19.95" customHeight="1" x14ac:dyDescent="0.25">
      <c r="B97" s="6">
        <f t="shared" si="71"/>
        <v>44738</v>
      </c>
      <c r="C97" s="1" t="str">
        <f t="shared" si="65"/>
        <v>Sunday</v>
      </c>
      <c r="D97" s="4">
        <v>0.27083333333333331</v>
      </c>
      <c r="E97" s="9">
        <v>0.33333333333333331</v>
      </c>
      <c r="F97" s="4">
        <v>0.91666666666666663</v>
      </c>
      <c r="G97" s="9">
        <f t="shared" si="66"/>
        <v>15.166666666666664</v>
      </c>
      <c r="H97" s="40">
        <f t="shared" si="67"/>
        <v>530.83333333333326</v>
      </c>
      <c r="I97" s="42"/>
      <c r="K97" s="6">
        <f t="shared" ref="K97" si="72">K96+1</f>
        <v>44766</v>
      </c>
      <c r="L97" s="1" t="str">
        <f t="shared" si="68"/>
        <v>Sunday</v>
      </c>
      <c r="M97" s="4">
        <v>0.27083333333333331</v>
      </c>
      <c r="N97" s="9">
        <v>0.33333333333333331</v>
      </c>
      <c r="O97" s="4">
        <v>0.91666666666666663</v>
      </c>
      <c r="P97" s="9">
        <f t="shared" si="69"/>
        <v>15.166666666666664</v>
      </c>
      <c r="Q97" s="40">
        <f t="shared" si="70"/>
        <v>530.83333333333326</v>
      </c>
      <c r="R97" s="42"/>
    </row>
    <row r="98" spans="2:18" ht="19.95" customHeight="1" x14ac:dyDescent="0.25">
      <c r="B98" s="27" t="s">
        <v>7</v>
      </c>
      <c r="C98" s="28"/>
      <c r="D98" s="28"/>
      <c r="E98" s="28"/>
      <c r="F98" s="29"/>
      <c r="G98" s="12">
        <f>SUM(G91:G97)</f>
        <v>72.999999999999986</v>
      </c>
      <c r="H98" s="43">
        <f>SUM(H91:H97)</f>
        <v>2554.9999999999995</v>
      </c>
      <c r="I98" s="40"/>
      <c r="K98" s="27" t="s">
        <v>7</v>
      </c>
      <c r="L98" s="28"/>
      <c r="M98" s="28"/>
      <c r="N98" s="28"/>
      <c r="O98" s="29"/>
      <c r="P98" s="12">
        <f>SUM(P91:P97)</f>
        <v>72.999999999999986</v>
      </c>
      <c r="Q98" s="43">
        <f>SUM(Q91:Q97)</f>
        <v>2554.9999999999995</v>
      </c>
      <c r="R98" s="40"/>
    </row>
    <row r="99" spans="2:18" ht="19.95" customHeight="1" x14ac:dyDescent="0.25">
      <c r="B99" s="24" t="s">
        <v>26</v>
      </c>
      <c r="C99" s="26"/>
      <c r="D99" s="26"/>
      <c r="E99" s="26"/>
      <c r="F99" s="26"/>
      <c r="G99" s="25"/>
      <c r="H99" s="44" t="s">
        <v>33</v>
      </c>
      <c r="I99" s="45"/>
      <c r="K99" s="24" t="s">
        <v>26</v>
      </c>
      <c r="L99" s="26"/>
      <c r="M99" s="26"/>
      <c r="N99" s="26"/>
      <c r="O99" s="26"/>
      <c r="P99" s="25"/>
      <c r="Q99" s="44" t="s">
        <v>41</v>
      </c>
      <c r="R99" s="45"/>
    </row>
    <row r="100" spans="2:18" ht="19.95" customHeight="1" x14ac:dyDescent="0.25">
      <c r="B100" s="17" t="s">
        <v>89</v>
      </c>
      <c r="C100" s="17" t="s">
        <v>90</v>
      </c>
      <c r="D100" s="17" t="s">
        <v>2</v>
      </c>
      <c r="E100" s="18" t="s">
        <v>4</v>
      </c>
      <c r="F100" s="17" t="s">
        <v>3</v>
      </c>
      <c r="G100" s="17" t="s">
        <v>91</v>
      </c>
      <c r="H100" s="46" t="s">
        <v>92</v>
      </c>
      <c r="I100" s="46" t="s">
        <v>5</v>
      </c>
      <c r="K100" s="17" t="s">
        <v>89</v>
      </c>
      <c r="L100" s="17" t="s">
        <v>90</v>
      </c>
      <c r="M100" s="17" t="s">
        <v>2</v>
      </c>
      <c r="N100" s="18" t="s">
        <v>4</v>
      </c>
      <c r="O100" s="17" t="s">
        <v>3</v>
      </c>
      <c r="P100" s="17" t="s">
        <v>91</v>
      </c>
      <c r="Q100" s="46" t="s">
        <v>92</v>
      </c>
      <c r="R100" s="46" t="s">
        <v>5</v>
      </c>
    </row>
    <row r="101" spans="2:18" ht="19.95" customHeight="1" x14ac:dyDescent="0.25">
      <c r="B101" s="5">
        <f>B97+1</f>
        <v>44739</v>
      </c>
      <c r="C101" s="1" t="str">
        <f>TEXT(B101,"dddd")</f>
        <v>Monday</v>
      </c>
      <c r="D101" s="2">
        <v>0.25</v>
      </c>
      <c r="E101" s="9">
        <v>0.29166666666666669</v>
      </c>
      <c r="F101" s="2">
        <v>0.66666666666666663</v>
      </c>
      <c r="G101" s="9">
        <f t="shared" ref="G101:G104" si="73">((F101-D101)*24)-E101</f>
        <v>9.7083333333333339</v>
      </c>
      <c r="H101" s="40">
        <f t="shared" ref="H101:H104" si="74">$C$4*G101</f>
        <v>339.79166666666669</v>
      </c>
      <c r="I101" s="40"/>
      <c r="K101" s="6">
        <f>K97+1</f>
        <v>44767</v>
      </c>
      <c r="L101" s="1" t="str">
        <f t="shared" ref="L101:L105" si="75">TEXT(K101,"dddd")</f>
        <v>Monday</v>
      </c>
      <c r="M101" s="4">
        <v>0.29166666666666669</v>
      </c>
      <c r="N101" s="9">
        <v>0.33333333333333331</v>
      </c>
      <c r="O101" s="4">
        <v>0.71875</v>
      </c>
      <c r="P101" s="9">
        <f t="shared" ref="P101:P105" si="76">((O101-M101)*24)-N101</f>
        <v>9.9166666666666661</v>
      </c>
      <c r="Q101" s="40">
        <f t="shared" ref="Q101:Q105" si="77">$C$4*P101</f>
        <v>347.08333333333331</v>
      </c>
      <c r="R101" s="42"/>
    </row>
    <row r="102" spans="2:18" ht="19.95" customHeight="1" x14ac:dyDescent="0.25">
      <c r="B102" s="6">
        <f>B101+1</f>
        <v>44740</v>
      </c>
      <c r="C102" s="1" t="str">
        <f t="shared" ref="C102:C104" si="78">TEXT(B102,"dddd")</f>
        <v>Tuesday</v>
      </c>
      <c r="D102" s="4">
        <v>0.29166666666666669</v>
      </c>
      <c r="E102" s="9">
        <v>0.33333333333333331</v>
      </c>
      <c r="F102" s="4">
        <v>0.71875</v>
      </c>
      <c r="G102" s="9">
        <f t="shared" si="73"/>
        <v>9.9166666666666661</v>
      </c>
      <c r="H102" s="40">
        <f t="shared" si="74"/>
        <v>347.08333333333331</v>
      </c>
      <c r="I102" s="42"/>
      <c r="K102" s="6">
        <f t="shared" ref="K102:K107" si="79">K101+1</f>
        <v>44768</v>
      </c>
      <c r="L102" s="1" t="str">
        <f t="shared" si="75"/>
        <v>Tuesday</v>
      </c>
      <c r="M102" s="4">
        <v>0.25</v>
      </c>
      <c r="N102" s="9">
        <v>0.33333333333333331</v>
      </c>
      <c r="O102" s="4">
        <v>0.66666666666666663</v>
      </c>
      <c r="P102" s="9">
        <f t="shared" si="76"/>
        <v>9.6666666666666661</v>
      </c>
      <c r="Q102" s="40">
        <f t="shared" si="77"/>
        <v>338.33333333333331</v>
      </c>
      <c r="R102" s="42"/>
    </row>
    <row r="103" spans="2:18" ht="19.95" customHeight="1" x14ac:dyDescent="0.25">
      <c r="B103" s="6">
        <f>B102+1</f>
        <v>44741</v>
      </c>
      <c r="C103" s="1" t="str">
        <f t="shared" si="78"/>
        <v>Wednesday</v>
      </c>
      <c r="D103" s="4">
        <v>0.25</v>
      </c>
      <c r="E103" s="9">
        <v>0.33333333333333331</v>
      </c>
      <c r="F103" s="4">
        <v>0.66666666666666663</v>
      </c>
      <c r="G103" s="9">
        <f t="shared" si="73"/>
        <v>9.6666666666666661</v>
      </c>
      <c r="H103" s="40">
        <f t="shared" si="74"/>
        <v>338.33333333333331</v>
      </c>
      <c r="I103" s="42"/>
      <c r="K103" s="6">
        <f t="shared" si="79"/>
        <v>44769</v>
      </c>
      <c r="L103" s="1" t="str">
        <f t="shared" si="75"/>
        <v>Wednesday</v>
      </c>
      <c r="M103" s="4">
        <v>0.375</v>
      </c>
      <c r="N103" s="9">
        <v>0.33333333333333331</v>
      </c>
      <c r="O103" s="4">
        <v>0.74305555555555547</v>
      </c>
      <c r="P103" s="9">
        <f t="shared" si="76"/>
        <v>8.4999999999999982</v>
      </c>
      <c r="Q103" s="40">
        <f t="shared" si="77"/>
        <v>297.49999999999994</v>
      </c>
      <c r="R103" s="42"/>
    </row>
    <row r="104" spans="2:18" ht="19.95" customHeight="1" x14ac:dyDescent="0.25">
      <c r="B104" s="6">
        <f>B103+1</f>
        <v>44742</v>
      </c>
      <c r="C104" s="1" t="str">
        <f t="shared" si="78"/>
        <v>Thursday</v>
      </c>
      <c r="D104" s="4">
        <v>0.375</v>
      </c>
      <c r="E104" s="9">
        <v>0.33333333333333331</v>
      </c>
      <c r="F104" s="4">
        <v>0.74305555555555547</v>
      </c>
      <c r="G104" s="9">
        <f t="shared" si="73"/>
        <v>8.4999999999999982</v>
      </c>
      <c r="H104" s="40">
        <f t="shared" si="74"/>
        <v>297.49999999999994</v>
      </c>
      <c r="I104" s="42"/>
      <c r="K104" s="6">
        <f t="shared" si="79"/>
        <v>44770</v>
      </c>
      <c r="L104" s="1" t="str">
        <f t="shared" si="75"/>
        <v>Thursday</v>
      </c>
      <c r="M104" s="4">
        <v>0.41666666666666669</v>
      </c>
      <c r="N104" s="9">
        <v>0.45833333333333331</v>
      </c>
      <c r="O104" s="4">
        <v>0.66666666666666663</v>
      </c>
      <c r="P104" s="9">
        <f t="shared" si="76"/>
        <v>5.5416666666666652</v>
      </c>
      <c r="Q104" s="40">
        <f t="shared" si="77"/>
        <v>193.95833333333329</v>
      </c>
      <c r="R104" s="42"/>
    </row>
    <row r="105" spans="2:18" ht="19.95" customHeight="1" x14ac:dyDescent="0.25">
      <c r="B105" s="6"/>
      <c r="C105" s="1"/>
      <c r="D105" s="4"/>
      <c r="E105" s="9"/>
      <c r="F105" s="4"/>
      <c r="G105" s="9"/>
      <c r="H105" s="40"/>
      <c r="I105" s="42"/>
      <c r="K105" s="6">
        <f t="shared" si="79"/>
        <v>44771</v>
      </c>
      <c r="L105" s="1" t="str">
        <f t="shared" si="75"/>
        <v>Friday</v>
      </c>
      <c r="M105" s="4">
        <v>0.35416666666666669</v>
      </c>
      <c r="N105" s="9">
        <v>0.45833333333333331</v>
      </c>
      <c r="O105" s="4">
        <v>0.75</v>
      </c>
      <c r="P105" s="9">
        <f t="shared" si="76"/>
        <v>9.0416666666666661</v>
      </c>
      <c r="Q105" s="40">
        <f t="shared" si="77"/>
        <v>316.45833333333331</v>
      </c>
      <c r="R105" s="42"/>
    </row>
    <row r="106" spans="2:18" ht="19.95" customHeight="1" x14ac:dyDescent="0.25">
      <c r="B106" s="6"/>
      <c r="C106" s="1"/>
      <c r="D106" s="4"/>
      <c r="E106" s="9"/>
      <c r="F106" s="4"/>
      <c r="G106" s="9"/>
      <c r="H106" s="40"/>
      <c r="I106" s="42"/>
      <c r="K106" s="6">
        <f t="shared" si="79"/>
        <v>44772</v>
      </c>
      <c r="L106" s="1" t="str">
        <f t="shared" ref="L106" si="80">TEXT(K106,"dddd")</f>
        <v>Saturday</v>
      </c>
      <c r="M106" s="4">
        <v>0.35416666666666669</v>
      </c>
      <c r="N106" s="9">
        <v>0.45833333333333331</v>
      </c>
      <c r="O106" s="4">
        <v>0.75</v>
      </c>
      <c r="P106" s="9">
        <f t="shared" ref="P106" si="81">((O106-M106)*24)-N106</f>
        <v>9.0416666666666661</v>
      </c>
      <c r="Q106" s="40">
        <f t="shared" ref="Q106" si="82">$C$4*P106</f>
        <v>316.45833333333331</v>
      </c>
      <c r="R106" s="42"/>
    </row>
    <row r="107" spans="2:18" ht="19.95" customHeight="1" x14ac:dyDescent="0.25">
      <c r="B107" s="6"/>
      <c r="C107" s="1"/>
      <c r="D107" s="4"/>
      <c r="E107" s="9"/>
      <c r="F107" s="4"/>
      <c r="G107" s="3"/>
      <c r="H107" s="40"/>
      <c r="I107" s="42"/>
      <c r="K107" s="6">
        <f t="shared" si="79"/>
        <v>44773</v>
      </c>
      <c r="L107" s="1" t="str">
        <f t="shared" ref="L107" si="83">TEXT(K107,"dddd")</f>
        <v>Sunday</v>
      </c>
      <c r="M107" s="4">
        <v>0.35416666666666669</v>
      </c>
      <c r="N107" s="9">
        <v>0.45833333333333331</v>
      </c>
      <c r="O107" s="4">
        <v>0.75</v>
      </c>
      <c r="P107" s="9">
        <f t="shared" ref="P107" si="84">((O107-M107)*24)-N107</f>
        <v>9.0416666666666661</v>
      </c>
      <c r="Q107" s="40">
        <f t="shared" ref="Q107" si="85">$C$4*P107</f>
        <v>316.45833333333331</v>
      </c>
      <c r="R107" s="42"/>
    </row>
    <row r="108" spans="2:18" ht="19.95" customHeight="1" x14ac:dyDescent="0.25">
      <c r="B108" s="27" t="s">
        <v>7</v>
      </c>
      <c r="C108" s="28"/>
      <c r="D108" s="28"/>
      <c r="E108" s="28"/>
      <c r="F108" s="29"/>
      <c r="G108" s="12">
        <f>SUM(G101:G107)</f>
        <v>37.791666666666664</v>
      </c>
      <c r="H108" s="43">
        <f>SUM(H101:H107)</f>
        <v>1322.7083333333333</v>
      </c>
      <c r="I108" s="40"/>
      <c r="K108" s="27" t="s">
        <v>7</v>
      </c>
      <c r="L108" s="28"/>
      <c r="M108" s="28"/>
      <c r="N108" s="28"/>
      <c r="O108" s="29"/>
      <c r="P108" s="12">
        <f>SUM(P101:P107)</f>
        <v>60.749999999999986</v>
      </c>
      <c r="Q108" s="43">
        <f>SUM(Q101:Q107)</f>
        <v>2126.2499999999995</v>
      </c>
      <c r="R108" s="42"/>
    </row>
    <row r="109" spans="2:18" ht="24.6" x14ac:dyDescent="0.25">
      <c r="B109" s="24" t="s">
        <v>6</v>
      </c>
      <c r="C109" s="26"/>
      <c r="D109" s="26"/>
      <c r="E109" s="26"/>
      <c r="F109" s="26"/>
      <c r="G109" s="25"/>
      <c r="H109" s="44" t="s">
        <v>42</v>
      </c>
      <c r="I109" s="45"/>
      <c r="K109" s="24" t="s">
        <v>6</v>
      </c>
      <c r="L109" s="26"/>
      <c r="M109" s="26"/>
      <c r="N109" s="26"/>
      <c r="O109" s="26"/>
      <c r="P109" s="25"/>
      <c r="Q109" s="44" t="s">
        <v>47</v>
      </c>
      <c r="R109" s="45"/>
    </row>
    <row r="110" spans="2:18" ht="19.95" customHeight="1" x14ac:dyDescent="0.25">
      <c r="B110" s="17" t="s">
        <v>89</v>
      </c>
      <c r="C110" s="17" t="s">
        <v>90</v>
      </c>
      <c r="D110" s="17" t="s">
        <v>2</v>
      </c>
      <c r="E110" s="18" t="s">
        <v>4</v>
      </c>
      <c r="F110" s="17" t="s">
        <v>3</v>
      </c>
      <c r="G110" s="17" t="s">
        <v>91</v>
      </c>
      <c r="H110" s="46" t="s">
        <v>92</v>
      </c>
      <c r="I110" s="46" t="s">
        <v>5</v>
      </c>
      <c r="K110" s="17" t="s">
        <v>89</v>
      </c>
      <c r="L110" s="17" t="s">
        <v>90</v>
      </c>
      <c r="M110" s="17" t="s">
        <v>2</v>
      </c>
      <c r="N110" s="18" t="s">
        <v>4</v>
      </c>
      <c r="O110" s="17" t="s">
        <v>3</v>
      </c>
      <c r="P110" s="17" t="s">
        <v>91</v>
      </c>
      <c r="Q110" s="46" t="s">
        <v>92</v>
      </c>
      <c r="R110" s="46" t="s">
        <v>5</v>
      </c>
    </row>
    <row r="111" spans="2:18" ht="19.95" customHeight="1" x14ac:dyDescent="0.25">
      <c r="B111" s="6">
        <v>44774</v>
      </c>
      <c r="C111" s="1" t="str">
        <f>TEXT(B111,"dddd")</f>
        <v>Monday</v>
      </c>
      <c r="D111" s="4">
        <v>0.25</v>
      </c>
      <c r="E111" s="9">
        <v>0.33333333333333331</v>
      </c>
      <c r="F111" s="4">
        <v>0.66666666666666663</v>
      </c>
      <c r="G111" s="9">
        <f t="shared" ref="G111:G112" si="86">((F111-D111)*24)-E111</f>
        <v>9.6666666666666661</v>
      </c>
      <c r="H111" s="40">
        <f t="shared" ref="H111:H113" si="87">$C$4*G111</f>
        <v>338.33333333333331</v>
      </c>
      <c r="I111" s="42"/>
      <c r="K111" s="5">
        <v>44805</v>
      </c>
      <c r="L111" s="1" t="str">
        <f>TEXT(K111,"dddd")</f>
        <v>Thursday</v>
      </c>
      <c r="M111" s="2">
        <v>0.25</v>
      </c>
      <c r="N111" s="9">
        <v>0.29166666666666669</v>
      </c>
      <c r="O111" s="2">
        <v>0.66666666666666663</v>
      </c>
      <c r="P111" s="9">
        <f>((O111-M111)*24)-N111</f>
        <v>9.7083333333333339</v>
      </c>
      <c r="Q111" s="40">
        <f t="shared" ref="Q111:Q114" si="88">$C$4*P111</f>
        <v>339.79166666666669</v>
      </c>
      <c r="R111" s="40"/>
    </row>
    <row r="112" spans="2:18" ht="19.95" customHeight="1" x14ac:dyDescent="0.25">
      <c r="B112" s="6">
        <f>B111+1</f>
        <v>44775</v>
      </c>
      <c r="C112" s="1" t="str">
        <f>TEXT(B112,"dddd")</f>
        <v>Tuesday</v>
      </c>
      <c r="D112" s="4">
        <v>0.25</v>
      </c>
      <c r="E112" s="9">
        <v>0.33333333333333331</v>
      </c>
      <c r="F112" s="4">
        <v>0.66666666666666663</v>
      </c>
      <c r="G112" s="9">
        <f t="shared" si="86"/>
        <v>9.6666666666666661</v>
      </c>
      <c r="H112" s="40">
        <f t="shared" si="87"/>
        <v>338.33333333333331</v>
      </c>
      <c r="I112" s="42"/>
      <c r="K112" s="6">
        <f t="shared" ref="K112:K114" si="89">K111+1</f>
        <v>44806</v>
      </c>
      <c r="L112" s="1" t="str">
        <f t="shared" ref="L112:L114" si="90">TEXT(K112,"dddd")</f>
        <v>Friday</v>
      </c>
      <c r="M112" s="4">
        <v>0.29166666666666669</v>
      </c>
      <c r="N112" s="9">
        <v>0.33333333333333331</v>
      </c>
      <c r="O112" s="4">
        <v>0.71875</v>
      </c>
      <c r="P112" s="9">
        <f>((O112-M112)*24)-N112</f>
        <v>9.9166666666666661</v>
      </c>
      <c r="Q112" s="40">
        <f t="shared" si="88"/>
        <v>347.08333333333331</v>
      </c>
      <c r="R112" s="42"/>
    </row>
    <row r="113" spans="2:18" ht="19.95" customHeight="1" x14ac:dyDescent="0.25">
      <c r="B113" s="6">
        <f>B112+1</f>
        <v>44776</v>
      </c>
      <c r="C113" s="1" t="str">
        <f>TEXT(B113,"dddd")</f>
        <v>Wednesday</v>
      </c>
      <c r="D113" s="2">
        <v>0.25</v>
      </c>
      <c r="E113" s="9">
        <v>0.29166666666666669</v>
      </c>
      <c r="F113" s="2">
        <v>0.66666666666666663</v>
      </c>
      <c r="G113" s="9">
        <f>((F113-D113)*24)-E113</f>
        <v>9.7083333333333339</v>
      </c>
      <c r="H113" s="40">
        <f t="shared" si="87"/>
        <v>339.79166666666669</v>
      </c>
      <c r="I113" s="40"/>
      <c r="K113" s="6">
        <f t="shared" si="89"/>
        <v>44807</v>
      </c>
      <c r="L113" s="1" t="str">
        <f t="shared" si="90"/>
        <v>Saturday</v>
      </c>
      <c r="M113" s="4">
        <v>0.25</v>
      </c>
      <c r="N113" s="9">
        <v>0.33333333333333331</v>
      </c>
      <c r="O113" s="4">
        <v>0.66666666666666663</v>
      </c>
      <c r="P113" s="9">
        <f t="shared" ref="P113:P114" si="91">((O113-M113)*24)-N113</f>
        <v>9.6666666666666661</v>
      </c>
      <c r="Q113" s="40">
        <f t="shared" si="88"/>
        <v>338.33333333333331</v>
      </c>
      <c r="R113" s="42"/>
    </row>
    <row r="114" spans="2:18" ht="19.95" customHeight="1" x14ac:dyDescent="0.25">
      <c r="B114" s="6">
        <f>B113+1</f>
        <v>44777</v>
      </c>
      <c r="C114" s="1" t="str">
        <f>TEXT(B114,"dddd")</f>
        <v>Thursday</v>
      </c>
      <c r="D114" s="2">
        <v>0.25</v>
      </c>
      <c r="E114" s="9">
        <v>0.29166666666666669</v>
      </c>
      <c r="F114" s="2">
        <v>0.66666666666666663</v>
      </c>
      <c r="G114" s="9">
        <f>((F114-D114)*24)-E114</f>
        <v>9.7083333333333339</v>
      </c>
      <c r="H114" s="40">
        <f t="shared" ref="H114" si="92">$C$4*G114</f>
        <v>339.79166666666669</v>
      </c>
      <c r="I114" s="40"/>
      <c r="K114" s="6">
        <f t="shared" si="89"/>
        <v>44808</v>
      </c>
      <c r="L114" s="1" t="str">
        <f t="shared" si="90"/>
        <v>Sunday</v>
      </c>
      <c r="M114" s="4">
        <v>0.375</v>
      </c>
      <c r="N114" s="9">
        <v>0.33333333333333331</v>
      </c>
      <c r="O114" s="4">
        <v>0.74305555555555547</v>
      </c>
      <c r="P114" s="9">
        <f t="shared" si="91"/>
        <v>8.4999999999999982</v>
      </c>
      <c r="Q114" s="40">
        <f t="shared" si="88"/>
        <v>297.49999999999994</v>
      </c>
      <c r="R114" s="42"/>
    </row>
    <row r="115" spans="2:18" ht="19.95" customHeight="1" x14ac:dyDescent="0.25">
      <c r="B115" s="6">
        <f t="shared" ref="B115:B117" si="93">B114+1</f>
        <v>44778</v>
      </c>
      <c r="C115" s="1" t="str">
        <f t="shared" ref="C115:C117" si="94">TEXT(B115,"dddd")</f>
        <v>Friday</v>
      </c>
      <c r="D115" s="2">
        <v>0.25</v>
      </c>
      <c r="E115" s="9">
        <v>0.29166666666666669</v>
      </c>
      <c r="F115" s="2">
        <v>0.66666666666666663</v>
      </c>
      <c r="G115" s="9">
        <f t="shared" ref="G115:G117" si="95">((F115-D115)*24)-E115</f>
        <v>9.7083333333333339</v>
      </c>
      <c r="H115" s="40">
        <f t="shared" ref="H115:H117" si="96">$C$4*G115</f>
        <v>339.79166666666669</v>
      </c>
      <c r="I115" s="40"/>
      <c r="K115" s="20"/>
      <c r="L115" s="20"/>
      <c r="M115" s="20"/>
      <c r="N115" s="20"/>
      <c r="O115" s="20"/>
      <c r="P115" s="20"/>
      <c r="Q115" s="47"/>
      <c r="R115" s="47"/>
    </row>
    <row r="116" spans="2:18" ht="19.95" customHeight="1" x14ac:dyDescent="0.25">
      <c r="B116" s="6">
        <f t="shared" si="93"/>
        <v>44779</v>
      </c>
      <c r="C116" s="1" t="str">
        <f t="shared" si="94"/>
        <v>Saturday</v>
      </c>
      <c r="D116" s="2">
        <v>0.25</v>
      </c>
      <c r="E116" s="9">
        <v>0.29166666666666669</v>
      </c>
      <c r="F116" s="2">
        <v>0.66666666666666663</v>
      </c>
      <c r="G116" s="9">
        <f t="shared" si="95"/>
        <v>9.7083333333333339</v>
      </c>
      <c r="H116" s="40">
        <f t="shared" si="96"/>
        <v>339.79166666666669</v>
      </c>
      <c r="I116" s="40"/>
      <c r="K116" s="20"/>
      <c r="L116" s="20"/>
      <c r="M116" s="20"/>
      <c r="N116" s="20"/>
      <c r="O116" s="20"/>
      <c r="P116" s="20"/>
      <c r="Q116" s="47"/>
      <c r="R116" s="47"/>
    </row>
    <row r="117" spans="2:18" ht="19.95" customHeight="1" x14ac:dyDescent="0.25">
      <c r="B117" s="6">
        <f t="shared" si="93"/>
        <v>44780</v>
      </c>
      <c r="C117" s="1" t="str">
        <f t="shared" si="94"/>
        <v>Sunday</v>
      </c>
      <c r="D117" s="2">
        <v>0.25</v>
      </c>
      <c r="E117" s="9">
        <v>0.29166666666666669</v>
      </c>
      <c r="F117" s="2">
        <v>0.66666666666666663</v>
      </c>
      <c r="G117" s="9">
        <f t="shared" si="95"/>
        <v>9.7083333333333339</v>
      </c>
      <c r="H117" s="40">
        <f t="shared" si="96"/>
        <v>339.79166666666669</v>
      </c>
      <c r="I117" s="40"/>
      <c r="K117" s="20"/>
      <c r="L117" s="20"/>
      <c r="M117" s="20"/>
      <c r="N117" s="20"/>
      <c r="O117" s="20"/>
      <c r="P117" s="20"/>
      <c r="Q117" s="47"/>
      <c r="R117" s="47"/>
    </row>
    <row r="118" spans="2:18" ht="19.95" customHeight="1" x14ac:dyDescent="0.25">
      <c r="B118" s="31" t="s">
        <v>7</v>
      </c>
      <c r="C118" s="32"/>
      <c r="D118" s="32"/>
      <c r="E118" s="32"/>
      <c r="F118" s="33"/>
      <c r="G118" s="19">
        <f>SUM(G111:G117)</f>
        <v>67.875</v>
      </c>
      <c r="H118" s="43">
        <f>SUM(H111:H117)</f>
        <v>2375.625</v>
      </c>
      <c r="I118" s="40"/>
      <c r="K118" s="31" t="s">
        <v>7</v>
      </c>
      <c r="L118" s="32"/>
      <c r="M118" s="32"/>
      <c r="N118" s="32"/>
      <c r="O118" s="33"/>
      <c r="P118" s="19">
        <f>SUM(P111:P117)</f>
        <v>37.791666666666664</v>
      </c>
      <c r="Q118" s="43">
        <f>SUM(Q111:Q117)</f>
        <v>1322.7083333333333</v>
      </c>
      <c r="R118" s="40"/>
    </row>
    <row r="119" spans="2:18" ht="24.6" x14ac:dyDescent="0.25">
      <c r="B119" s="34" t="s">
        <v>8</v>
      </c>
      <c r="C119" s="34"/>
      <c r="D119" s="34"/>
      <c r="E119" s="34"/>
      <c r="F119" s="34"/>
      <c r="G119" s="34"/>
      <c r="H119" s="44" t="s">
        <v>46</v>
      </c>
      <c r="I119" s="45"/>
      <c r="K119" s="24" t="s">
        <v>8</v>
      </c>
      <c r="L119" s="26"/>
      <c r="M119" s="26"/>
      <c r="N119" s="26"/>
      <c r="O119" s="26"/>
      <c r="P119" s="25"/>
      <c r="Q119" s="44" t="s">
        <v>48</v>
      </c>
      <c r="R119" s="45"/>
    </row>
    <row r="120" spans="2:18" ht="19.95" customHeight="1" x14ac:dyDescent="0.25">
      <c r="B120" s="17" t="s">
        <v>89</v>
      </c>
      <c r="C120" s="17" t="s">
        <v>90</v>
      </c>
      <c r="D120" s="17" t="s">
        <v>2</v>
      </c>
      <c r="E120" s="18" t="s">
        <v>4</v>
      </c>
      <c r="F120" s="17" t="s">
        <v>3</v>
      </c>
      <c r="G120" s="17" t="s">
        <v>91</v>
      </c>
      <c r="H120" s="46" t="s">
        <v>92</v>
      </c>
      <c r="I120" s="46" t="s">
        <v>5</v>
      </c>
      <c r="K120" s="17" t="s">
        <v>89</v>
      </c>
      <c r="L120" s="17" t="s">
        <v>90</v>
      </c>
      <c r="M120" s="17" t="s">
        <v>2</v>
      </c>
      <c r="N120" s="18" t="s">
        <v>4</v>
      </c>
      <c r="O120" s="17" t="s">
        <v>3</v>
      </c>
      <c r="P120" s="17" t="s">
        <v>91</v>
      </c>
      <c r="Q120" s="46" t="s">
        <v>92</v>
      </c>
      <c r="R120" s="46" t="s">
        <v>5</v>
      </c>
    </row>
    <row r="121" spans="2:18" ht="19.95" customHeight="1" x14ac:dyDescent="0.25">
      <c r="B121" s="5">
        <f>B117+1</f>
        <v>44781</v>
      </c>
      <c r="C121" s="1" t="str">
        <f t="shared" ref="C121:C127" si="97">TEXT(B121,"dddd")</f>
        <v>Monday</v>
      </c>
      <c r="D121" s="2">
        <v>0.375</v>
      </c>
      <c r="E121" s="9">
        <v>0.33333333333333331</v>
      </c>
      <c r="F121" s="2">
        <v>0.74305555555555547</v>
      </c>
      <c r="G121" s="9">
        <f>((F121-D121)*24)-E121</f>
        <v>8.4999999999999982</v>
      </c>
      <c r="H121" s="40">
        <f>$C$4*G121</f>
        <v>297.49999999999994</v>
      </c>
      <c r="I121" s="40"/>
      <c r="K121" s="6">
        <f>K114+1</f>
        <v>44809</v>
      </c>
      <c r="L121" s="1" t="str">
        <f t="shared" ref="L121:L127" si="98">TEXT(K121,"dddd")</f>
        <v>Monday</v>
      </c>
      <c r="M121" s="4">
        <v>0.41666666666666669</v>
      </c>
      <c r="N121" s="9">
        <v>0.45833333333333331</v>
      </c>
      <c r="O121" s="4">
        <v>0.66666666666666663</v>
      </c>
      <c r="P121" s="9">
        <f t="shared" ref="P121:P127" si="99">((O121-M121)*24)-N121</f>
        <v>5.5416666666666652</v>
      </c>
      <c r="Q121" s="40">
        <f t="shared" ref="Q121:Q127" si="100">$C$4*P121</f>
        <v>193.95833333333329</v>
      </c>
      <c r="R121" s="42"/>
    </row>
    <row r="122" spans="2:18" ht="19.95" customHeight="1" x14ac:dyDescent="0.25">
      <c r="B122" s="6">
        <f>B121+1</f>
        <v>44782</v>
      </c>
      <c r="C122" s="1" t="str">
        <f t="shared" si="97"/>
        <v>Tuesday</v>
      </c>
      <c r="D122" s="4">
        <v>0.41666666666666669</v>
      </c>
      <c r="E122" s="9">
        <v>0.45833333333333331</v>
      </c>
      <c r="F122" s="4">
        <v>0.66666666666666663</v>
      </c>
      <c r="G122" s="9">
        <f>((F122-D122)*24)-E122</f>
        <v>5.5416666666666652</v>
      </c>
      <c r="H122" s="40">
        <f>$C$4*G122</f>
        <v>193.95833333333329</v>
      </c>
      <c r="I122" s="42"/>
      <c r="K122" s="6">
        <f t="shared" ref="K122:K127" si="101">K121+1</f>
        <v>44810</v>
      </c>
      <c r="L122" s="1" t="str">
        <f t="shared" si="98"/>
        <v>Tuesday</v>
      </c>
      <c r="M122" s="4">
        <v>0.35416666666666669</v>
      </c>
      <c r="N122" s="9">
        <v>0.45833333333333331</v>
      </c>
      <c r="O122" s="4">
        <v>0.75</v>
      </c>
      <c r="P122" s="9">
        <f t="shared" si="99"/>
        <v>9.0416666666666661</v>
      </c>
      <c r="Q122" s="40">
        <f t="shared" si="100"/>
        <v>316.45833333333331</v>
      </c>
      <c r="R122" s="42"/>
    </row>
    <row r="123" spans="2:18" ht="19.95" customHeight="1" x14ac:dyDescent="0.25">
      <c r="B123" s="6">
        <f>B122+1</f>
        <v>44783</v>
      </c>
      <c r="C123" s="1" t="str">
        <f t="shared" si="97"/>
        <v>Wednesday</v>
      </c>
      <c r="D123" s="4">
        <v>0.35416666666666669</v>
      </c>
      <c r="E123" s="9">
        <v>0.45833333333333331</v>
      </c>
      <c r="F123" s="4">
        <v>0.75</v>
      </c>
      <c r="G123" s="9">
        <f>((F123-D123)*24)-E123</f>
        <v>9.0416666666666661</v>
      </c>
      <c r="H123" s="40">
        <f>$C$4*G123</f>
        <v>316.45833333333331</v>
      </c>
      <c r="I123" s="42"/>
      <c r="K123" s="6">
        <f t="shared" si="101"/>
        <v>44811</v>
      </c>
      <c r="L123" s="1" t="str">
        <f t="shared" si="98"/>
        <v>Wednesday</v>
      </c>
      <c r="M123" s="4">
        <v>0.27083333333333331</v>
      </c>
      <c r="N123" s="9">
        <v>0.33333333333333331</v>
      </c>
      <c r="O123" s="4">
        <v>0.91666666666666663</v>
      </c>
      <c r="P123" s="9">
        <f t="shared" si="99"/>
        <v>15.166666666666664</v>
      </c>
      <c r="Q123" s="40">
        <f t="shared" si="100"/>
        <v>530.83333333333326</v>
      </c>
      <c r="R123" s="42"/>
    </row>
    <row r="124" spans="2:18" ht="19.95" customHeight="1" x14ac:dyDescent="0.25">
      <c r="B124" s="6">
        <f>B123+1</f>
        <v>44784</v>
      </c>
      <c r="C124" s="1" t="str">
        <f t="shared" si="97"/>
        <v>Thursday</v>
      </c>
      <c r="D124" s="4">
        <v>0.27083333333333331</v>
      </c>
      <c r="E124" s="9">
        <v>0.33333333333333331</v>
      </c>
      <c r="F124" s="4">
        <v>0.91666666666666663</v>
      </c>
      <c r="G124" s="9">
        <f>((F124-D124)*24)-E124</f>
        <v>15.166666666666664</v>
      </c>
      <c r="H124" s="40">
        <f>$C$4*G124</f>
        <v>530.83333333333326</v>
      </c>
      <c r="I124" s="42"/>
      <c r="K124" s="6">
        <f t="shared" si="101"/>
        <v>44812</v>
      </c>
      <c r="L124" s="1" t="str">
        <f t="shared" si="98"/>
        <v>Thursday</v>
      </c>
      <c r="M124" s="4">
        <v>0.27083333333333331</v>
      </c>
      <c r="N124" s="9">
        <v>0.33333333333333331</v>
      </c>
      <c r="O124" s="4">
        <v>0.91666666666666663</v>
      </c>
      <c r="P124" s="9">
        <f t="shared" si="99"/>
        <v>15.166666666666664</v>
      </c>
      <c r="Q124" s="40">
        <f t="shared" si="100"/>
        <v>530.83333333333326</v>
      </c>
      <c r="R124" s="42"/>
    </row>
    <row r="125" spans="2:18" ht="19.95" customHeight="1" x14ac:dyDescent="0.25">
      <c r="B125" s="6">
        <f>B124+1</f>
        <v>44785</v>
      </c>
      <c r="C125" s="1" t="str">
        <f t="shared" si="97"/>
        <v>Friday</v>
      </c>
      <c r="D125" s="4">
        <v>0.27083333333333331</v>
      </c>
      <c r="E125" s="9">
        <v>0.33333333333333331</v>
      </c>
      <c r="F125" s="4">
        <v>0.91666666666666663</v>
      </c>
      <c r="G125" s="9">
        <f>((F125-D125)*24)-E125</f>
        <v>15.166666666666664</v>
      </c>
      <c r="H125" s="40">
        <f>$C$4*G125</f>
        <v>530.83333333333326</v>
      </c>
      <c r="I125" s="42"/>
      <c r="K125" s="5">
        <f t="shared" si="101"/>
        <v>44813</v>
      </c>
      <c r="L125" s="1" t="str">
        <f t="shared" si="98"/>
        <v>Friday</v>
      </c>
      <c r="M125" s="2">
        <v>0.25</v>
      </c>
      <c r="N125" s="9">
        <v>0.29166666666666669</v>
      </c>
      <c r="O125" s="2">
        <v>0.66666666666666663</v>
      </c>
      <c r="P125" s="9">
        <f t="shared" si="99"/>
        <v>9.7083333333333339</v>
      </c>
      <c r="Q125" s="40">
        <f t="shared" si="100"/>
        <v>339.79166666666669</v>
      </c>
      <c r="R125" s="40"/>
    </row>
    <row r="126" spans="2:18" ht="19.95" customHeight="1" x14ac:dyDescent="0.25">
      <c r="B126" s="5">
        <f>B125+1</f>
        <v>44786</v>
      </c>
      <c r="C126" s="1" t="str">
        <f t="shared" si="97"/>
        <v>Saturday</v>
      </c>
      <c r="D126" s="2">
        <v>0.25</v>
      </c>
      <c r="E126" s="9">
        <v>0.29166666666666669</v>
      </c>
      <c r="F126" s="2">
        <v>0.66666666666666663</v>
      </c>
      <c r="G126" s="9">
        <f t="shared" ref="G126:G127" si="102">((F126-D126)*24)-E126</f>
        <v>9.7083333333333339</v>
      </c>
      <c r="H126" s="40">
        <f t="shared" ref="H126:H127" si="103">$C$4*G126</f>
        <v>339.79166666666669</v>
      </c>
      <c r="I126" s="40"/>
      <c r="K126" s="6">
        <f t="shared" si="101"/>
        <v>44814</v>
      </c>
      <c r="L126" s="1" t="str">
        <f t="shared" si="98"/>
        <v>Saturday</v>
      </c>
      <c r="M126" s="4">
        <v>0.29166666666666669</v>
      </c>
      <c r="N126" s="9">
        <v>0.33333333333333331</v>
      </c>
      <c r="O126" s="4">
        <v>0.71875</v>
      </c>
      <c r="P126" s="9">
        <f t="shared" si="99"/>
        <v>9.9166666666666661</v>
      </c>
      <c r="Q126" s="40">
        <f t="shared" si="100"/>
        <v>347.08333333333331</v>
      </c>
      <c r="R126" s="42"/>
    </row>
    <row r="127" spans="2:18" ht="19.95" customHeight="1" x14ac:dyDescent="0.25">
      <c r="B127" s="6">
        <f t="shared" ref="B127" si="104">B126+1</f>
        <v>44787</v>
      </c>
      <c r="C127" s="1" t="str">
        <f t="shared" si="97"/>
        <v>Sunday</v>
      </c>
      <c r="D127" s="4">
        <v>0.29166666666666669</v>
      </c>
      <c r="E127" s="9">
        <v>0.33333333333333331</v>
      </c>
      <c r="F127" s="4">
        <v>0.71875</v>
      </c>
      <c r="G127" s="9">
        <f t="shared" si="102"/>
        <v>9.9166666666666661</v>
      </c>
      <c r="H127" s="40">
        <f t="shared" si="103"/>
        <v>347.08333333333331</v>
      </c>
      <c r="I127" s="42"/>
      <c r="K127" s="6">
        <f t="shared" si="101"/>
        <v>44815</v>
      </c>
      <c r="L127" s="1" t="str">
        <f t="shared" si="98"/>
        <v>Sunday</v>
      </c>
      <c r="M127" s="4">
        <v>0.25</v>
      </c>
      <c r="N127" s="9">
        <v>0.33333333333333331</v>
      </c>
      <c r="O127" s="4">
        <v>0.66666666666666663</v>
      </c>
      <c r="P127" s="9">
        <f t="shared" si="99"/>
        <v>9.6666666666666661</v>
      </c>
      <c r="Q127" s="40">
        <f t="shared" si="100"/>
        <v>338.33333333333331</v>
      </c>
      <c r="R127" s="42"/>
    </row>
    <row r="128" spans="2:18" ht="19.95" customHeight="1" x14ac:dyDescent="0.25">
      <c r="B128" s="31" t="s">
        <v>7</v>
      </c>
      <c r="C128" s="32"/>
      <c r="D128" s="32"/>
      <c r="E128" s="32"/>
      <c r="F128" s="33"/>
      <c r="G128" s="12">
        <f>SUM(G121:G127)</f>
        <v>73.041666666666657</v>
      </c>
      <c r="H128" s="43">
        <f>SUM(H121:H127)</f>
        <v>2556.458333333333</v>
      </c>
      <c r="I128" s="40"/>
      <c r="K128" s="30" t="s">
        <v>7</v>
      </c>
      <c r="L128" s="30"/>
      <c r="M128" s="30"/>
      <c r="N128" s="30"/>
      <c r="O128" s="30"/>
      <c r="P128" s="12">
        <f>SUM(P121:P127)</f>
        <v>74.208333333333329</v>
      </c>
      <c r="Q128" s="43">
        <f>SUM(Q121:Q127)</f>
        <v>2597.291666666667</v>
      </c>
      <c r="R128" s="42"/>
    </row>
    <row r="129" spans="2:18" ht="24.6" x14ac:dyDescent="0.25">
      <c r="B129" s="24" t="s">
        <v>9</v>
      </c>
      <c r="C129" s="26"/>
      <c r="D129" s="26"/>
      <c r="E129" s="26"/>
      <c r="F129" s="26"/>
      <c r="G129" s="25"/>
      <c r="H129" s="44" t="s">
        <v>45</v>
      </c>
      <c r="I129" s="45"/>
      <c r="K129" s="24" t="s">
        <v>9</v>
      </c>
      <c r="L129" s="26"/>
      <c r="M129" s="26"/>
      <c r="N129" s="26"/>
      <c r="O129" s="26"/>
      <c r="P129" s="25"/>
      <c r="Q129" s="44" t="s">
        <v>49</v>
      </c>
      <c r="R129" s="45"/>
    </row>
    <row r="130" spans="2:18" ht="19.95" customHeight="1" x14ac:dyDescent="0.25">
      <c r="B130" s="17" t="s">
        <v>89</v>
      </c>
      <c r="C130" s="17" t="s">
        <v>90</v>
      </c>
      <c r="D130" s="17" t="s">
        <v>2</v>
      </c>
      <c r="E130" s="18" t="s">
        <v>4</v>
      </c>
      <c r="F130" s="17" t="s">
        <v>3</v>
      </c>
      <c r="G130" s="17" t="s">
        <v>91</v>
      </c>
      <c r="H130" s="46" t="s">
        <v>92</v>
      </c>
      <c r="I130" s="46" t="s">
        <v>5</v>
      </c>
      <c r="K130" s="17" t="s">
        <v>89</v>
      </c>
      <c r="L130" s="17" t="s">
        <v>90</v>
      </c>
      <c r="M130" s="17" t="s">
        <v>2</v>
      </c>
      <c r="N130" s="18" t="s">
        <v>4</v>
      </c>
      <c r="O130" s="17" t="s">
        <v>3</v>
      </c>
      <c r="P130" s="17" t="s">
        <v>91</v>
      </c>
      <c r="Q130" s="46" t="s">
        <v>92</v>
      </c>
      <c r="R130" s="46" t="s">
        <v>5</v>
      </c>
    </row>
    <row r="131" spans="2:18" ht="19.95" customHeight="1" x14ac:dyDescent="0.25">
      <c r="B131" s="6">
        <f>B127+1</f>
        <v>44788</v>
      </c>
      <c r="C131" s="1" t="str">
        <f t="shared" ref="C131:C137" si="105">TEXT(B131,"dddd")</f>
        <v>Monday</v>
      </c>
      <c r="D131" s="4">
        <v>0.25</v>
      </c>
      <c r="E131" s="9">
        <v>0.33333333333333331</v>
      </c>
      <c r="F131" s="4">
        <v>0.66666666666666663</v>
      </c>
      <c r="G131" s="9">
        <f t="shared" ref="G131:G137" si="106">((F131-D131)*24)-E131</f>
        <v>9.6666666666666661</v>
      </c>
      <c r="H131" s="40">
        <f t="shared" ref="H131:H137" si="107">$C$4*G131</f>
        <v>338.33333333333331</v>
      </c>
      <c r="I131" s="42"/>
      <c r="K131" s="6">
        <f>K127+1</f>
        <v>44816</v>
      </c>
      <c r="L131" s="1" t="str">
        <f t="shared" ref="L131:L137" si="108">TEXT(K131,"dddd")</f>
        <v>Monday</v>
      </c>
      <c r="M131" s="4">
        <v>0.375</v>
      </c>
      <c r="N131" s="9">
        <v>0.33333333333333331</v>
      </c>
      <c r="O131" s="4">
        <v>0.74305555555555547</v>
      </c>
      <c r="P131" s="9">
        <f t="shared" ref="P131:P137" si="109">((O131-M131)*24)-N131</f>
        <v>8.4999999999999982</v>
      </c>
      <c r="Q131" s="40">
        <f t="shared" ref="Q131:Q137" si="110">$C$4*P131</f>
        <v>297.49999999999994</v>
      </c>
      <c r="R131" s="42"/>
    </row>
    <row r="132" spans="2:18" ht="19.95" customHeight="1" x14ac:dyDescent="0.25">
      <c r="B132" s="6">
        <f t="shared" ref="B132:B137" si="111">B131+1</f>
        <v>44789</v>
      </c>
      <c r="C132" s="1" t="str">
        <f t="shared" si="105"/>
        <v>Tuesday</v>
      </c>
      <c r="D132" s="4">
        <v>0.375</v>
      </c>
      <c r="E132" s="9">
        <v>0.33333333333333331</v>
      </c>
      <c r="F132" s="4">
        <v>0.74305555555555547</v>
      </c>
      <c r="G132" s="9">
        <f t="shared" si="106"/>
        <v>8.4999999999999982</v>
      </c>
      <c r="H132" s="40">
        <f t="shared" si="107"/>
        <v>297.49999999999994</v>
      </c>
      <c r="I132" s="42"/>
      <c r="K132" s="6">
        <f t="shared" ref="K132:K137" si="112">K131+1</f>
        <v>44817</v>
      </c>
      <c r="L132" s="1" t="str">
        <f t="shared" si="108"/>
        <v>Tuesday</v>
      </c>
      <c r="M132" s="4">
        <v>0.41666666666666669</v>
      </c>
      <c r="N132" s="9">
        <v>0.45833333333333331</v>
      </c>
      <c r="O132" s="4">
        <v>0.66666666666666663</v>
      </c>
      <c r="P132" s="9">
        <f t="shared" si="109"/>
        <v>5.5416666666666652</v>
      </c>
      <c r="Q132" s="40">
        <f t="shared" si="110"/>
        <v>193.95833333333329</v>
      </c>
      <c r="R132" s="42"/>
    </row>
    <row r="133" spans="2:18" ht="19.95" customHeight="1" x14ac:dyDescent="0.25">
      <c r="B133" s="6">
        <f t="shared" si="111"/>
        <v>44790</v>
      </c>
      <c r="C133" s="1" t="str">
        <f t="shared" si="105"/>
        <v>Wednesday</v>
      </c>
      <c r="D133" s="4">
        <v>0.41666666666666669</v>
      </c>
      <c r="E133" s="9">
        <v>0.45833333333333331</v>
      </c>
      <c r="F133" s="4">
        <v>0.66666666666666663</v>
      </c>
      <c r="G133" s="9">
        <f t="shared" si="106"/>
        <v>5.5416666666666652</v>
      </c>
      <c r="H133" s="40">
        <f t="shared" si="107"/>
        <v>193.95833333333329</v>
      </c>
      <c r="I133" s="42"/>
      <c r="K133" s="6">
        <f t="shared" si="112"/>
        <v>44818</v>
      </c>
      <c r="L133" s="1" t="str">
        <f t="shared" si="108"/>
        <v>Wednesday</v>
      </c>
      <c r="M133" s="4">
        <v>0.35416666666666669</v>
      </c>
      <c r="N133" s="9">
        <v>0.45833333333333331</v>
      </c>
      <c r="O133" s="4">
        <v>0.75</v>
      </c>
      <c r="P133" s="9">
        <f t="shared" si="109"/>
        <v>9.0416666666666661</v>
      </c>
      <c r="Q133" s="40">
        <f t="shared" si="110"/>
        <v>316.45833333333331</v>
      </c>
      <c r="R133" s="42"/>
    </row>
    <row r="134" spans="2:18" ht="19.95" customHeight="1" x14ac:dyDescent="0.25">
      <c r="B134" s="6">
        <f t="shared" si="111"/>
        <v>44791</v>
      </c>
      <c r="C134" s="1" t="str">
        <f t="shared" si="105"/>
        <v>Thursday</v>
      </c>
      <c r="D134" s="4">
        <v>0.35416666666666669</v>
      </c>
      <c r="E134" s="9">
        <v>0.45833333333333331</v>
      </c>
      <c r="F134" s="4">
        <v>0.75</v>
      </c>
      <c r="G134" s="9">
        <f t="shared" si="106"/>
        <v>9.0416666666666661</v>
      </c>
      <c r="H134" s="40">
        <f t="shared" si="107"/>
        <v>316.45833333333331</v>
      </c>
      <c r="I134" s="42"/>
      <c r="K134" s="6">
        <f t="shared" si="112"/>
        <v>44819</v>
      </c>
      <c r="L134" s="1" t="str">
        <f t="shared" si="108"/>
        <v>Thursday</v>
      </c>
      <c r="M134" s="4">
        <v>0.27083333333333331</v>
      </c>
      <c r="N134" s="9">
        <v>0.33333333333333331</v>
      </c>
      <c r="O134" s="4">
        <v>0.91666666666666663</v>
      </c>
      <c r="P134" s="9">
        <f t="shared" si="109"/>
        <v>15.166666666666664</v>
      </c>
      <c r="Q134" s="40">
        <f t="shared" si="110"/>
        <v>530.83333333333326</v>
      </c>
      <c r="R134" s="42"/>
    </row>
    <row r="135" spans="2:18" ht="19.95" customHeight="1" x14ac:dyDescent="0.25">
      <c r="B135" s="6">
        <f t="shared" si="111"/>
        <v>44792</v>
      </c>
      <c r="C135" s="1" t="str">
        <f t="shared" si="105"/>
        <v>Friday</v>
      </c>
      <c r="D135" s="4">
        <v>0.27083333333333331</v>
      </c>
      <c r="E135" s="9">
        <v>0.33333333333333331</v>
      </c>
      <c r="F135" s="4">
        <v>0.91666666666666663</v>
      </c>
      <c r="G135" s="9">
        <f t="shared" si="106"/>
        <v>15.166666666666664</v>
      </c>
      <c r="H135" s="40">
        <f t="shared" si="107"/>
        <v>530.83333333333326</v>
      </c>
      <c r="I135" s="42"/>
      <c r="K135" s="6">
        <f t="shared" si="112"/>
        <v>44820</v>
      </c>
      <c r="L135" s="1" t="str">
        <f t="shared" si="108"/>
        <v>Friday</v>
      </c>
      <c r="M135" s="4">
        <v>0.27083333333333331</v>
      </c>
      <c r="N135" s="9">
        <v>0.33333333333333331</v>
      </c>
      <c r="O135" s="4">
        <v>0.91666666666666663</v>
      </c>
      <c r="P135" s="9">
        <f t="shared" si="109"/>
        <v>15.166666666666664</v>
      </c>
      <c r="Q135" s="40">
        <f t="shared" si="110"/>
        <v>530.83333333333326</v>
      </c>
      <c r="R135" s="42"/>
    </row>
    <row r="136" spans="2:18" ht="19.95" customHeight="1" x14ac:dyDescent="0.25">
      <c r="B136" s="6">
        <f t="shared" si="111"/>
        <v>44793</v>
      </c>
      <c r="C136" s="1" t="str">
        <f t="shared" si="105"/>
        <v>Saturday</v>
      </c>
      <c r="D136" s="4">
        <v>0.27083333333333331</v>
      </c>
      <c r="E136" s="9">
        <v>0.33333333333333331</v>
      </c>
      <c r="F136" s="4">
        <v>0.91666666666666663</v>
      </c>
      <c r="G136" s="9">
        <f t="shared" si="106"/>
        <v>15.166666666666664</v>
      </c>
      <c r="H136" s="40">
        <f t="shared" si="107"/>
        <v>530.83333333333326</v>
      </c>
      <c r="I136" s="42"/>
      <c r="K136" s="5">
        <f t="shared" si="112"/>
        <v>44821</v>
      </c>
      <c r="L136" s="1" t="str">
        <f t="shared" si="108"/>
        <v>Saturday</v>
      </c>
      <c r="M136" s="2">
        <v>0.25</v>
      </c>
      <c r="N136" s="9">
        <v>0.29166666666666669</v>
      </c>
      <c r="O136" s="2">
        <v>0.66666666666666663</v>
      </c>
      <c r="P136" s="9">
        <f t="shared" si="109"/>
        <v>9.7083333333333339</v>
      </c>
      <c r="Q136" s="40">
        <f t="shared" si="110"/>
        <v>339.79166666666669</v>
      </c>
      <c r="R136" s="40"/>
    </row>
    <row r="137" spans="2:18" ht="19.95" customHeight="1" x14ac:dyDescent="0.25">
      <c r="B137" s="5">
        <f t="shared" si="111"/>
        <v>44794</v>
      </c>
      <c r="C137" s="1" t="str">
        <f t="shared" si="105"/>
        <v>Sunday</v>
      </c>
      <c r="D137" s="2">
        <v>0.25</v>
      </c>
      <c r="E137" s="9">
        <v>0.29166666666666669</v>
      </c>
      <c r="F137" s="2">
        <v>0.66666666666666663</v>
      </c>
      <c r="G137" s="9">
        <f t="shared" si="106"/>
        <v>9.7083333333333339</v>
      </c>
      <c r="H137" s="40">
        <f t="shared" si="107"/>
        <v>339.79166666666669</v>
      </c>
      <c r="I137" s="40"/>
      <c r="K137" s="6">
        <f t="shared" si="112"/>
        <v>44822</v>
      </c>
      <c r="L137" s="1" t="str">
        <f t="shared" si="108"/>
        <v>Sunday</v>
      </c>
      <c r="M137" s="4">
        <v>0.29166666666666669</v>
      </c>
      <c r="N137" s="9">
        <v>0.33333333333333331</v>
      </c>
      <c r="O137" s="4">
        <v>0.71875</v>
      </c>
      <c r="P137" s="9">
        <f t="shared" si="109"/>
        <v>9.9166666666666661</v>
      </c>
      <c r="Q137" s="40">
        <f t="shared" si="110"/>
        <v>347.08333333333331</v>
      </c>
      <c r="R137" s="42"/>
    </row>
    <row r="138" spans="2:18" ht="19.95" customHeight="1" x14ac:dyDescent="0.25">
      <c r="B138" s="27" t="s">
        <v>7</v>
      </c>
      <c r="C138" s="28"/>
      <c r="D138" s="28"/>
      <c r="E138" s="28"/>
      <c r="F138" s="29"/>
      <c r="G138" s="12">
        <f>SUM(G131:G137)</f>
        <v>72.791666666666657</v>
      </c>
      <c r="H138" s="43">
        <f>SUM(H131:H137)</f>
        <v>2547.7083333333326</v>
      </c>
      <c r="I138" s="40"/>
      <c r="K138" s="27" t="s">
        <v>7</v>
      </c>
      <c r="L138" s="28"/>
      <c r="M138" s="28"/>
      <c r="N138" s="28"/>
      <c r="O138" s="29"/>
      <c r="P138" s="12">
        <f>SUM(P131:P137)</f>
        <v>73.041666666666657</v>
      </c>
      <c r="Q138" s="43">
        <f>SUM(Q131:Q137)</f>
        <v>2556.458333333333</v>
      </c>
      <c r="R138" s="40"/>
    </row>
    <row r="139" spans="2:18" ht="24.6" x14ac:dyDescent="0.25">
      <c r="B139" s="24" t="s">
        <v>10</v>
      </c>
      <c r="C139" s="26"/>
      <c r="D139" s="26"/>
      <c r="E139" s="26"/>
      <c r="F139" s="26"/>
      <c r="G139" s="25"/>
      <c r="H139" s="44" t="s">
        <v>44</v>
      </c>
      <c r="I139" s="45"/>
      <c r="K139" s="24" t="s">
        <v>10</v>
      </c>
      <c r="L139" s="26"/>
      <c r="M139" s="26"/>
      <c r="N139" s="26"/>
      <c r="O139" s="26"/>
      <c r="P139" s="25"/>
      <c r="Q139" s="44" t="s">
        <v>50</v>
      </c>
      <c r="R139" s="45"/>
    </row>
    <row r="140" spans="2:18" ht="19.95" customHeight="1" x14ac:dyDescent="0.25">
      <c r="B140" s="17" t="s">
        <v>89</v>
      </c>
      <c r="C140" s="17" t="s">
        <v>90</v>
      </c>
      <c r="D140" s="17" t="s">
        <v>2</v>
      </c>
      <c r="E140" s="18" t="s">
        <v>4</v>
      </c>
      <c r="F140" s="17" t="s">
        <v>3</v>
      </c>
      <c r="G140" s="17" t="s">
        <v>91</v>
      </c>
      <c r="H140" s="46" t="s">
        <v>92</v>
      </c>
      <c r="I140" s="46" t="s">
        <v>5</v>
      </c>
      <c r="K140" s="17" t="s">
        <v>89</v>
      </c>
      <c r="L140" s="17" t="s">
        <v>90</v>
      </c>
      <c r="M140" s="17" t="s">
        <v>2</v>
      </c>
      <c r="N140" s="18" t="s">
        <v>4</v>
      </c>
      <c r="O140" s="17" t="s">
        <v>3</v>
      </c>
      <c r="P140" s="17" t="s">
        <v>91</v>
      </c>
      <c r="Q140" s="46" t="s">
        <v>92</v>
      </c>
      <c r="R140" s="46" t="s">
        <v>5</v>
      </c>
    </row>
    <row r="141" spans="2:18" ht="19.95" customHeight="1" x14ac:dyDescent="0.25">
      <c r="B141" s="6">
        <f>B137+1</f>
        <v>44795</v>
      </c>
      <c r="C141" s="1" t="str">
        <f t="shared" ref="C141:C147" si="113">TEXT(B141,"dddd")</f>
        <v>Monday</v>
      </c>
      <c r="D141" s="4">
        <v>0.29166666666666669</v>
      </c>
      <c r="E141" s="9">
        <v>0.33333333333333331</v>
      </c>
      <c r="F141" s="4">
        <v>0.71875</v>
      </c>
      <c r="G141" s="9">
        <f t="shared" ref="G141:G147" si="114">((F141-D141)*24)-E141</f>
        <v>9.9166666666666661</v>
      </c>
      <c r="H141" s="40">
        <f t="shared" ref="H141:H147" si="115">$C$4*G141</f>
        <v>347.08333333333331</v>
      </c>
      <c r="I141" s="42"/>
      <c r="K141" s="6">
        <f>K137+1</f>
        <v>44823</v>
      </c>
      <c r="L141" s="1" t="str">
        <f t="shared" ref="L141:L147" si="116">TEXT(K141,"dddd")</f>
        <v>Monday</v>
      </c>
      <c r="M141" s="4">
        <v>0.25</v>
      </c>
      <c r="N141" s="9">
        <v>0.33333333333333331</v>
      </c>
      <c r="O141" s="4">
        <v>0.66666666666666663</v>
      </c>
      <c r="P141" s="9">
        <f t="shared" ref="P141:P147" si="117">((O141-M141)*24)-N141</f>
        <v>9.6666666666666661</v>
      </c>
      <c r="Q141" s="40">
        <f t="shared" ref="Q141:Q147" si="118">$C$4*P141</f>
        <v>338.33333333333331</v>
      </c>
      <c r="R141" s="42"/>
    </row>
    <row r="142" spans="2:18" ht="19.95" customHeight="1" x14ac:dyDescent="0.25">
      <c r="B142" s="6">
        <f t="shared" ref="B142:B147" si="119">B141+1</f>
        <v>44796</v>
      </c>
      <c r="C142" s="1" t="str">
        <f t="shared" si="113"/>
        <v>Tuesday</v>
      </c>
      <c r="D142" s="4">
        <v>0.25</v>
      </c>
      <c r="E142" s="9">
        <v>0.33333333333333331</v>
      </c>
      <c r="F142" s="4">
        <v>0.66666666666666663</v>
      </c>
      <c r="G142" s="9">
        <f t="shared" si="114"/>
        <v>9.6666666666666661</v>
      </c>
      <c r="H142" s="40">
        <f t="shared" si="115"/>
        <v>338.33333333333331</v>
      </c>
      <c r="I142" s="42"/>
      <c r="K142" s="6">
        <f t="shared" ref="K142:K147" si="120">K141+1</f>
        <v>44824</v>
      </c>
      <c r="L142" s="1" t="str">
        <f t="shared" si="116"/>
        <v>Tuesday</v>
      </c>
      <c r="M142" s="4">
        <v>0.375</v>
      </c>
      <c r="N142" s="9">
        <v>0.33333333333333331</v>
      </c>
      <c r="O142" s="4">
        <v>0.74305555555555547</v>
      </c>
      <c r="P142" s="9">
        <f t="shared" si="117"/>
        <v>8.4999999999999982</v>
      </c>
      <c r="Q142" s="40">
        <f t="shared" si="118"/>
        <v>297.49999999999994</v>
      </c>
      <c r="R142" s="42"/>
    </row>
    <row r="143" spans="2:18" ht="19.95" customHeight="1" x14ac:dyDescent="0.25">
      <c r="B143" s="6">
        <f t="shared" si="119"/>
        <v>44797</v>
      </c>
      <c r="C143" s="1" t="str">
        <f t="shared" si="113"/>
        <v>Wednesday</v>
      </c>
      <c r="D143" s="4">
        <v>0.375</v>
      </c>
      <c r="E143" s="9">
        <v>0.33333333333333331</v>
      </c>
      <c r="F143" s="4">
        <v>0.74305555555555547</v>
      </c>
      <c r="G143" s="9">
        <f t="shared" si="114"/>
        <v>8.4999999999999982</v>
      </c>
      <c r="H143" s="40">
        <f t="shared" si="115"/>
        <v>297.49999999999994</v>
      </c>
      <c r="I143" s="42"/>
      <c r="K143" s="6">
        <f t="shared" si="120"/>
        <v>44825</v>
      </c>
      <c r="L143" s="1" t="str">
        <f t="shared" si="116"/>
        <v>Wednesday</v>
      </c>
      <c r="M143" s="4">
        <v>0.41666666666666669</v>
      </c>
      <c r="N143" s="9">
        <v>0.45833333333333331</v>
      </c>
      <c r="O143" s="4">
        <v>0.66666666666666663</v>
      </c>
      <c r="P143" s="9">
        <f t="shared" si="117"/>
        <v>5.5416666666666652</v>
      </c>
      <c r="Q143" s="40">
        <f t="shared" si="118"/>
        <v>193.95833333333329</v>
      </c>
      <c r="R143" s="42"/>
    </row>
    <row r="144" spans="2:18" ht="19.95" customHeight="1" x14ac:dyDescent="0.25">
      <c r="B144" s="6">
        <f t="shared" si="119"/>
        <v>44798</v>
      </c>
      <c r="C144" s="1" t="str">
        <f t="shared" si="113"/>
        <v>Thursday</v>
      </c>
      <c r="D144" s="4">
        <v>0.41666666666666669</v>
      </c>
      <c r="E144" s="9">
        <v>0.45833333333333331</v>
      </c>
      <c r="F144" s="4">
        <v>0.66666666666666663</v>
      </c>
      <c r="G144" s="9">
        <f t="shared" si="114"/>
        <v>5.5416666666666652</v>
      </c>
      <c r="H144" s="40">
        <f t="shared" si="115"/>
        <v>193.95833333333329</v>
      </c>
      <c r="I144" s="42"/>
      <c r="K144" s="6">
        <f t="shared" si="120"/>
        <v>44826</v>
      </c>
      <c r="L144" s="1" t="str">
        <f t="shared" si="116"/>
        <v>Thursday</v>
      </c>
      <c r="M144" s="4">
        <v>0.35416666666666669</v>
      </c>
      <c r="N144" s="9">
        <v>0.45833333333333331</v>
      </c>
      <c r="O144" s="4">
        <v>0.75</v>
      </c>
      <c r="P144" s="9">
        <f t="shared" si="117"/>
        <v>9.0416666666666661</v>
      </c>
      <c r="Q144" s="40">
        <f t="shared" si="118"/>
        <v>316.45833333333331</v>
      </c>
      <c r="R144" s="42"/>
    </row>
    <row r="145" spans="2:18" ht="19.95" customHeight="1" x14ac:dyDescent="0.25">
      <c r="B145" s="6">
        <f t="shared" si="119"/>
        <v>44799</v>
      </c>
      <c r="C145" s="1" t="str">
        <f t="shared" si="113"/>
        <v>Friday</v>
      </c>
      <c r="D145" s="4">
        <v>0.35416666666666669</v>
      </c>
      <c r="E145" s="9">
        <v>0.45833333333333331</v>
      </c>
      <c r="F145" s="4">
        <v>0.75</v>
      </c>
      <c r="G145" s="9">
        <f t="shared" si="114"/>
        <v>9.0416666666666661</v>
      </c>
      <c r="H145" s="40">
        <f t="shared" si="115"/>
        <v>316.45833333333331</v>
      </c>
      <c r="I145" s="42"/>
      <c r="K145" s="6">
        <f t="shared" si="120"/>
        <v>44827</v>
      </c>
      <c r="L145" s="1" t="str">
        <f t="shared" si="116"/>
        <v>Friday</v>
      </c>
      <c r="M145" s="4">
        <v>0.27083333333333331</v>
      </c>
      <c r="N145" s="9">
        <v>0.33333333333333331</v>
      </c>
      <c r="O145" s="4">
        <v>0.91666666666666663</v>
      </c>
      <c r="P145" s="9">
        <f t="shared" si="117"/>
        <v>15.166666666666664</v>
      </c>
      <c r="Q145" s="40">
        <f t="shared" si="118"/>
        <v>530.83333333333326</v>
      </c>
      <c r="R145" s="42"/>
    </row>
    <row r="146" spans="2:18" ht="19.95" customHeight="1" x14ac:dyDescent="0.25">
      <c r="B146" s="6">
        <f t="shared" si="119"/>
        <v>44800</v>
      </c>
      <c r="C146" s="1" t="str">
        <f t="shared" si="113"/>
        <v>Saturday</v>
      </c>
      <c r="D146" s="4">
        <v>0.27083333333333331</v>
      </c>
      <c r="E146" s="9">
        <v>0.33333333333333331</v>
      </c>
      <c r="F146" s="4">
        <v>0.91666666666666663</v>
      </c>
      <c r="G146" s="9">
        <f t="shared" si="114"/>
        <v>15.166666666666664</v>
      </c>
      <c r="H146" s="40">
        <f t="shared" si="115"/>
        <v>530.83333333333326</v>
      </c>
      <c r="I146" s="42"/>
      <c r="K146" s="6">
        <f t="shared" si="120"/>
        <v>44828</v>
      </c>
      <c r="L146" s="1" t="str">
        <f t="shared" si="116"/>
        <v>Saturday</v>
      </c>
      <c r="M146" s="4">
        <v>0.27083333333333331</v>
      </c>
      <c r="N146" s="9">
        <v>0.33333333333333331</v>
      </c>
      <c r="O146" s="4">
        <v>0.91666666666666663</v>
      </c>
      <c r="P146" s="9">
        <f t="shared" si="117"/>
        <v>15.166666666666664</v>
      </c>
      <c r="Q146" s="40">
        <f t="shared" si="118"/>
        <v>530.83333333333326</v>
      </c>
      <c r="R146" s="42"/>
    </row>
    <row r="147" spans="2:18" ht="19.95" customHeight="1" x14ac:dyDescent="0.25">
      <c r="B147" s="6">
        <f t="shared" si="119"/>
        <v>44801</v>
      </c>
      <c r="C147" s="1" t="str">
        <f t="shared" si="113"/>
        <v>Sunday</v>
      </c>
      <c r="D147" s="4">
        <v>0.27083333333333331</v>
      </c>
      <c r="E147" s="9">
        <v>0.33333333333333331</v>
      </c>
      <c r="F147" s="4">
        <v>0.91666666666666663</v>
      </c>
      <c r="G147" s="9">
        <f t="shared" si="114"/>
        <v>15.166666666666664</v>
      </c>
      <c r="H147" s="40">
        <f t="shared" si="115"/>
        <v>530.83333333333326</v>
      </c>
      <c r="I147" s="42"/>
      <c r="K147" s="6">
        <f t="shared" si="120"/>
        <v>44829</v>
      </c>
      <c r="L147" s="1" t="str">
        <f t="shared" si="116"/>
        <v>Sunday</v>
      </c>
      <c r="M147" s="4">
        <v>0.29166666666666669</v>
      </c>
      <c r="N147" s="9">
        <v>0.33333333333333331</v>
      </c>
      <c r="O147" s="4">
        <v>0.71875</v>
      </c>
      <c r="P147" s="9">
        <f t="shared" si="117"/>
        <v>9.9166666666666661</v>
      </c>
      <c r="Q147" s="40">
        <f t="shared" si="118"/>
        <v>347.08333333333331</v>
      </c>
      <c r="R147" s="42"/>
    </row>
    <row r="148" spans="2:18" ht="19.95" customHeight="1" x14ac:dyDescent="0.25">
      <c r="B148" s="27" t="s">
        <v>7</v>
      </c>
      <c r="C148" s="28"/>
      <c r="D148" s="28"/>
      <c r="E148" s="28"/>
      <c r="F148" s="29"/>
      <c r="G148" s="12">
        <f>SUM(G141:G147)</f>
        <v>72.999999999999986</v>
      </c>
      <c r="H148" s="43">
        <f>SUM(H141:H147)</f>
        <v>2554.9999999999995</v>
      </c>
      <c r="I148" s="40"/>
      <c r="K148" s="27" t="s">
        <v>7</v>
      </c>
      <c r="L148" s="28"/>
      <c r="M148" s="28"/>
      <c r="N148" s="28"/>
      <c r="O148" s="29"/>
      <c r="P148" s="12">
        <f>SUM(P141:P147)</f>
        <v>72.999999999999986</v>
      </c>
      <c r="Q148" s="43">
        <f>SUM(Q141:Q147)</f>
        <v>2554.9999999999995</v>
      </c>
      <c r="R148" s="40"/>
    </row>
    <row r="149" spans="2:18" ht="24.6" x14ac:dyDescent="0.25">
      <c r="B149" s="24" t="s">
        <v>26</v>
      </c>
      <c r="C149" s="26"/>
      <c r="D149" s="26"/>
      <c r="E149" s="26"/>
      <c r="F149" s="26"/>
      <c r="G149" s="25"/>
      <c r="H149" s="44" t="s">
        <v>43</v>
      </c>
      <c r="I149" s="45"/>
      <c r="K149" s="24" t="s">
        <v>26</v>
      </c>
      <c r="L149" s="26"/>
      <c r="M149" s="26"/>
      <c r="N149" s="26"/>
      <c r="O149" s="26"/>
      <c r="P149" s="25"/>
      <c r="Q149" s="44" t="s">
        <v>51</v>
      </c>
      <c r="R149" s="45"/>
    </row>
    <row r="150" spans="2:18" ht="19.95" customHeight="1" x14ac:dyDescent="0.25">
      <c r="B150" s="17" t="s">
        <v>89</v>
      </c>
      <c r="C150" s="17" t="s">
        <v>90</v>
      </c>
      <c r="D150" s="17" t="s">
        <v>2</v>
      </c>
      <c r="E150" s="18" t="s">
        <v>4</v>
      </c>
      <c r="F150" s="17" t="s">
        <v>3</v>
      </c>
      <c r="G150" s="17" t="s">
        <v>91</v>
      </c>
      <c r="H150" s="46" t="s">
        <v>92</v>
      </c>
      <c r="I150" s="46" t="s">
        <v>5</v>
      </c>
      <c r="K150" s="17" t="s">
        <v>89</v>
      </c>
      <c r="L150" s="17" t="s">
        <v>90</v>
      </c>
      <c r="M150" s="17" t="s">
        <v>2</v>
      </c>
      <c r="N150" s="18" t="s">
        <v>4</v>
      </c>
      <c r="O150" s="17" t="s">
        <v>3</v>
      </c>
      <c r="P150" s="17" t="s">
        <v>91</v>
      </c>
      <c r="Q150" s="46" t="s">
        <v>92</v>
      </c>
      <c r="R150" s="46" t="s">
        <v>5</v>
      </c>
    </row>
    <row r="151" spans="2:18" ht="19.95" customHeight="1" x14ac:dyDescent="0.25">
      <c r="B151" s="5">
        <f>B147+1</f>
        <v>44802</v>
      </c>
      <c r="C151" s="1" t="str">
        <f>TEXT(B151,"dddd")</f>
        <v>Monday</v>
      </c>
      <c r="D151" s="2">
        <v>0.25</v>
      </c>
      <c r="E151" s="9">
        <v>0.29166666666666669</v>
      </c>
      <c r="F151" s="2">
        <v>0.66666666666666663</v>
      </c>
      <c r="G151" s="9">
        <f t="shared" ref="G151:G153" si="121">((F151-D151)*24)-E151</f>
        <v>9.7083333333333339</v>
      </c>
      <c r="H151" s="40">
        <f t="shared" ref="H151:H153" si="122">$C$4*G151</f>
        <v>339.79166666666669</v>
      </c>
      <c r="I151" s="40"/>
      <c r="K151" s="6">
        <f>K147+1</f>
        <v>44830</v>
      </c>
      <c r="L151" s="1" t="str">
        <f>TEXT(K151,"dddd")</f>
        <v>Monday</v>
      </c>
      <c r="M151" s="4">
        <v>0.25</v>
      </c>
      <c r="N151" s="9">
        <v>0.33333333333333331</v>
      </c>
      <c r="O151" s="4">
        <v>0.66666666666666663</v>
      </c>
      <c r="P151" s="9">
        <f>((O151-M151)*24)-N151</f>
        <v>9.6666666666666661</v>
      </c>
      <c r="Q151" s="40">
        <f>$C$4*P151</f>
        <v>338.33333333333331</v>
      </c>
      <c r="R151" s="42"/>
    </row>
    <row r="152" spans="2:18" ht="19.95" customHeight="1" x14ac:dyDescent="0.25">
      <c r="B152" s="6">
        <f>B151+1</f>
        <v>44803</v>
      </c>
      <c r="C152" s="1" t="str">
        <f t="shared" ref="C152:C153" si="123">TEXT(B152,"dddd")</f>
        <v>Tuesday</v>
      </c>
      <c r="D152" s="4">
        <v>0.29166666666666669</v>
      </c>
      <c r="E152" s="9">
        <v>0.33333333333333331</v>
      </c>
      <c r="F152" s="4">
        <v>0.71875</v>
      </c>
      <c r="G152" s="9">
        <f t="shared" si="121"/>
        <v>9.9166666666666661</v>
      </c>
      <c r="H152" s="40">
        <f t="shared" si="122"/>
        <v>347.08333333333331</v>
      </c>
      <c r="I152" s="42"/>
      <c r="K152" s="6">
        <f>K151+1</f>
        <v>44831</v>
      </c>
      <c r="L152" s="1" t="str">
        <f>TEXT(K152,"dddd")</f>
        <v>Tuesday</v>
      </c>
      <c r="M152" s="4">
        <v>0.375</v>
      </c>
      <c r="N152" s="9">
        <v>0.33333333333333331</v>
      </c>
      <c r="O152" s="4">
        <v>0.74305555555555547</v>
      </c>
      <c r="P152" s="9">
        <f>((O152-M152)*24)-N152</f>
        <v>8.4999999999999982</v>
      </c>
      <c r="Q152" s="40">
        <f>$C$4*P152</f>
        <v>297.49999999999994</v>
      </c>
      <c r="R152" s="42"/>
    </row>
    <row r="153" spans="2:18" ht="19.95" customHeight="1" x14ac:dyDescent="0.25">
      <c r="B153" s="6">
        <f>B152+1</f>
        <v>44804</v>
      </c>
      <c r="C153" s="1" t="str">
        <f t="shared" si="123"/>
        <v>Wednesday</v>
      </c>
      <c r="D153" s="4">
        <v>0.25</v>
      </c>
      <c r="E153" s="9">
        <v>0.33333333333333331</v>
      </c>
      <c r="F153" s="4">
        <v>0.66666666666666663</v>
      </c>
      <c r="G153" s="9">
        <f t="shared" si="121"/>
        <v>9.6666666666666661</v>
      </c>
      <c r="H153" s="40">
        <f t="shared" si="122"/>
        <v>338.33333333333331</v>
      </c>
      <c r="I153" s="42"/>
      <c r="K153" s="6">
        <f>K152+1</f>
        <v>44832</v>
      </c>
      <c r="L153" s="1" t="str">
        <f>TEXT(K153,"dddd")</f>
        <v>Wednesday</v>
      </c>
      <c r="M153" s="4">
        <v>0.41666666666666669</v>
      </c>
      <c r="N153" s="9">
        <v>0.45833333333333331</v>
      </c>
      <c r="O153" s="4">
        <v>0.66666666666666663</v>
      </c>
      <c r="P153" s="9">
        <f>((O153-M153)*24)-N153</f>
        <v>5.5416666666666652</v>
      </c>
      <c r="Q153" s="40">
        <f>$C$4*P153</f>
        <v>193.95833333333329</v>
      </c>
      <c r="R153" s="42"/>
    </row>
    <row r="154" spans="2:18" ht="19.95" customHeight="1" x14ac:dyDescent="0.25">
      <c r="B154" s="6"/>
      <c r="C154" s="1"/>
      <c r="D154" s="4"/>
      <c r="E154" s="9"/>
      <c r="F154" s="4"/>
      <c r="G154" s="9"/>
      <c r="H154" s="40"/>
      <c r="I154" s="42"/>
      <c r="K154" s="6">
        <f>K153+1</f>
        <v>44833</v>
      </c>
      <c r="L154" s="1" t="str">
        <f>TEXT(K154,"dddd")</f>
        <v>Thursday</v>
      </c>
      <c r="M154" s="4">
        <v>0.35416666666666669</v>
      </c>
      <c r="N154" s="9">
        <v>0.45833333333333331</v>
      </c>
      <c r="O154" s="4">
        <v>0.75</v>
      </c>
      <c r="P154" s="9">
        <f>((O154-M154)*24)-N154</f>
        <v>9.0416666666666661</v>
      </c>
      <c r="Q154" s="40">
        <f>$C$4*P154</f>
        <v>316.45833333333331</v>
      </c>
      <c r="R154" s="42"/>
    </row>
    <row r="155" spans="2:18" ht="19.95" customHeight="1" x14ac:dyDescent="0.25">
      <c r="B155" s="6"/>
      <c r="C155" s="1"/>
      <c r="D155" s="4"/>
      <c r="E155" s="9"/>
      <c r="F155" s="4"/>
      <c r="G155" s="9"/>
      <c r="H155" s="40"/>
      <c r="I155" s="42"/>
      <c r="K155" s="6">
        <f>K154+1</f>
        <v>44834</v>
      </c>
      <c r="L155" s="1" t="str">
        <f>TEXT(K155,"dddd")</f>
        <v>Friday</v>
      </c>
      <c r="M155" s="4">
        <v>0.35416666666666669</v>
      </c>
      <c r="N155" s="9">
        <v>0.45833333333333331</v>
      </c>
      <c r="O155" s="4">
        <v>0.75</v>
      </c>
      <c r="P155" s="9">
        <f>((O155-M155)*24)-N155</f>
        <v>9.0416666666666661</v>
      </c>
      <c r="Q155" s="40">
        <f>$C$4*P155</f>
        <v>316.45833333333331</v>
      </c>
      <c r="R155" s="42"/>
    </row>
    <row r="156" spans="2:18" ht="19.95" customHeight="1" x14ac:dyDescent="0.25">
      <c r="B156" s="6"/>
      <c r="C156" s="1"/>
      <c r="D156" s="4"/>
      <c r="E156" s="9"/>
      <c r="F156" s="4"/>
      <c r="G156" s="9"/>
      <c r="H156" s="40"/>
      <c r="I156" s="42"/>
      <c r="K156" s="6"/>
      <c r="L156" s="1"/>
      <c r="M156" s="4"/>
      <c r="N156" s="9"/>
      <c r="O156" s="4"/>
      <c r="P156" s="6"/>
      <c r="Q156" s="40"/>
      <c r="R156" s="42"/>
    </row>
    <row r="157" spans="2:18" ht="19.95" customHeight="1" x14ac:dyDescent="0.25">
      <c r="B157" s="6"/>
      <c r="C157" s="1"/>
      <c r="D157" s="4"/>
      <c r="E157" s="9"/>
      <c r="F157" s="4"/>
      <c r="G157" s="3"/>
      <c r="H157" s="40"/>
      <c r="I157" s="42"/>
      <c r="K157" s="6"/>
      <c r="L157" s="1"/>
      <c r="M157" s="4"/>
      <c r="N157" s="9"/>
      <c r="O157" s="4"/>
      <c r="P157" s="6"/>
      <c r="Q157" s="40"/>
      <c r="R157" s="42"/>
    </row>
    <row r="158" spans="2:18" ht="19.95" customHeight="1" x14ac:dyDescent="0.25">
      <c r="B158" s="27" t="s">
        <v>7</v>
      </c>
      <c r="C158" s="28"/>
      <c r="D158" s="28"/>
      <c r="E158" s="28"/>
      <c r="F158" s="29"/>
      <c r="G158" s="12">
        <f>SUM(G151:G157)</f>
        <v>29.291666666666664</v>
      </c>
      <c r="H158" s="43">
        <f>SUM(H151:H157)</f>
        <v>1025.2083333333333</v>
      </c>
      <c r="I158" s="40"/>
      <c r="K158" s="27" t="s">
        <v>7</v>
      </c>
      <c r="L158" s="28"/>
      <c r="M158" s="28"/>
      <c r="N158" s="28"/>
      <c r="O158" s="29"/>
      <c r="P158" s="12">
        <f>SUM(P151:P157)</f>
        <v>41.791666666666657</v>
      </c>
      <c r="Q158" s="43">
        <f>SUM(Q151:Q157)</f>
        <v>1462.708333333333</v>
      </c>
      <c r="R158" s="42"/>
    </row>
    <row r="159" spans="2:18" ht="19.95" customHeight="1" x14ac:dyDescent="0.25">
      <c r="B159" s="24" t="s">
        <v>6</v>
      </c>
      <c r="C159" s="26"/>
      <c r="D159" s="26"/>
      <c r="E159" s="26"/>
      <c r="F159" s="26"/>
      <c r="G159" s="25"/>
      <c r="H159" s="44" t="s">
        <v>52</v>
      </c>
      <c r="I159" s="45"/>
      <c r="K159" s="24" t="s">
        <v>6</v>
      </c>
      <c r="L159" s="26"/>
      <c r="M159" s="26"/>
      <c r="N159" s="26"/>
      <c r="O159" s="26"/>
      <c r="P159" s="25"/>
      <c r="Q159" s="44" t="s">
        <v>57</v>
      </c>
      <c r="R159" s="45"/>
    </row>
    <row r="160" spans="2:18" ht="19.95" customHeight="1" x14ac:dyDescent="0.25">
      <c r="B160" s="17" t="s">
        <v>89</v>
      </c>
      <c r="C160" s="17" t="s">
        <v>90</v>
      </c>
      <c r="D160" s="17" t="s">
        <v>2</v>
      </c>
      <c r="E160" s="18" t="s">
        <v>4</v>
      </c>
      <c r="F160" s="17" t="s">
        <v>3</v>
      </c>
      <c r="G160" s="17" t="s">
        <v>91</v>
      </c>
      <c r="H160" s="46" t="s">
        <v>92</v>
      </c>
      <c r="I160" s="46" t="s">
        <v>5</v>
      </c>
      <c r="K160" s="17" t="s">
        <v>89</v>
      </c>
      <c r="L160" s="17" t="s">
        <v>90</v>
      </c>
      <c r="M160" s="17" t="s">
        <v>2</v>
      </c>
      <c r="N160" s="18" t="s">
        <v>4</v>
      </c>
      <c r="O160" s="17" t="s">
        <v>3</v>
      </c>
      <c r="P160" s="17" t="s">
        <v>91</v>
      </c>
      <c r="Q160" s="46" t="s">
        <v>92</v>
      </c>
      <c r="R160" s="46" t="s">
        <v>5</v>
      </c>
    </row>
    <row r="161" spans="2:18" ht="19.95" customHeight="1" x14ac:dyDescent="0.25">
      <c r="B161" s="6">
        <v>44835</v>
      </c>
      <c r="C161" s="1" t="str">
        <f>TEXT(B161,"dddd")</f>
        <v>Saturday</v>
      </c>
      <c r="D161" s="4">
        <v>0.25</v>
      </c>
      <c r="E161" s="9">
        <v>0.33333333333333331</v>
      </c>
      <c r="F161" s="4">
        <v>0.66666666666666663</v>
      </c>
      <c r="G161" s="9">
        <f t="shared" ref="G161:G162" si="124">((F161-D161)*24)-E161</f>
        <v>9.6666666666666661</v>
      </c>
      <c r="H161" s="40">
        <f t="shared" ref="H161:H162" si="125">$C$4*G161</f>
        <v>338.33333333333331</v>
      </c>
      <c r="I161" s="42"/>
      <c r="K161" s="5">
        <v>44866</v>
      </c>
      <c r="L161" s="1" t="str">
        <f>TEXT(K161,"dddd")</f>
        <v>Tuesday</v>
      </c>
      <c r="M161" s="2">
        <v>0.25</v>
      </c>
      <c r="N161" s="9">
        <v>0.29166666666666669</v>
      </c>
      <c r="O161" s="2">
        <v>0.66666666666666663</v>
      </c>
      <c r="P161" s="9">
        <f>((O161-M161)*24)-N161</f>
        <v>9.7083333333333339</v>
      </c>
      <c r="Q161" s="40">
        <f t="shared" ref="Q161:Q163" si="126">$C$4*P161</f>
        <v>339.79166666666669</v>
      </c>
      <c r="R161" s="40"/>
    </row>
    <row r="162" spans="2:18" ht="19.95" customHeight="1" x14ac:dyDescent="0.25">
      <c r="B162" s="6">
        <f>B161+1</f>
        <v>44836</v>
      </c>
      <c r="C162" s="1" t="str">
        <f>TEXT(B162,"dddd")</f>
        <v>Sunday</v>
      </c>
      <c r="D162" s="4">
        <v>0.25</v>
      </c>
      <c r="E162" s="9">
        <v>0.33333333333333331</v>
      </c>
      <c r="F162" s="4">
        <v>0.66666666666666663</v>
      </c>
      <c r="G162" s="9">
        <f t="shared" si="124"/>
        <v>9.6666666666666661</v>
      </c>
      <c r="H162" s="40">
        <f t="shared" si="125"/>
        <v>338.33333333333331</v>
      </c>
      <c r="I162" s="42"/>
      <c r="K162" s="6">
        <f t="shared" ref="K162:K166" si="127">K161+1</f>
        <v>44867</v>
      </c>
      <c r="L162" s="1" t="str">
        <f t="shared" ref="L162:L163" si="128">TEXT(K162,"dddd")</f>
        <v>Wednesday</v>
      </c>
      <c r="M162" s="4">
        <v>0.29166666666666669</v>
      </c>
      <c r="N162" s="9">
        <v>0.33333333333333331</v>
      </c>
      <c r="O162" s="4">
        <v>0.71875</v>
      </c>
      <c r="P162" s="9">
        <f>((O162-M162)*24)-N162</f>
        <v>9.9166666666666661</v>
      </c>
      <c r="Q162" s="40">
        <f t="shared" si="126"/>
        <v>347.08333333333331</v>
      </c>
      <c r="R162" s="42"/>
    </row>
    <row r="163" spans="2:18" ht="19.95" customHeight="1" x14ac:dyDescent="0.25">
      <c r="B163" s="20"/>
      <c r="C163" s="20"/>
      <c r="D163" s="20"/>
      <c r="E163" s="20"/>
      <c r="F163" s="20"/>
      <c r="G163" s="20"/>
      <c r="H163" s="41"/>
      <c r="I163" s="47"/>
      <c r="K163" s="6">
        <f t="shared" si="127"/>
        <v>44868</v>
      </c>
      <c r="L163" s="1" t="str">
        <f t="shared" si="128"/>
        <v>Thursday</v>
      </c>
      <c r="M163" s="4">
        <v>0.25</v>
      </c>
      <c r="N163" s="9">
        <v>0.33333333333333331</v>
      </c>
      <c r="O163" s="4">
        <v>0.66666666666666663</v>
      </c>
      <c r="P163" s="9">
        <f t="shared" ref="P163" si="129">((O163-M163)*24)-N163</f>
        <v>9.6666666666666661</v>
      </c>
      <c r="Q163" s="40">
        <f t="shared" si="126"/>
        <v>338.33333333333331</v>
      </c>
      <c r="R163" s="42"/>
    </row>
    <row r="164" spans="2:18" ht="19.95" customHeight="1" x14ac:dyDescent="0.25">
      <c r="B164" s="20"/>
      <c r="C164" s="20"/>
      <c r="D164" s="20"/>
      <c r="E164" s="20"/>
      <c r="F164" s="20"/>
      <c r="G164" s="20"/>
      <c r="H164" s="41"/>
      <c r="I164" s="47"/>
      <c r="K164" s="6">
        <f t="shared" si="127"/>
        <v>44869</v>
      </c>
      <c r="L164" s="1" t="str">
        <f t="shared" ref="L164" si="130">TEXT(K164,"dddd")</f>
        <v>Friday</v>
      </c>
      <c r="M164" s="4">
        <v>0.25</v>
      </c>
      <c r="N164" s="9">
        <v>0.33333333333333331</v>
      </c>
      <c r="O164" s="4">
        <v>0.66666666666666663</v>
      </c>
      <c r="P164" s="9">
        <f t="shared" ref="P164" si="131">((O164-M164)*24)-N164</f>
        <v>9.6666666666666661</v>
      </c>
      <c r="Q164" s="40">
        <f t="shared" ref="Q164" si="132">$C$4*P164</f>
        <v>338.33333333333331</v>
      </c>
      <c r="R164" s="42"/>
    </row>
    <row r="165" spans="2:18" ht="19.95" customHeight="1" x14ac:dyDescent="0.25">
      <c r="B165" s="20"/>
      <c r="C165" s="20"/>
      <c r="D165" s="20"/>
      <c r="E165" s="20"/>
      <c r="F165" s="20"/>
      <c r="G165" s="20"/>
      <c r="H165" s="41"/>
      <c r="I165" s="47"/>
      <c r="K165" s="6">
        <f t="shared" si="127"/>
        <v>44870</v>
      </c>
      <c r="L165" s="1" t="str">
        <f t="shared" ref="L165" si="133">TEXT(K165,"dddd")</f>
        <v>Saturday</v>
      </c>
      <c r="M165" s="4">
        <v>0.25</v>
      </c>
      <c r="N165" s="9">
        <v>0.33333333333333331</v>
      </c>
      <c r="O165" s="4">
        <v>0.66666666666666663</v>
      </c>
      <c r="P165" s="9">
        <f t="shared" ref="P165" si="134">((O165-M165)*24)-N165</f>
        <v>9.6666666666666661</v>
      </c>
      <c r="Q165" s="40">
        <f t="shared" ref="Q165" si="135">$C$4*P165</f>
        <v>338.33333333333331</v>
      </c>
      <c r="R165" s="42"/>
    </row>
    <row r="166" spans="2:18" ht="19.95" customHeight="1" x14ac:dyDescent="0.25">
      <c r="B166" s="20"/>
      <c r="C166" s="20"/>
      <c r="D166" s="20"/>
      <c r="E166" s="20"/>
      <c r="F166" s="20"/>
      <c r="G166" s="20"/>
      <c r="H166" s="41"/>
      <c r="I166" s="47"/>
      <c r="K166" s="6">
        <f t="shared" si="127"/>
        <v>44871</v>
      </c>
      <c r="L166" s="1" t="str">
        <f t="shared" ref="L166" si="136">TEXT(K166,"dddd")</f>
        <v>Sunday</v>
      </c>
      <c r="M166" s="4">
        <v>0.25</v>
      </c>
      <c r="N166" s="9">
        <v>0.33333333333333331</v>
      </c>
      <c r="O166" s="4">
        <v>0.66666666666666663</v>
      </c>
      <c r="P166" s="9">
        <f t="shared" ref="P166" si="137">((O166-M166)*24)-N166</f>
        <v>9.6666666666666661</v>
      </c>
      <c r="Q166" s="40">
        <f t="shared" ref="Q166" si="138">$C$4*P166</f>
        <v>338.33333333333331</v>
      </c>
      <c r="R166" s="42"/>
    </row>
    <row r="167" spans="2:18" ht="19.95" customHeight="1" x14ac:dyDescent="0.25">
      <c r="B167" s="6"/>
      <c r="C167" s="1"/>
      <c r="D167" s="4"/>
      <c r="E167" s="9"/>
      <c r="F167" s="4"/>
      <c r="G167" s="9"/>
      <c r="H167" s="40"/>
      <c r="I167" s="42"/>
      <c r="K167" s="20"/>
      <c r="L167" s="20"/>
      <c r="M167" s="20"/>
      <c r="N167" s="20"/>
      <c r="O167" s="20"/>
      <c r="P167" s="20"/>
      <c r="Q167" s="47"/>
      <c r="R167" s="47"/>
    </row>
    <row r="168" spans="2:18" ht="19.95" customHeight="1" x14ac:dyDescent="0.25">
      <c r="B168" s="31" t="s">
        <v>7</v>
      </c>
      <c r="C168" s="32"/>
      <c r="D168" s="32"/>
      <c r="E168" s="32"/>
      <c r="F168" s="33"/>
      <c r="G168" s="19">
        <f>SUM(G161:G167)</f>
        <v>19.333333333333332</v>
      </c>
      <c r="H168" s="43">
        <f>SUM(H161:H167)</f>
        <v>676.66666666666663</v>
      </c>
      <c r="I168" s="40"/>
      <c r="K168" s="30" t="s">
        <v>7</v>
      </c>
      <c r="L168" s="30"/>
      <c r="M168" s="30"/>
      <c r="N168" s="30"/>
      <c r="O168" s="30"/>
      <c r="P168" s="19">
        <f>SUM(P161:P167)</f>
        <v>58.291666666666657</v>
      </c>
      <c r="Q168" s="43">
        <f>SUM(Q161:Q167)</f>
        <v>2040.208333333333</v>
      </c>
      <c r="R168" s="42"/>
    </row>
    <row r="169" spans="2:18" ht="19.95" customHeight="1" x14ac:dyDescent="0.25">
      <c r="B169" s="34" t="s">
        <v>8</v>
      </c>
      <c r="C169" s="34"/>
      <c r="D169" s="34"/>
      <c r="E169" s="34"/>
      <c r="F169" s="34"/>
      <c r="G169" s="34"/>
      <c r="H169" s="44" t="s">
        <v>56</v>
      </c>
      <c r="I169" s="45"/>
      <c r="K169" s="24" t="s">
        <v>8</v>
      </c>
      <c r="L169" s="26"/>
      <c r="M169" s="26"/>
      <c r="N169" s="26"/>
      <c r="O169" s="26"/>
      <c r="P169" s="25"/>
      <c r="Q169" s="44" t="s">
        <v>61</v>
      </c>
      <c r="R169" s="45"/>
    </row>
    <row r="170" spans="2:18" ht="19.95" customHeight="1" x14ac:dyDescent="0.25">
      <c r="B170" s="17" t="s">
        <v>89</v>
      </c>
      <c r="C170" s="17" t="s">
        <v>90</v>
      </c>
      <c r="D170" s="17" t="s">
        <v>2</v>
      </c>
      <c r="E170" s="18" t="s">
        <v>4</v>
      </c>
      <c r="F170" s="17" t="s">
        <v>3</v>
      </c>
      <c r="G170" s="17" t="s">
        <v>91</v>
      </c>
      <c r="H170" s="46" t="s">
        <v>92</v>
      </c>
      <c r="I170" s="46" t="s">
        <v>5</v>
      </c>
      <c r="K170" s="17" t="s">
        <v>89</v>
      </c>
      <c r="L170" s="17" t="s">
        <v>90</v>
      </c>
      <c r="M170" s="17" t="s">
        <v>2</v>
      </c>
      <c r="N170" s="18" t="s">
        <v>4</v>
      </c>
      <c r="O170" s="17" t="s">
        <v>3</v>
      </c>
      <c r="P170" s="17" t="s">
        <v>91</v>
      </c>
      <c r="Q170" s="46" t="s">
        <v>92</v>
      </c>
      <c r="R170" s="46" t="s">
        <v>5</v>
      </c>
    </row>
    <row r="171" spans="2:18" ht="19.95" customHeight="1" x14ac:dyDescent="0.25">
      <c r="B171" s="6">
        <f>B162+1</f>
        <v>44837</v>
      </c>
      <c r="C171" s="1" t="str">
        <f t="shared" ref="C171:C177" si="139">TEXT(B171,"dddd")</f>
        <v>Monday</v>
      </c>
      <c r="D171" s="2">
        <v>0.25</v>
      </c>
      <c r="E171" s="9">
        <v>0.29166666666666669</v>
      </c>
      <c r="F171" s="2">
        <v>0.66666666666666663</v>
      </c>
      <c r="G171" s="9">
        <f t="shared" ref="G171:G177" si="140">((F171-D171)*24)-E171</f>
        <v>9.7083333333333339</v>
      </c>
      <c r="H171" s="40">
        <f t="shared" ref="H171:H177" si="141">$C$4*G171</f>
        <v>339.79166666666669</v>
      </c>
      <c r="I171" s="40"/>
      <c r="K171" s="6">
        <f>K166+1</f>
        <v>44872</v>
      </c>
      <c r="L171" s="1" t="str">
        <f t="shared" ref="L171:L177" si="142">TEXT(K171,"dddd")</f>
        <v>Monday</v>
      </c>
      <c r="M171" s="4">
        <v>0.375</v>
      </c>
      <c r="N171" s="9">
        <v>0.33333333333333331</v>
      </c>
      <c r="O171" s="4">
        <v>0.74305555555555547</v>
      </c>
      <c r="P171" s="9">
        <f t="shared" ref="P171:P177" si="143">((O171-M171)*24)-N171</f>
        <v>8.4999999999999982</v>
      </c>
      <c r="Q171" s="40">
        <f t="shared" ref="Q171:Q177" si="144">$C$4*P171</f>
        <v>297.49999999999994</v>
      </c>
      <c r="R171" s="42"/>
    </row>
    <row r="172" spans="2:18" ht="19.95" customHeight="1" x14ac:dyDescent="0.25">
      <c r="B172" s="6">
        <f>B171+1</f>
        <v>44838</v>
      </c>
      <c r="C172" s="1" t="str">
        <f t="shared" si="139"/>
        <v>Tuesday</v>
      </c>
      <c r="D172" s="2">
        <v>0.25</v>
      </c>
      <c r="E172" s="9">
        <v>0.29166666666666669</v>
      </c>
      <c r="F172" s="2">
        <v>0.66666666666666663</v>
      </c>
      <c r="G172" s="9">
        <f t="shared" si="140"/>
        <v>9.7083333333333339</v>
      </c>
      <c r="H172" s="40">
        <f t="shared" si="141"/>
        <v>339.79166666666669</v>
      </c>
      <c r="I172" s="40"/>
      <c r="K172" s="6">
        <f t="shared" ref="K172:K177" si="145">K171+1</f>
        <v>44873</v>
      </c>
      <c r="L172" s="1" t="str">
        <f t="shared" si="142"/>
        <v>Tuesday</v>
      </c>
      <c r="M172" s="4">
        <v>0.41666666666666669</v>
      </c>
      <c r="N172" s="9">
        <v>0.45833333333333331</v>
      </c>
      <c r="O172" s="4">
        <v>0.66666666666666663</v>
      </c>
      <c r="P172" s="9">
        <f t="shared" si="143"/>
        <v>5.5416666666666652</v>
      </c>
      <c r="Q172" s="40">
        <f t="shared" si="144"/>
        <v>193.95833333333329</v>
      </c>
      <c r="R172" s="42"/>
    </row>
    <row r="173" spans="2:18" ht="19.95" customHeight="1" x14ac:dyDescent="0.25">
      <c r="B173" s="6">
        <f t="shared" ref="B173:B177" si="146">B172+1</f>
        <v>44839</v>
      </c>
      <c r="C173" s="1" t="str">
        <f t="shared" si="139"/>
        <v>Wednesday</v>
      </c>
      <c r="D173" s="2">
        <v>0.25</v>
      </c>
      <c r="E173" s="9">
        <v>0.29166666666666669</v>
      </c>
      <c r="F173" s="2">
        <v>0.66666666666666663</v>
      </c>
      <c r="G173" s="9">
        <f t="shared" si="140"/>
        <v>9.7083333333333339</v>
      </c>
      <c r="H173" s="40">
        <f t="shared" si="141"/>
        <v>339.79166666666669</v>
      </c>
      <c r="I173" s="40"/>
      <c r="K173" s="6">
        <f t="shared" si="145"/>
        <v>44874</v>
      </c>
      <c r="L173" s="1" t="str">
        <f t="shared" si="142"/>
        <v>Wednesday</v>
      </c>
      <c r="M173" s="4">
        <v>0.35416666666666669</v>
      </c>
      <c r="N173" s="9">
        <v>0.45833333333333331</v>
      </c>
      <c r="O173" s="4">
        <v>0.75</v>
      </c>
      <c r="P173" s="9">
        <f t="shared" si="143"/>
        <v>9.0416666666666661</v>
      </c>
      <c r="Q173" s="40">
        <f t="shared" si="144"/>
        <v>316.45833333333331</v>
      </c>
      <c r="R173" s="42"/>
    </row>
    <row r="174" spans="2:18" ht="19.95" customHeight="1" x14ac:dyDescent="0.25">
      <c r="B174" s="6">
        <f t="shared" si="146"/>
        <v>44840</v>
      </c>
      <c r="C174" s="1" t="str">
        <f t="shared" si="139"/>
        <v>Thursday</v>
      </c>
      <c r="D174" s="2">
        <v>0.375</v>
      </c>
      <c r="E174" s="9">
        <v>0.33333333333333331</v>
      </c>
      <c r="F174" s="2">
        <v>0.74305555555555547</v>
      </c>
      <c r="G174" s="9">
        <f t="shared" si="140"/>
        <v>8.4999999999999982</v>
      </c>
      <c r="H174" s="40">
        <f t="shared" si="141"/>
        <v>297.49999999999994</v>
      </c>
      <c r="I174" s="40"/>
      <c r="K174" s="6">
        <f t="shared" si="145"/>
        <v>44875</v>
      </c>
      <c r="L174" s="1" t="str">
        <f t="shared" si="142"/>
        <v>Thursday</v>
      </c>
      <c r="M174" s="4">
        <v>0.27083333333333331</v>
      </c>
      <c r="N174" s="9">
        <v>0.33333333333333331</v>
      </c>
      <c r="O174" s="4">
        <v>0.91666666666666663</v>
      </c>
      <c r="P174" s="9">
        <f t="shared" si="143"/>
        <v>15.166666666666664</v>
      </c>
      <c r="Q174" s="40">
        <f t="shared" si="144"/>
        <v>530.83333333333326</v>
      </c>
      <c r="R174" s="42"/>
    </row>
    <row r="175" spans="2:18" ht="19.95" customHeight="1" x14ac:dyDescent="0.25">
      <c r="B175" s="6">
        <f t="shared" si="146"/>
        <v>44841</v>
      </c>
      <c r="C175" s="1" t="str">
        <f t="shared" si="139"/>
        <v>Friday</v>
      </c>
      <c r="D175" s="4">
        <v>0.41666666666666669</v>
      </c>
      <c r="E175" s="9">
        <v>0.45833333333333331</v>
      </c>
      <c r="F175" s="4">
        <v>0.66666666666666663</v>
      </c>
      <c r="G175" s="9">
        <f t="shared" si="140"/>
        <v>5.5416666666666652</v>
      </c>
      <c r="H175" s="40">
        <f t="shared" si="141"/>
        <v>193.95833333333329</v>
      </c>
      <c r="I175" s="42"/>
      <c r="K175" s="6">
        <f t="shared" si="145"/>
        <v>44876</v>
      </c>
      <c r="L175" s="1" t="str">
        <f t="shared" si="142"/>
        <v>Friday</v>
      </c>
      <c r="M175" s="4">
        <v>0.27083333333333331</v>
      </c>
      <c r="N175" s="9">
        <v>0.33333333333333331</v>
      </c>
      <c r="O175" s="4">
        <v>0.91666666666666663</v>
      </c>
      <c r="P175" s="9">
        <f t="shared" si="143"/>
        <v>15.166666666666664</v>
      </c>
      <c r="Q175" s="40">
        <f t="shared" si="144"/>
        <v>530.83333333333326</v>
      </c>
      <c r="R175" s="42"/>
    </row>
    <row r="176" spans="2:18" ht="19.95" customHeight="1" x14ac:dyDescent="0.25">
      <c r="B176" s="6">
        <f t="shared" si="146"/>
        <v>44842</v>
      </c>
      <c r="C176" s="1" t="str">
        <f t="shared" si="139"/>
        <v>Saturday</v>
      </c>
      <c r="D176" s="4">
        <v>0.35416666666666669</v>
      </c>
      <c r="E176" s="9">
        <v>0.45833333333333331</v>
      </c>
      <c r="F176" s="4">
        <v>0.75</v>
      </c>
      <c r="G176" s="9">
        <f t="shared" si="140"/>
        <v>9.0416666666666661</v>
      </c>
      <c r="H176" s="40">
        <f t="shared" si="141"/>
        <v>316.45833333333331</v>
      </c>
      <c r="I176" s="42"/>
      <c r="K176" s="5">
        <f t="shared" si="145"/>
        <v>44877</v>
      </c>
      <c r="L176" s="1" t="str">
        <f t="shared" si="142"/>
        <v>Saturday</v>
      </c>
      <c r="M176" s="2">
        <v>0.25</v>
      </c>
      <c r="N176" s="9">
        <v>0.29166666666666669</v>
      </c>
      <c r="O176" s="2">
        <v>0.66666666666666663</v>
      </c>
      <c r="P176" s="9">
        <f t="shared" si="143"/>
        <v>9.7083333333333339</v>
      </c>
      <c r="Q176" s="40">
        <f t="shared" si="144"/>
        <v>339.79166666666669</v>
      </c>
      <c r="R176" s="40"/>
    </row>
    <row r="177" spans="2:18" ht="19.95" customHeight="1" x14ac:dyDescent="0.25">
      <c r="B177" s="6">
        <f t="shared" si="146"/>
        <v>44843</v>
      </c>
      <c r="C177" s="1" t="str">
        <f t="shared" si="139"/>
        <v>Sunday</v>
      </c>
      <c r="D177" s="4">
        <v>0.27083333333333331</v>
      </c>
      <c r="E177" s="9">
        <v>0.33333333333333331</v>
      </c>
      <c r="F177" s="4">
        <v>0.91666666666666663</v>
      </c>
      <c r="G177" s="9">
        <f t="shared" si="140"/>
        <v>15.166666666666664</v>
      </c>
      <c r="H177" s="40">
        <f t="shared" si="141"/>
        <v>530.83333333333326</v>
      </c>
      <c r="I177" s="42"/>
      <c r="K177" s="6">
        <f t="shared" si="145"/>
        <v>44878</v>
      </c>
      <c r="L177" s="1" t="str">
        <f t="shared" si="142"/>
        <v>Sunday</v>
      </c>
      <c r="M177" s="4">
        <v>0.29166666666666669</v>
      </c>
      <c r="N177" s="9">
        <v>0.33333333333333331</v>
      </c>
      <c r="O177" s="4">
        <v>0.71875</v>
      </c>
      <c r="P177" s="9">
        <f t="shared" si="143"/>
        <v>9.9166666666666661</v>
      </c>
      <c r="Q177" s="40">
        <f t="shared" si="144"/>
        <v>347.08333333333331</v>
      </c>
      <c r="R177" s="42"/>
    </row>
    <row r="178" spans="2:18" ht="19.95" customHeight="1" x14ac:dyDescent="0.25">
      <c r="B178" s="31" t="s">
        <v>7</v>
      </c>
      <c r="C178" s="32"/>
      <c r="D178" s="32"/>
      <c r="E178" s="32"/>
      <c r="F178" s="33"/>
      <c r="G178" s="12">
        <f>SUM(G171:G177)</f>
        <v>67.375</v>
      </c>
      <c r="H178" s="48">
        <f>SUM(H171:H177)</f>
        <v>2358.125</v>
      </c>
      <c r="I178" s="40"/>
      <c r="K178" s="30" t="s">
        <v>7</v>
      </c>
      <c r="L178" s="30"/>
      <c r="M178" s="30"/>
      <c r="N178" s="30"/>
      <c r="O178" s="30"/>
      <c r="P178" s="12">
        <f>SUM(P171:P177)</f>
        <v>73.041666666666657</v>
      </c>
      <c r="Q178" s="48">
        <f>SUM(Q171:Q177)</f>
        <v>2556.458333333333</v>
      </c>
      <c r="R178" s="42"/>
    </row>
    <row r="179" spans="2:18" ht="19.95" customHeight="1" x14ac:dyDescent="0.25">
      <c r="B179" s="24" t="s">
        <v>9</v>
      </c>
      <c r="C179" s="26"/>
      <c r="D179" s="26"/>
      <c r="E179" s="26"/>
      <c r="F179" s="26"/>
      <c r="G179" s="25"/>
      <c r="H179" s="44" t="s">
        <v>55</v>
      </c>
      <c r="I179" s="45"/>
      <c r="K179" s="24" t="s">
        <v>9</v>
      </c>
      <c r="L179" s="26"/>
      <c r="M179" s="26"/>
      <c r="N179" s="26"/>
      <c r="O179" s="26"/>
      <c r="P179" s="25"/>
      <c r="Q179" s="44" t="s">
        <v>60</v>
      </c>
      <c r="R179" s="45"/>
    </row>
    <row r="180" spans="2:18" ht="19.95" customHeight="1" x14ac:dyDescent="0.25">
      <c r="B180" s="17" t="s">
        <v>89</v>
      </c>
      <c r="C180" s="17" t="s">
        <v>90</v>
      </c>
      <c r="D180" s="17" t="s">
        <v>2</v>
      </c>
      <c r="E180" s="18" t="s">
        <v>4</v>
      </c>
      <c r="F180" s="17" t="s">
        <v>3</v>
      </c>
      <c r="G180" s="17" t="s">
        <v>91</v>
      </c>
      <c r="H180" s="46" t="s">
        <v>92</v>
      </c>
      <c r="I180" s="46" t="s">
        <v>5</v>
      </c>
      <c r="K180" s="17" t="s">
        <v>89</v>
      </c>
      <c r="L180" s="17" t="s">
        <v>90</v>
      </c>
      <c r="M180" s="17" t="s">
        <v>2</v>
      </c>
      <c r="N180" s="18" t="s">
        <v>4</v>
      </c>
      <c r="O180" s="17" t="s">
        <v>3</v>
      </c>
      <c r="P180" s="17" t="s">
        <v>91</v>
      </c>
      <c r="Q180" s="46" t="s">
        <v>92</v>
      </c>
      <c r="R180" s="46" t="s">
        <v>5</v>
      </c>
    </row>
    <row r="181" spans="2:18" ht="19.95" customHeight="1" x14ac:dyDescent="0.25">
      <c r="B181" s="6">
        <f>B177+1</f>
        <v>44844</v>
      </c>
      <c r="C181" s="1" t="str">
        <f t="shared" ref="C181:C187" si="147">TEXT(B181,"dddd")</f>
        <v>Monday</v>
      </c>
      <c r="D181" s="4">
        <v>0.27083333333333331</v>
      </c>
      <c r="E181" s="9">
        <v>0.33333333333333331</v>
      </c>
      <c r="F181" s="4">
        <v>0.91666666666666663</v>
      </c>
      <c r="G181" s="9">
        <f>((F181-D181)*24)-E181</f>
        <v>15.166666666666664</v>
      </c>
      <c r="H181" s="40">
        <f>$C$4*G181</f>
        <v>530.83333333333326</v>
      </c>
      <c r="I181" s="42"/>
      <c r="K181" s="6">
        <f>K177+1</f>
        <v>44879</v>
      </c>
      <c r="L181" s="1" t="str">
        <f t="shared" ref="L181:L187" si="148">TEXT(K181,"dddd")</f>
        <v>Monday</v>
      </c>
      <c r="M181" s="4">
        <v>0.25</v>
      </c>
      <c r="N181" s="9">
        <v>0.33333333333333331</v>
      </c>
      <c r="O181" s="4">
        <v>0.66666666666666663</v>
      </c>
      <c r="P181" s="9">
        <f t="shared" ref="P181:P187" si="149">((O181-M181)*24)-N181</f>
        <v>9.6666666666666661</v>
      </c>
      <c r="Q181" s="40">
        <f t="shared" ref="Q181:Q187" si="150">$C$4*P181</f>
        <v>338.33333333333331</v>
      </c>
      <c r="R181" s="42"/>
    </row>
    <row r="182" spans="2:18" ht="19.95" customHeight="1" x14ac:dyDescent="0.25">
      <c r="B182" s="5">
        <f>B181+1</f>
        <v>44845</v>
      </c>
      <c r="C182" s="1" t="str">
        <f t="shared" si="147"/>
        <v>Tuesday</v>
      </c>
      <c r="D182" s="2">
        <v>0.25</v>
      </c>
      <c r="E182" s="9">
        <v>0.29166666666666669</v>
      </c>
      <c r="F182" s="2">
        <v>0.66666666666666663</v>
      </c>
      <c r="G182" s="9">
        <f t="shared" ref="G182:G183" si="151">((F182-D182)*24)-E182</f>
        <v>9.7083333333333339</v>
      </c>
      <c r="H182" s="40">
        <f t="shared" ref="H182:H183" si="152">$C$4*G182</f>
        <v>339.79166666666669</v>
      </c>
      <c r="I182" s="40"/>
      <c r="K182" s="6">
        <f t="shared" ref="K182:K187" si="153">K181+1</f>
        <v>44880</v>
      </c>
      <c r="L182" s="1" t="str">
        <f t="shared" si="148"/>
        <v>Tuesday</v>
      </c>
      <c r="M182" s="4">
        <v>0.375</v>
      </c>
      <c r="N182" s="9">
        <v>0.33333333333333331</v>
      </c>
      <c r="O182" s="4">
        <v>0.74305555555555547</v>
      </c>
      <c r="P182" s="9">
        <f t="shared" si="149"/>
        <v>8.4999999999999982</v>
      </c>
      <c r="Q182" s="40">
        <f t="shared" si="150"/>
        <v>297.49999999999994</v>
      </c>
      <c r="R182" s="42"/>
    </row>
    <row r="183" spans="2:18" ht="19.95" customHeight="1" x14ac:dyDescent="0.25">
      <c r="B183" s="5">
        <f t="shared" ref="B183:B187" si="154">B182+1</f>
        <v>44846</v>
      </c>
      <c r="C183" s="1" t="str">
        <f t="shared" si="147"/>
        <v>Wednesday</v>
      </c>
      <c r="D183" s="4">
        <v>0.29166666666666669</v>
      </c>
      <c r="E183" s="9">
        <v>0.33333333333333331</v>
      </c>
      <c r="F183" s="4">
        <v>0.71875</v>
      </c>
      <c r="G183" s="9">
        <f t="shared" si="151"/>
        <v>9.9166666666666661</v>
      </c>
      <c r="H183" s="40">
        <f t="shared" si="152"/>
        <v>347.08333333333331</v>
      </c>
      <c r="I183" s="42"/>
      <c r="K183" s="6">
        <f t="shared" si="153"/>
        <v>44881</v>
      </c>
      <c r="L183" s="1" t="str">
        <f t="shared" si="148"/>
        <v>Wednesday</v>
      </c>
      <c r="M183" s="4">
        <v>0.41666666666666669</v>
      </c>
      <c r="N183" s="9">
        <v>0.45833333333333331</v>
      </c>
      <c r="O183" s="4">
        <v>0.66666666666666663</v>
      </c>
      <c r="P183" s="9">
        <f t="shared" si="149"/>
        <v>5.5416666666666652</v>
      </c>
      <c r="Q183" s="40">
        <f t="shared" si="150"/>
        <v>193.95833333333329</v>
      </c>
      <c r="R183" s="42"/>
    </row>
    <row r="184" spans="2:18" ht="19.95" customHeight="1" x14ac:dyDescent="0.25">
      <c r="B184" s="5">
        <f t="shared" si="154"/>
        <v>44847</v>
      </c>
      <c r="C184" s="1" t="str">
        <f t="shared" si="147"/>
        <v>Thursday</v>
      </c>
      <c r="D184" s="4">
        <v>0.25</v>
      </c>
      <c r="E184" s="9">
        <v>0.33333333333333331</v>
      </c>
      <c r="F184" s="4">
        <v>0.66666666666666663</v>
      </c>
      <c r="G184" s="9">
        <f>((F184-D184)*24)-E184</f>
        <v>9.6666666666666661</v>
      </c>
      <c r="H184" s="40">
        <f>$C$4*G184</f>
        <v>338.33333333333331</v>
      </c>
      <c r="I184" s="42"/>
      <c r="K184" s="6">
        <f t="shared" si="153"/>
        <v>44882</v>
      </c>
      <c r="L184" s="1" t="str">
        <f t="shared" si="148"/>
        <v>Thursday</v>
      </c>
      <c r="M184" s="4">
        <v>0.35416666666666669</v>
      </c>
      <c r="N184" s="9">
        <v>0.45833333333333331</v>
      </c>
      <c r="O184" s="4">
        <v>0.75</v>
      </c>
      <c r="P184" s="9">
        <f t="shared" si="149"/>
        <v>9.0416666666666661</v>
      </c>
      <c r="Q184" s="40">
        <f t="shared" si="150"/>
        <v>316.45833333333331</v>
      </c>
      <c r="R184" s="42"/>
    </row>
    <row r="185" spans="2:18" ht="19.95" customHeight="1" x14ac:dyDescent="0.25">
      <c r="B185" s="5">
        <f t="shared" si="154"/>
        <v>44848</v>
      </c>
      <c r="C185" s="1" t="str">
        <f t="shared" si="147"/>
        <v>Friday</v>
      </c>
      <c r="D185" s="4">
        <v>0.375</v>
      </c>
      <c r="E185" s="9">
        <v>0.33333333333333331</v>
      </c>
      <c r="F185" s="4">
        <v>0.74305555555555547</v>
      </c>
      <c r="G185" s="9">
        <f>((F185-D185)*24)-E185</f>
        <v>8.4999999999999982</v>
      </c>
      <c r="H185" s="40">
        <f>$C$4*G185</f>
        <v>297.49999999999994</v>
      </c>
      <c r="I185" s="42"/>
      <c r="K185" s="6">
        <f t="shared" si="153"/>
        <v>44883</v>
      </c>
      <c r="L185" s="1" t="str">
        <f t="shared" si="148"/>
        <v>Friday</v>
      </c>
      <c r="M185" s="4">
        <v>0.27083333333333331</v>
      </c>
      <c r="N185" s="9">
        <v>0.33333333333333331</v>
      </c>
      <c r="O185" s="4">
        <v>0.91666666666666663</v>
      </c>
      <c r="P185" s="9">
        <f t="shared" si="149"/>
        <v>15.166666666666664</v>
      </c>
      <c r="Q185" s="40">
        <f t="shared" si="150"/>
        <v>530.83333333333326</v>
      </c>
      <c r="R185" s="42"/>
    </row>
    <row r="186" spans="2:18" ht="19.95" customHeight="1" x14ac:dyDescent="0.25">
      <c r="B186" s="5">
        <f t="shared" si="154"/>
        <v>44849</v>
      </c>
      <c r="C186" s="1" t="str">
        <f t="shared" si="147"/>
        <v>Saturday</v>
      </c>
      <c r="D186" s="4">
        <v>0.41666666666666669</v>
      </c>
      <c r="E186" s="9">
        <v>0.45833333333333331</v>
      </c>
      <c r="F186" s="4">
        <v>0.66666666666666663</v>
      </c>
      <c r="G186" s="9">
        <f>((F186-D186)*24)-E186</f>
        <v>5.5416666666666652</v>
      </c>
      <c r="H186" s="40">
        <f>$C$4*G186</f>
        <v>193.95833333333329</v>
      </c>
      <c r="I186" s="42"/>
      <c r="K186" s="6">
        <f t="shared" si="153"/>
        <v>44884</v>
      </c>
      <c r="L186" s="1" t="str">
        <f t="shared" si="148"/>
        <v>Saturday</v>
      </c>
      <c r="M186" s="4">
        <v>0.27083333333333331</v>
      </c>
      <c r="N186" s="9">
        <v>0.33333333333333331</v>
      </c>
      <c r="O186" s="4">
        <v>0.91666666666666663</v>
      </c>
      <c r="P186" s="9">
        <f t="shared" si="149"/>
        <v>15.166666666666664</v>
      </c>
      <c r="Q186" s="40">
        <f t="shared" si="150"/>
        <v>530.83333333333326</v>
      </c>
      <c r="R186" s="42"/>
    </row>
    <row r="187" spans="2:18" ht="19.95" customHeight="1" x14ac:dyDescent="0.25">
      <c r="B187" s="5">
        <f t="shared" si="154"/>
        <v>44850</v>
      </c>
      <c r="C187" s="1" t="str">
        <f t="shared" si="147"/>
        <v>Sunday</v>
      </c>
      <c r="D187" s="4">
        <v>0.35416666666666669</v>
      </c>
      <c r="E187" s="9">
        <v>0.45833333333333331</v>
      </c>
      <c r="F187" s="4">
        <v>0.75</v>
      </c>
      <c r="G187" s="9">
        <f>((F187-D187)*24)-E187</f>
        <v>9.0416666666666661</v>
      </c>
      <c r="H187" s="40">
        <f>$C$4*G187</f>
        <v>316.45833333333331</v>
      </c>
      <c r="I187" s="42"/>
      <c r="K187" s="5">
        <f t="shared" si="153"/>
        <v>44885</v>
      </c>
      <c r="L187" s="1" t="str">
        <f t="shared" si="148"/>
        <v>Sunday</v>
      </c>
      <c r="M187" s="2">
        <v>0.25</v>
      </c>
      <c r="N187" s="9">
        <v>0.29166666666666669</v>
      </c>
      <c r="O187" s="2">
        <v>0.66666666666666663</v>
      </c>
      <c r="P187" s="9">
        <f t="shared" si="149"/>
        <v>9.7083333333333339</v>
      </c>
      <c r="Q187" s="40">
        <f t="shared" si="150"/>
        <v>339.79166666666669</v>
      </c>
      <c r="R187" s="40"/>
    </row>
    <row r="188" spans="2:18" ht="19.95" customHeight="1" x14ac:dyDescent="0.25">
      <c r="B188" s="27" t="s">
        <v>7</v>
      </c>
      <c r="C188" s="28"/>
      <c r="D188" s="28"/>
      <c r="E188" s="28"/>
      <c r="F188" s="29"/>
      <c r="G188" s="12">
        <f>SUM(G181:G187)</f>
        <v>67.541666666666657</v>
      </c>
      <c r="H188" s="48">
        <f>SUM(H181:H187)</f>
        <v>2363.958333333333</v>
      </c>
      <c r="I188" s="40"/>
      <c r="K188" s="27" t="s">
        <v>7</v>
      </c>
      <c r="L188" s="28"/>
      <c r="M188" s="28"/>
      <c r="N188" s="28"/>
      <c r="O188" s="29"/>
      <c r="P188" s="12">
        <f>SUM(P181:P187)</f>
        <v>72.791666666666657</v>
      </c>
      <c r="Q188" s="48">
        <f>SUM(Q181:Q187)</f>
        <v>2547.7083333333326</v>
      </c>
      <c r="R188" s="40"/>
    </row>
    <row r="189" spans="2:18" ht="19.95" customHeight="1" x14ac:dyDescent="0.25">
      <c r="B189" s="24" t="s">
        <v>10</v>
      </c>
      <c r="C189" s="26"/>
      <c r="D189" s="26"/>
      <c r="E189" s="26"/>
      <c r="F189" s="26"/>
      <c r="G189" s="25"/>
      <c r="H189" s="44" t="s">
        <v>54</v>
      </c>
      <c r="I189" s="45"/>
      <c r="K189" s="24" t="s">
        <v>10</v>
      </c>
      <c r="L189" s="26"/>
      <c r="M189" s="26"/>
      <c r="N189" s="26"/>
      <c r="O189" s="26"/>
      <c r="P189" s="25"/>
      <c r="Q189" s="44" t="s">
        <v>59</v>
      </c>
      <c r="R189" s="45"/>
    </row>
    <row r="190" spans="2:18" ht="19.95" customHeight="1" x14ac:dyDescent="0.25">
      <c r="B190" s="17" t="s">
        <v>89</v>
      </c>
      <c r="C190" s="17" t="s">
        <v>90</v>
      </c>
      <c r="D190" s="17" t="s">
        <v>2</v>
      </c>
      <c r="E190" s="18" t="s">
        <v>4</v>
      </c>
      <c r="F190" s="17" t="s">
        <v>3</v>
      </c>
      <c r="G190" s="17" t="s">
        <v>91</v>
      </c>
      <c r="H190" s="46" t="s">
        <v>92</v>
      </c>
      <c r="I190" s="46" t="s">
        <v>5</v>
      </c>
      <c r="K190" s="17" t="s">
        <v>89</v>
      </c>
      <c r="L190" s="17" t="s">
        <v>90</v>
      </c>
      <c r="M190" s="17" t="s">
        <v>2</v>
      </c>
      <c r="N190" s="18" t="s">
        <v>4</v>
      </c>
      <c r="O190" s="17" t="s">
        <v>3</v>
      </c>
      <c r="P190" s="17" t="s">
        <v>91</v>
      </c>
      <c r="Q190" s="46" t="s">
        <v>92</v>
      </c>
      <c r="R190" s="46" t="s">
        <v>5</v>
      </c>
    </row>
    <row r="191" spans="2:18" ht="19.95" customHeight="1" x14ac:dyDescent="0.25">
      <c r="B191" s="6">
        <f>B187+1</f>
        <v>44851</v>
      </c>
      <c r="C191" s="1" t="str">
        <f t="shared" ref="C191:C197" si="155">TEXT(B191,"dddd")</f>
        <v>Monday</v>
      </c>
      <c r="D191" s="4">
        <v>0.27083333333333331</v>
      </c>
      <c r="E191" s="9">
        <v>0.33333333333333331</v>
      </c>
      <c r="F191" s="4">
        <v>0.91666666666666663</v>
      </c>
      <c r="G191" s="9">
        <f t="shared" ref="G191:G197" si="156">((F191-D191)*24)-E191</f>
        <v>15.166666666666664</v>
      </c>
      <c r="H191" s="40">
        <f t="shared" ref="H191:H197" si="157">$C$4*G191</f>
        <v>530.83333333333326</v>
      </c>
      <c r="I191" s="42"/>
      <c r="K191" s="6">
        <f>K187+1</f>
        <v>44886</v>
      </c>
      <c r="L191" s="1" t="str">
        <f t="shared" ref="L191:L197" si="158">TEXT(K191,"dddd")</f>
        <v>Monday</v>
      </c>
      <c r="M191" s="4">
        <v>0.29166666666666669</v>
      </c>
      <c r="N191" s="9">
        <v>0.33333333333333331</v>
      </c>
      <c r="O191" s="4">
        <v>0.71875</v>
      </c>
      <c r="P191" s="9">
        <f t="shared" ref="P191:P197" si="159">((O191-M191)*24)-N191</f>
        <v>9.9166666666666661</v>
      </c>
      <c r="Q191" s="40">
        <f t="shared" ref="Q191:Q197" si="160">$C$4*P191</f>
        <v>347.08333333333331</v>
      </c>
      <c r="R191" s="42"/>
    </row>
    <row r="192" spans="2:18" ht="19.95" customHeight="1" x14ac:dyDescent="0.25">
      <c r="B192" s="6">
        <f>B191+1</f>
        <v>44852</v>
      </c>
      <c r="C192" s="1" t="str">
        <f t="shared" si="155"/>
        <v>Tuesday</v>
      </c>
      <c r="D192" s="4">
        <v>0.27083333333333331</v>
      </c>
      <c r="E192" s="9">
        <v>0.33333333333333331</v>
      </c>
      <c r="F192" s="4">
        <v>0.91666666666666663</v>
      </c>
      <c r="G192" s="9">
        <f t="shared" si="156"/>
        <v>15.166666666666664</v>
      </c>
      <c r="H192" s="40">
        <f t="shared" si="157"/>
        <v>530.83333333333326</v>
      </c>
      <c r="I192" s="42"/>
      <c r="K192" s="6">
        <f>K191+1</f>
        <v>44887</v>
      </c>
      <c r="L192" s="1" t="str">
        <f t="shared" si="158"/>
        <v>Tuesday</v>
      </c>
      <c r="M192" s="4">
        <v>0.25</v>
      </c>
      <c r="N192" s="9">
        <v>0.33333333333333331</v>
      </c>
      <c r="O192" s="4">
        <v>0.66666666666666663</v>
      </c>
      <c r="P192" s="9">
        <f t="shared" si="159"/>
        <v>9.6666666666666661</v>
      </c>
      <c r="Q192" s="40">
        <f t="shared" si="160"/>
        <v>338.33333333333331</v>
      </c>
      <c r="R192" s="42"/>
    </row>
    <row r="193" spans="2:18" ht="19.95" customHeight="1" x14ac:dyDescent="0.25">
      <c r="B193" s="6">
        <f t="shared" ref="B193:B197" si="161">B192+1</f>
        <v>44853</v>
      </c>
      <c r="C193" s="1" t="str">
        <f t="shared" si="155"/>
        <v>Wednesday</v>
      </c>
      <c r="D193" s="2">
        <v>0.25</v>
      </c>
      <c r="E193" s="9">
        <v>0.29166666666666669</v>
      </c>
      <c r="F193" s="2">
        <v>0.66666666666666663</v>
      </c>
      <c r="G193" s="9">
        <f t="shared" si="156"/>
        <v>9.7083333333333339</v>
      </c>
      <c r="H193" s="40">
        <f t="shared" si="157"/>
        <v>339.79166666666669</v>
      </c>
      <c r="I193" s="40"/>
      <c r="K193" s="6">
        <f>K192+1</f>
        <v>44888</v>
      </c>
      <c r="L193" s="1" t="str">
        <f t="shared" si="158"/>
        <v>Wednesday</v>
      </c>
      <c r="M193" s="4">
        <v>0.375</v>
      </c>
      <c r="N193" s="9">
        <v>0.33333333333333331</v>
      </c>
      <c r="O193" s="4">
        <v>0.74305555555555547</v>
      </c>
      <c r="P193" s="9">
        <f t="shared" si="159"/>
        <v>8.4999999999999982</v>
      </c>
      <c r="Q193" s="40">
        <f t="shared" si="160"/>
        <v>297.49999999999994</v>
      </c>
      <c r="R193" s="42"/>
    </row>
    <row r="194" spans="2:18" ht="19.95" customHeight="1" x14ac:dyDescent="0.25">
      <c r="B194" s="6">
        <f t="shared" si="161"/>
        <v>44854</v>
      </c>
      <c r="C194" s="1" t="str">
        <f t="shared" si="155"/>
        <v>Thursday</v>
      </c>
      <c r="D194" s="4">
        <v>0.29166666666666669</v>
      </c>
      <c r="E194" s="9">
        <v>0.33333333333333331</v>
      </c>
      <c r="F194" s="4">
        <v>0.71875</v>
      </c>
      <c r="G194" s="9">
        <f t="shared" si="156"/>
        <v>9.9166666666666661</v>
      </c>
      <c r="H194" s="40">
        <f t="shared" si="157"/>
        <v>347.08333333333331</v>
      </c>
      <c r="I194" s="42"/>
      <c r="K194" s="6">
        <f>K193+1</f>
        <v>44889</v>
      </c>
      <c r="L194" s="1" t="str">
        <f t="shared" si="158"/>
        <v>Thursday</v>
      </c>
      <c r="M194" s="4">
        <v>0.41666666666666669</v>
      </c>
      <c r="N194" s="9">
        <v>0.45833333333333331</v>
      </c>
      <c r="O194" s="4">
        <v>0.66666666666666663</v>
      </c>
      <c r="P194" s="9">
        <f t="shared" si="159"/>
        <v>5.5416666666666652</v>
      </c>
      <c r="Q194" s="40">
        <f t="shared" si="160"/>
        <v>193.95833333333329</v>
      </c>
      <c r="R194" s="42"/>
    </row>
    <row r="195" spans="2:18" ht="19.95" customHeight="1" x14ac:dyDescent="0.25">
      <c r="B195" s="6">
        <f t="shared" si="161"/>
        <v>44855</v>
      </c>
      <c r="C195" s="1" t="str">
        <f t="shared" si="155"/>
        <v>Friday</v>
      </c>
      <c r="D195" s="4">
        <v>0.25</v>
      </c>
      <c r="E195" s="9">
        <v>0.33333333333333331</v>
      </c>
      <c r="F195" s="4">
        <v>0.66666666666666663</v>
      </c>
      <c r="G195" s="9">
        <f t="shared" si="156"/>
        <v>9.6666666666666661</v>
      </c>
      <c r="H195" s="40">
        <f t="shared" si="157"/>
        <v>338.33333333333331</v>
      </c>
      <c r="I195" s="42"/>
      <c r="K195" s="6">
        <f>K194+1</f>
        <v>44890</v>
      </c>
      <c r="L195" s="1" t="str">
        <f t="shared" si="158"/>
        <v>Friday</v>
      </c>
      <c r="M195" s="4">
        <v>0.35416666666666669</v>
      </c>
      <c r="N195" s="9">
        <v>0.45833333333333331</v>
      </c>
      <c r="O195" s="4">
        <v>0.75</v>
      </c>
      <c r="P195" s="9">
        <f t="shared" si="159"/>
        <v>9.0416666666666661</v>
      </c>
      <c r="Q195" s="40">
        <f t="shared" si="160"/>
        <v>316.45833333333331</v>
      </c>
      <c r="R195" s="42"/>
    </row>
    <row r="196" spans="2:18" ht="19.95" customHeight="1" x14ac:dyDescent="0.25">
      <c r="B196" s="6">
        <f t="shared" si="161"/>
        <v>44856</v>
      </c>
      <c r="C196" s="1" t="str">
        <f t="shared" si="155"/>
        <v>Saturday</v>
      </c>
      <c r="D196" s="4">
        <v>0.375</v>
      </c>
      <c r="E196" s="9">
        <v>0.33333333333333331</v>
      </c>
      <c r="F196" s="4">
        <v>0.74305555555555547</v>
      </c>
      <c r="G196" s="9">
        <f t="shared" si="156"/>
        <v>8.4999999999999982</v>
      </c>
      <c r="H196" s="40">
        <f t="shared" si="157"/>
        <v>297.49999999999994</v>
      </c>
      <c r="I196" s="42"/>
      <c r="K196" s="6">
        <f>K195+1</f>
        <v>44891</v>
      </c>
      <c r="L196" s="1" t="str">
        <f t="shared" si="158"/>
        <v>Saturday</v>
      </c>
      <c r="M196" s="4">
        <v>0.27083333333333331</v>
      </c>
      <c r="N196" s="9">
        <v>0.33333333333333331</v>
      </c>
      <c r="O196" s="4">
        <v>0.91666666666666663</v>
      </c>
      <c r="P196" s="9">
        <f t="shared" si="159"/>
        <v>15.166666666666664</v>
      </c>
      <c r="Q196" s="40">
        <f t="shared" si="160"/>
        <v>530.83333333333326</v>
      </c>
      <c r="R196" s="42"/>
    </row>
    <row r="197" spans="2:18" ht="19.95" customHeight="1" x14ac:dyDescent="0.25">
      <c r="B197" s="6">
        <f t="shared" si="161"/>
        <v>44857</v>
      </c>
      <c r="C197" s="1" t="str">
        <f t="shared" si="155"/>
        <v>Sunday</v>
      </c>
      <c r="D197" s="4">
        <v>0.41666666666666669</v>
      </c>
      <c r="E197" s="9">
        <v>0.45833333333333331</v>
      </c>
      <c r="F197" s="4">
        <v>0.66666666666666663</v>
      </c>
      <c r="G197" s="9">
        <f t="shared" si="156"/>
        <v>5.5416666666666652</v>
      </c>
      <c r="H197" s="40">
        <f t="shared" si="157"/>
        <v>193.95833333333329</v>
      </c>
      <c r="I197" s="42"/>
      <c r="K197" s="6">
        <f t="shared" ref="K197" si="162">K196+1</f>
        <v>44892</v>
      </c>
      <c r="L197" s="1" t="str">
        <f t="shared" si="158"/>
        <v>Sunday</v>
      </c>
      <c r="M197" s="4">
        <v>0.27083333333333331</v>
      </c>
      <c r="N197" s="9">
        <v>0.33333333333333331</v>
      </c>
      <c r="O197" s="4">
        <v>0.91666666666666663</v>
      </c>
      <c r="P197" s="9">
        <f t="shared" si="159"/>
        <v>15.166666666666664</v>
      </c>
      <c r="Q197" s="40">
        <f t="shared" si="160"/>
        <v>530.83333333333326</v>
      </c>
      <c r="R197" s="42"/>
    </row>
    <row r="198" spans="2:18" ht="19.95" customHeight="1" x14ac:dyDescent="0.25">
      <c r="B198" s="27" t="s">
        <v>7</v>
      </c>
      <c r="C198" s="28"/>
      <c r="D198" s="28"/>
      <c r="E198" s="28"/>
      <c r="F198" s="29"/>
      <c r="G198" s="12">
        <f>SUM(G191:G197)</f>
        <v>73.666666666666657</v>
      </c>
      <c r="H198" s="48">
        <f>SUM(H191:H197)</f>
        <v>2578.3333333333335</v>
      </c>
      <c r="I198" s="40"/>
      <c r="K198" s="27" t="s">
        <v>7</v>
      </c>
      <c r="L198" s="28"/>
      <c r="M198" s="28"/>
      <c r="N198" s="28"/>
      <c r="O198" s="29"/>
      <c r="P198" s="12">
        <f>SUM(P191:P197)</f>
        <v>72.999999999999986</v>
      </c>
      <c r="Q198" s="48">
        <f>SUM(Q191:Q197)</f>
        <v>2554.9999999999995</v>
      </c>
      <c r="R198" s="40"/>
    </row>
    <row r="199" spans="2:18" ht="24.6" x14ac:dyDescent="0.25">
      <c r="B199" s="24" t="s">
        <v>26</v>
      </c>
      <c r="C199" s="26"/>
      <c r="D199" s="26"/>
      <c r="E199" s="26"/>
      <c r="F199" s="26"/>
      <c r="G199" s="25"/>
      <c r="H199" s="44" t="s">
        <v>53</v>
      </c>
      <c r="I199" s="45"/>
      <c r="K199" s="24" t="s">
        <v>26</v>
      </c>
      <c r="L199" s="26"/>
      <c r="M199" s="26"/>
      <c r="N199" s="26"/>
      <c r="O199" s="26"/>
      <c r="P199" s="25"/>
      <c r="Q199" s="44" t="s">
        <v>58</v>
      </c>
      <c r="R199" s="45"/>
    </row>
    <row r="200" spans="2:18" ht="19.95" customHeight="1" x14ac:dyDescent="0.25">
      <c r="B200" s="17" t="s">
        <v>89</v>
      </c>
      <c r="C200" s="17" t="s">
        <v>90</v>
      </c>
      <c r="D200" s="17" t="s">
        <v>2</v>
      </c>
      <c r="E200" s="18" t="s">
        <v>4</v>
      </c>
      <c r="F200" s="17" t="s">
        <v>3</v>
      </c>
      <c r="G200" s="17" t="s">
        <v>91</v>
      </c>
      <c r="H200" s="46" t="s">
        <v>92</v>
      </c>
      <c r="I200" s="46" t="s">
        <v>5</v>
      </c>
      <c r="K200" s="17" t="s">
        <v>89</v>
      </c>
      <c r="L200" s="17" t="s">
        <v>90</v>
      </c>
      <c r="M200" s="17" t="s">
        <v>2</v>
      </c>
      <c r="N200" s="18" t="s">
        <v>4</v>
      </c>
      <c r="O200" s="17" t="s">
        <v>3</v>
      </c>
      <c r="P200" s="17" t="s">
        <v>91</v>
      </c>
      <c r="Q200" s="46" t="s">
        <v>92</v>
      </c>
      <c r="R200" s="46" t="s">
        <v>5</v>
      </c>
    </row>
    <row r="201" spans="2:18" ht="19.95" customHeight="1" x14ac:dyDescent="0.25">
      <c r="B201" s="6">
        <f>B197+1</f>
        <v>44858</v>
      </c>
      <c r="C201" s="1" t="str">
        <f t="shared" ref="C201:C208" si="163">TEXT(B201,"dddd")</f>
        <v>Monday</v>
      </c>
      <c r="D201" s="4">
        <v>0.35416666666666669</v>
      </c>
      <c r="E201" s="9">
        <v>0.45833333333333331</v>
      </c>
      <c r="F201" s="4">
        <v>0.75</v>
      </c>
      <c r="G201" s="9">
        <f t="shared" ref="G201:G208" si="164">((F201-D201)*24)-E201</f>
        <v>9.0416666666666661</v>
      </c>
      <c r="H201" s="40">
        <f t="shared" ref="H201:H208" si="165">$C$4*G201</f>
        <v>316.45833333333331</v>
      </c>
      <c r="I201" s="42"/>
      <c r="K201" s="6">
        <f>K197+1</f>
        <v>44893</v>
      </c>
      <c r="L201" s="1" t="str">
        <f t="shared" ref="L201:L203" si="166">TEXT(K201,"dddd")</f>
        <v>Monday</v>
      </c>
      <c r="M201" s="4">
        <v>0.29166666666666669</v>
      </c>
      <c r="N201" s="9">
        <v>0.33333333333333331</v>
      </c>
      <c r="O201" s="4">
        <v>0.71875</v>
      </c>
      <c r="P201" s="9">
        <f t="shared" ref="P201:P203" si="167">((O201-M201)*24)-N201</f>
        <v>9.9166666666666661</v>
      </c>
      <c r="Q201" s="40">
        <f t="shared" ref="Q201:Q203" si="168">$C$4*P201</f>
        <v>347.08333333333331</v>
      </c>
      <c r="R201" s="42"/>
    </row>
    <row r="202" spans="2:18" ht="19.95" customHeight="1" x14ac:dyDescent="0.25">
      <c r="B202" s="6">
        <f>B201+1</f>
        <v>44859</v>
      </c>
      <c r="C202" s="1" t="str">
        <f t="shared" si="163"/>
        <v>Tuesday</v>
      </c>
      <c r="D202" s="4">
        <v>0.27083333333333331</v>
      </c>
      <c r="E202" s="9">
        <v>0.33333333333333331</v>
      </c>
      <c r="F202" s="4">
        <v>0.91666666666666663</v>
      </c>
      <c r="G202" s="9">
        <f t="shared" si="164"/>
        <v>15.166666666666664</v>
      </c>
      <c r="H202" s="40">
        <f t="shared" si="165"/>
        <v>530.83333333333326</v>
      </c>
      <c r="I202" s="42"/>
      <c r="K202" s="6">
        <f>K201+1</f>
        <v>44894</v>
      </c>
      <c r="L202" s="1" t="str">
        <f t="shared" si="166"/>
        <v>Tuesday</v>
      </c>
      <c r="M202" s="4">
        <v>0.25</v>
      </c>
      <c r="N202" s="9">
        <v>0.33333333333333331</v>
      </c>
      <c r="O202" s="4">
        <v>0.66666666666666663</v>
      </c>
      <c r="P202" s="9">
        <f t="shared" si="167"/>
        <v>9.6666666666666661</v>
      </c>
      <c r="Q202" s="40">
        <f t="shared" si="168"/>
        <v>338.33333333333331</v>
      </c>
      <c r="R202" s="42"/>
    </row>
    <row r="203" spans="2:18" ht="19.95" customHeight="1" x14ac:dyDescent="0.25">
      <c r="B203" s="6">
        <f t="shared" ref="B203:B207" si="169">B202+1</f>
        <v>44860</v>
      </c>
      <c r="C203" s="1" t="str">
        <f t="shared" si="163"/>
        <v>Wednesday</v>
      </c>
      <c r="D203" s="4">
        <v>0.27083333333333331</v>
      </c>
      <c r="E203" s="9">
        <v>0.33333333333333331</v>
      </c>
      <c r="F203" s="4">
        <v>0.91666666666666663</v>
      </c>
      <c r="G203" s="9">
        <f t="shared" si="164"/>
        <v>15.166666666666664</v>
      </c>
      <c r="H203" s="40">
        <f t="shared" si="165"/>
        <v>530.83333333333326</v>
      </c>
      <c r="I203" s="42"/>
      <c r="K203" s="6">
        <f>K202+1</f>
        <v>44895</v>
      </c>
      <c r="L203" s="1" t="str">
        <f t="shared" si="166"/>
        <v>Wednesday</v>
      </c>
      <c r="M203" s="4">
        <v>0.375</v>
      </c>
      <c r="N203" s="9">
        <v>0.33333333333333331</v>
      </c>
      <c r="O203" s="4">
        <v>0.74305555555555547</v>
      </c>
      <c r="P203" s="9">
        <f t="shared" si="167"/>
        <v>8.4999999999999982</v>
      </c>
      <c r="Q203" s="40">
        <f t="shared" si="168"/>
        <v>297.49999999999994</v>
      </c>
      <c r="R203" s="42"/>
    </row>
    <row r="204" spans="2:18" ht="19.95" customHeight="1" x14ac:dyDescent="0.25">
      <c r="B204" s="6">
        <f t="shared" si="169"/>
        <v>44861</v>
      </c>
      <c r="C204" s="1" t="str">
        <f t="shared" si="163"/>
        <v>Thursday</v>
      </c>
      <c r="D204" s="2">
        <v>0.25</v>
      </c>
      <c r="E204" s="9">
        <v>0.29166666666666669</v>
      </c>
      <c r="F204" s="2">
        <v>0.66666666666666663</v>
      </c>
      <c r="G204" s="9">
        <f t="shared" si="164"/>
        <v>9.7083333333333339</v>
      </c>
      <c r="H204" s="40">
        <f t="shared" si="165"/>
        <v>339.79166666666669</v>
      </c>
      <c r="I204" s="40"/>
      <c r="K204" s="6"/>
      <c r="L204" s="1"/>
      <c r="M204" s="4"/>
      <c r="N204" s="9"/>
      <c r="O204" s="4"/>
      <c r="P204" s="9"/>
      <c r="Q204" s="40"/>
      <c r="R204" s="42"/>
    </row>
    <row r="205" spans="2:18" ht="19.95" customHeight="1" x14ac:dyDescent="0.25">
      <c r="B205" s="6">
        <f t="shared" si="169"/>
        <v>44862</v>
      </c>
      <c r="C205" s="1" t="str">
        <f t="shared" si="163"/>
        <v>Friday</v>
      </c>
      <c r="D205" s="4">
        <v>0.29166666666666669</v>
      </c>
      <c r="E205" s="9">
        <v>0.33333333333333331</v>
      </c>
      <c r="F205" s="4">
        <v>0.71875</v>
      </c>
      <c r="G205" s="9">
        <f t="shared" si="164"/>
        <v>9.9166666666666661</v>
      </c>
      <c r="H205" s="40">
        <f t="shared" si="165"/>
        <v>347.08333333333331</v>
      </c>
      <c r="I205" s="42"/>
      <c r="K205" s="6"/>
      <c r="L205" s="1"/>
      <c r="M205" s="4"/>
      <c r="N205" s="9"/>
      <c r="O205" s="4"/>
      <c r="P205" s="9"/>
      <c r="Q205" s="40"/>
      <c r="R205" s="42"/>
    </row>
    <row r="206" spans="2:18" ht="19.95" customHeight="1" x14ac:dyDescent="0.25">
      <c r="B206" s="6">
        <f t="shared" si="169"/>
        <v>44863</v>
      </c>
      <c r="C206" s="1" t="str">
        <f t="shared" si="163"/>
        <v>Saturday</v>
      </c>
      <c r="D206" s="4">
        <v>0.25</v>
      </c>
      <c r="E206" s="9">
        <v>0.33333333333333331</v>
      </c>
      <c r="F206" s="4">
        <v>0.66666666666666663</v>
      </c>
      <c r="G206" s="9">
        <f t="shared" si="164"/>
        <v>9.6666666666666661</v>
      </c>
      <c r="H206" s="40">
        <f t="shared" si="165"/>
        <v>338.33333333333331</v>
      </c>
      <c r="I206" s="42"/>
      <c r="K206" s="6"/>
      <c r="L206" s="1"/>
      <c r="M206" s="4"/>
      <c r="N206" s="9"/>
      <c r="O206" s="4"/>
      <c r="P206" s="9"/>
      <c r="Q206" s="40"/>
      <c r="R206" s="42"/>
    </row>
    <row r="207" spans="2:18" ht="19.95" customHeight="1" x14ac:dyDescent="0.25">
      <c r="B207" s="6">
        <f t="shared" si="169"/>
        <v>44864</v>
      </c>
      <c r="C207" s="1" t="str">
        <f t="shared" si="163"/>
        <v>Sunday</v>
      </c>
      <c r="D207" s="4">
        <v>0.375</v>
      </c>
      <c r="E207" s="9">
        <v>0.33333333333333331</v>
      </c>
      <c r="F207" s="4">
        <v>0.74305555555555547</v>
      </c>
      <c r="G207" s="9">
        <f t="shared" si="164"/>
        <v>8.4999999999999982</v>
      </c>
      <c r="H207" s="40">
        <f t="shared" si="165"/>
        <v>297.49999999999994</v>
      </c>
      <c r="I207" s="42"/>
      <c r="K207" s="6"/>
      <c r="L207" s="1"/>
      <c r="M207" s="4"/>
      <c r="N207" s="9"/>
      <c r="O207" s="4"/>
      <c r="P207" s="9"/>
      <c r="Q207" s="40"/>
      <c r="R207" s="42"/>
    </row>
    <row r="208" spans="2:18" ht="19.95" customHeight="1" x14ac:dyDescent="0.25">
      <c r="B208" s="6">
        <f t="shared" ref="B208" si="170">B207+1</f>
        <v>44865</v>
      </c>
      <c r="C208" s="1" t="str">
        <f t="shared" si="163"/>
        <v>Monday</v>
      </c>
      <c r="D208" s="4">
        <v>0.375</v>
      </c>
      <c r="E208" s="9">
        <v>0.33333333333333331</v>
      </c>
      <c r="F208" s="4">
        <v>0.74305555555555547</v>
      </c>
      <c r="G208" s="9">
        <f t="shared" si="164"/>
        <v>8.4999999999999982</v>
      </c>
      <c r="H208" s="40">
        <f t="shared" si="165"/>
        <v>297.49999999999994</v>
      </c>
      <c r="I208" s="42"/>
      <c r="K208" s="6"/>
      <c r="L208" s="1"/>
      <c r="M208" s="4"/>
      <c r="N208" s="9"/>
      <c r="O208" s="4"/>
      <c r="P208" s="9"/>
      <c r="Q208" s="40"/>
      <c r="R208" s="42"/>
    </row>
    <row r="209" spans="2:18" ht="19.95" customHeight="1" x14ac:dyDescent="0.25">
      <c r="B209" s="27" t="s">
        <v>7</v>
      </c>
      <c r="C209" s="28"/>
      <c r="D209" s="28"/>
      <c r="E209" s="28"/>
      <c r="F209" s="29"/>
      <c r="G209" s="12">
        <f>SUM(G201:G208)</f>
        <v>85.666666666666657</v>
      </c>
      <c r="H209" s="43">
        <f>SUM(H201:H208)</f>
        <v>2998.3333333333335</v>
      </c>
      <c r="I209" s="40"/>
      <c r="K209" s="27" t="s">
        <v>7</v>
      </c>
      <c r="L209" s="28"/>
      <c r="M209" s="28"/>
      <c r="N209" s="28"/>
      <c r="O209" s="29"/>
      <c r="P209" s="12">
        <f>SUM(P201:P208)</f>
        <v>28.083333333333329</v>
      </c>
      <c r="Q209" s="43">
        <f>SUM(Q201:Q208)</f>
        <v>982.91666666666652</v>
      </c>
      <c r="R209" s="42"/>
    </row>
    <row r="210" spans="2:18" ht="24.6" x14ac:dyDescent="0.25">
      <c r="B210" s="24" t="s">
        <v>6</v>
      </c>
      <c r="C210" s="26"/>
      <c r="D210" s="26"/>
      <c r="E210" s="26"/>
      <c r="F210" s="26"/>
      <c r="G210" s="25"/>
      <c r="H210" s="44" t="s">
        <v>62</v>
      </c>
      <c r="I210" s="45"/>
      <c r="K210" s="24" t="s">
        <v>6</v>
      </c>
      <c r="L210" s="26"/>
      <c r="M210" s="26"/>
      <c r="N210" s="26"/>
      <c r="O210" s="26"/>
      <c r="P210" s="25"/>
      <c r="Q210" s="44" t="s">
        <v>67</v>
      </c>
      <c r="R210" s="45"/>
    </row>
    <row r="211" spans="2:18" ht="19.95" customHeight="1" x14ac:dyDescent="0.25">
      <c r="B211" s="17" t="s">
        <v>89</v>
      </c>
      <c r="C211" s="17" t="s">
        <v>90</v>
      </c>
      <c r="D211" s="17" t="s">
        <v>2</v>
      </c>
      <c r="E211" s="18" t="s">
        <v>4</v>
      </c>
      <c r="F211" s="17" t="s">
        <v>3</v>
      </c>
      <c r="G211" s="17" t="s">
        <v>91</v>
      </c>
      <c r="H211" s="46" t="s">
        <v>92</v>
      </c>
      <c r="I211" s="46" t="s">
        <v>5</v>
      </c>
      <c r="K211" s="17" t="s">
        <v>89</v>
      </c>
      <c r="L211" s="17" t="s">
        <v>90</v>
      </c>
      <c r="M211" s="17" t="s">
        <v>2</v>
      </c>
      <c r="N211" s="18" t="s">
        <v>4</v>
      </c>
      <c r="O211" s="17" t="s">
        <v>3</v>
      </c>
      <c r="P211" s="17" t="s">
        <v>91</v>
      </c>
      <c r="Q211" s="46" t="s">
        <v>92</v>
      </c>
      <c r="R211" s="46" t="s">
        <v>5</v>
      </c>
    </row>
    <row r="212" spans="2:18" ht="19.95" customHeight="1" x14ac:dyDescent="0.25">
      <c r="B212" s="6">
        <v>44896</v>
      </c>
      <c r="C212" s="1" t="str">
        <f>TEXT(B212,"dddd")</f>
        <v>Thursday</v>
      </c>
      <c r="D212" s="4">
        <v>0.25</v>
      </c>
      <c r="E212" s="9">
        <v>0.33333333333333331</v>
      </c>
      <c r="F212" s="4">
        <v>0.66666666666666663</v>
      </c>
      <c r="G212" s="9">
        <f t="shared" ref="G212:G213" si="171">((F212-D212)*24)-E212</f>
        <v>9.6666666666666661</v>
      </c>
      <c r="H212" s="40">
        <f t="shared" ref="H212:H213" si="172">$C$4*G212</f>
        <v>338.33333333333331</v>
      </c>
      <c r="I212" s="42"/>
      <c r="K212" s="5">
        <v>44927</v>
      </c>
      <c r="L212" s="1" t="str">
        <f>TEXT(K212,"dddd")</f>
        <v>Sunday</v>
      </c>
      <c r="M212" s="2">
        <v>0.25</v>
      </c>
      <c r="N212" s="9">
        <v>0.29166666666666669</v>
      </c>
      <c r="O212" s="2">
        <v>0.66666666666666663</v>
      </c>
      <c r="P212" s="9">
        <f>((O212-M212)*24)-N212</f>
        <v>9.7083333333333339</v>
      </c>
      <c r="Q212" s="40">
        <f t="shared" ref="Q212:Q217" si="173">$C$4*P212</f>
        <v>339.79166666666669</v>
      </c>
      <c r="R212" s="40"/>
    </row>
    <row r="213" spans="2:18" ht="19.95" customHeight="1" x14ac:dyDescent="0.25">
      <c r="B213" s="6">
        <f>B212+1</f>
        <v>44897</v>
      </c>
      <c r="C213" s="1" t="str">
        <f>TEXT(B213,"dddd")</f>
        <v>Friday</v>
      </c>
      <c r="D213" s="4">
        <v>0.25</v>
      </c>
      <c r="E213" s="9">
        <v>0.33333333333333331</v>
      </c>
      <c r="F213" s="4">
        <v>0.66666666666666663</v>
      </c>
      <c r="G213" s="9">
        <f t="shared" si="171"/>
        <v>9.6666666666666661</v>
      </c>
      <c r="H213" s="40">
        <f t="shared" si="172"/>
        <v>338.33333333333331</v>
      </c>
      <c r="I213" s="42"/>
      <c r="K213" s="6">
        <f t="shared" ref="K213:K219" si="174">K212+1</f>
        <v>44928</v>
      </c>
      <c r="L213" s="1" t="str">
        <f t="shared" ref="L213:L217" si="175">TEXT(K213,"dddd")</f>
        <v>Monday</v>
      </c>
      <c r="M213" s="4">
        <v>0.29166666666666669</v>
      </c>
      <c r="N213" s="9">
        <v>0.33333333333333331</v>
      </c>
      <c r="O213" s="4">
        <v>0.71875</v>
      </c>
      <c r="P213" s="9">
        <f>((O213-M213)*24)-N213</f>
        <v>9.9166666666666661</v>
      </c>
      <c r="Q213" s="40">
        <f t="shared" si="173"/>
        <v>347.08333333333331</v>
      </c>
      <c r="R213" s="42"/>
    </row>
    <row r="214" spans="2:18" ht="19.95" customHeight="1" x14ac:dyDescent="0.25">
      <c r="B214" s="6">
        <f>B213+1</f>
        <v>44898</v>
      </c>
      <c r="C214" s="1" t="str">
        <f>TEXT(B214,"dddd")</f>
        <v>Saturday</v>
      </c>
      <c r="D214" s="4">
        <v>0.25</v>
      </c>
      <c r="E214" s="9">
        <v>0.33333333333333331</v>
      </c>
      <c r="F214" s="4">
        <v>0.66666666666666663</v>
      </c>
      <c r="G214" s="9">
        <f t="shared" ref="G214" si="176">((F214-D214)*24)-E214</f>
        <v>9.6666666666666661</v>
      </c>
      <c r="H214" s="40">
        <f t="shared" ref="H214" si="177">$C$4*G214</f>
        <v>338.33333333333331</v>
      </c>
      <c r="I214" s="42"/>
      <c r="K214" s="6">
        <f t="shared" si="174"/>
        <v>44929</v>
      </c>
      <c r="L214" s="1" t="str">
        <f t="shared" si="175"/>
        <v>Tuesday</v>
      </c>
      <c r="M214" s="4">
        <v>0.25</v>
      </c>
      <c r="N214" s="9">
        <v>0.33333333333333331</v>
      </c>
      <c r="O214" s="4">
        <v>0.66666666666666663</v>
      </c>
      <c r="P214" s="9">
        <f t="shared" ref="P214:P217" si="178">((O214-M214)*24)-N214</f>
        <v>9.6666666666666661</v>
      </c>
      <c r="Q214" s="40">
        <f t="shared" si="173"/>
        <v>338.33333333333331</v>
      </c>
      <c r="R214" s="42"/>
    </row>
    <row r="215" spans="2:18" ht="19.95" customHeight="1" x14ac:dyDescent="0.25">
      <c r="B215" s="6">
        <f t="shared" ref="B215" si="179">B214+1</f>
        <v>44899</v>
      </c>
      <c r="C215" s="1" t="str">
        <f t="shared" ref="C215" si="180">TEXT(B215,"dddd")</f>
        <v>Sunday</v>
      </c>
      <c r="D215" s="4">
        <v>0.25</v>
      </c>
      <c r="E215" s="9">
        <v>0.33333333333333331</v>
      </c>
      <c r="F215" s="4">
        <v>0.66666666666666663</v>
      </c>
      <c r="G215" s="9">
        <f t="shared" ref="G215" si="181">((F215-D215)*24)-E215</f>
        <v>9.6666666666666661</v>
      </c>
      <c r="H215" s="40">
        <f t="shared" ref="H215" si="182">$C$4*G215</f>
        <v>338.33333333333331</v>
      </c>
      <c r="I215" s="42"/>
      <c r="K215" s="6">
        <f t="shared" si="174"/>
        <v>44930</v>
      </c>
      <c r="L215" s="1" t="str">
        <f t="shared" si="175"/>
        <v>Wednesday</v>
      </c>
      <c r="M215" s="4">
        <v>0.25</v>
      </c>
      <c r="N215" s="9">
        <v>0.33333333333333331</v>
      </c>
      <c r="O215" s="4">
        <v>0.66666666666666663</v>
      </c>
      <c r="P215" s="9">
        <f t="shared" si="178"/>
        <v>9.6666666666666661</v>
      </c>
      <c r="Q215" s="40">
        <f t="shared" si="173"/>
        <v>338.33333333333331</v>
      </c>
      <c r="R215" s="42"/>
    </row>
    <row r="216" spans="2:18" ht="19.95" customHeight="1" x14ac:dyDescent="0.25">
      <c r="B216" s="6"/>
      <c r="C216" s="1"/>
      <c r="D216" s="4"/>
      <c r="E216" s="9"/>
      <c r="F216" s="4"/>
      <c r="G216" s="9"/>
      <c r="H216" s="40"/>
      <c r="I216" s="42"/>
      <c r="K216" s="6">
        <f t="shared" si="174"/>
        <v>44931</v>
      </c>
      <c r="L216" s="1" t="str">
        <f t="shared" si="175"/>
        <v>Thursday</v>
      </c>
      <c r="M216" s="4">
        <v>0.25</v>
      </c>
      <c r="N216" s="9">
        <v>0.33333333333333331</v>
      </c>
      <c r="O216" s="4">
        <v>0.66666666666666663</v>
      </c>
      <c r="P216" s="9">
        <f t="shared" si="178"/>
        <v>9.6666666666666661</v>
      </c>
      <c r="Q216" s="40">
        <f t="shared" si="173"/>
        <v>338.33333333333331</v>
      </c>
      <c r="R216" s="42"/>
    </row>
    <row r="217" spans="2:18" ht="19.95" customHeight="1" x14ac:dyDescent="0.25">
      <c r="B217" s="6"/>
      <c r="C217" s="1"/>
      <c r="D217" s="4"/>
      <c r="E217" s="9"/>
      <c r="F217" s="4"/>
      <c r="G217" s="9"/>
      <c r="H217" s="40"/>
      <c r="I217" s="42"/>
      <c r="K217" s="6">
        <f t="shared" si="174"/>
        <v>44932</v>
      </c>
      <c r="L217" s="1" t="str">
        <f t="shared" si="175"/>
        <v>Friday</v>
      </c>
      <c r="M217" s="4">
        <v>0.25</v>
      </c>
      <c r="N217" s="9">
        <v>0.33333333333333331</v>
      </c>
      <c r="O217" s="4">
        <v>0.66666666666666663</v>
      </c>
      <c r="P217" s="9">
        <f t="shared" si="178"/>
        <v>9.6666666666666661</v>
      </c>
      <c r="Q217" s="40">
        <f t="shared" si="173"/>
        <v>338.33333333333331</v>
      </c>
      <c r="R217" s="42"/>
    </row>
    <row r="218" spans="2:18" ht="19.95" customHeight="1" x14ac:dyDescent="0.25">
      <c r="B218" s="6"/>
      <c r="C218" s="21"/>
      <c r="D218" s="4"/>
      <c r="E218" s="3"/>
      <c r="F218" s="4"/>
      <c r="G218" s="3"/>
      <c r="H218" s="42"/>
      <c r="I218" s="42"/>
      <c r="K218" s="6">
        <f t="shared" si="174"/>
        <v>44933</v>
      </c>
      <c r="L218" s="1" t="str">
        <f t="shared" ref="L218" si="183">TEXT(K218,"dddd")</f>
        <v>Saturday</v>
      </c>
      <c r="M218" s="4">
        <v>0.25</v>
      </c>
      <c r="N218" s="9">
        <v>0.33333333333333331</v>
      </c>
      <c r="O218" s="4">
        <v>0.66666666666666663</v>
      </c>
      <c r="P218" s="9">
        <f t="shared" ref="P218" si="184">((O218-M218)*24)-N218</f>
        <v>9.6666666666666661</v>
      </c>
      <c r="Q218" s="40">
        <f t="shared" ref="Q218" si="185">$C$4*P218</f>
        <v>338.33333333333331</v>
      </c>
      <c r="R218" s="42"/>
    </row>
    <row r="219" spans="2:18" ht="19.95" customHeight="1" x14ac:dyDescent="0.25">
      <c r="B219" s="6"/>
      <c r="C219" s="1"/>
      <c r="D219" s="4"/>
      <c r="E219" s="9"/>
      <c r="F219" s="4"/>
      <c r="G219" s="9"/>
      <c r="H219" s="40"/>
      <c r="I219" s="42"/>
      <c r="K219" s="6">
        <f t="shared" si="174"/>
        <v>44934</v>
      </c>
      <c r="L219" s="1" t="str">
        <f t="shared" ref="L219" si="186">TEXT(K219,"dddd")</f>
        <v>Sunday</v>
      </c>
      <c r="M219" s="4">
        <v>0.25</v>
      </c>
      <c r="N219" s="9">
        <v>0.33333333333333331</v>
      </c>
      <c r="O219" s="4">
        <v>0.66666666666666663</v>
      </c>
      <c r="P219" s="9">
        <f t="shared" ref="P219" si="187">((O219-M219)*24)-N219</f>
        <v>9.6666666666666661</v>
      </c>
      <c r="Q219" s="40">
        <f t="shared" ref="Q219" si="188">$C$4*P219</f>
        <v>338.33333333333331</v>
      </c>
      <c r="R219" s="42"/>
    </row>
    <row r="220" spans="2:18" ht="19.95" customHeight="1" x14ac:dyDescent="0.25">
      <c r="B220" s="31" t="s">
        <v>7</v>
      </c>
      <c r="C220" s="32"/>
      <c r="D220" s="32"/>
      <c r="E220" s="32"/>
      <c r="F220" s="33"/>
      <c r="G220" s="19">
        <f>SUM(G212:G219)</f>
        <v>38.666666666666664</v>
      </c>
      <c r="H220" s="43">
        <f>SUM(H212:H219)</f>
        <v>1353.3333333333333</v>
      </c>
      <c r="I220" s="40"/>
      <c r="K220" s="30" t="s">
        <v>7</v>
      </c>
      <c r="L220" s="30"/>
      <c r="M220" s="30"/>
      <c r="N220" s="30"/>
      <c r="O220" s="30"/>
      <c r="P220" s="12">
        <f>SUM(P212:P219)</f>
        <v>77.625</v>
      </c>
      <c r="Q220" s="48">
        <f>SUM(Q212:Q219)</f>
        <v>2716.875</v>
      </c>
      <c r="R220" s="42"/>
    </row>
    <row r="221" spans="2:18" ht="19.95" customHeight="1" x14ac:dyDescent="0.25">
      <c r="B221" s="34" t="s">
        <v>8</v>
      </c>
      <c r="C221" s="34"/>
      <c r="D221" s="34"/>
      <c r="E221" s="34"/>
      <c r="F221" s="34"/>
      <c r="G221" s="34"/>
      <c r="H221" s="44" t="s">
        <v>66</v>
      </c>
      <c r="I221" s="45"/>
      <c r="K221" s="24" t="s">
        <v>8</v>
      </c>
      <c r="L221" s="26"/>
      <c r="M221" s="26"/>
      <c r="N221" s="26"/>
      <c r="O221" s="26"/>
      <c r="P221" s="25"/>
      <c r="Q221" s="44" t="s">
        <v>71</v>
      </c>
      <c r="R221" s="45"/>
    </row>
    <row r="222" spans="2:18" ht="19.95" customHeight="1" x14ac:dyDescent="0.25">
      <c r="B222" s="17" t="s">
        <v>89</v>
      </c>
      <c r="C222" s="17" t="s">
        <v>90</v>
      </c>
      <c r="D222" s="17" t="s">
        <v>2</v>
      </c>
      <c r="E222" s="18" t="s">
        <v>4</v>
      </c>
      <c r="F222" s="17" t="s">
        <v>3</v>
      </c>
      <c r="G222" s="17" t="s">
        <v>91</v>
      </c>
      <c r="H222" s="46" t="s">
        <v>92</v>
      </c>
      <c r="I222" s="46" t="s">
        <v>5</v>
      </c>
      <c r="K222" s="17" t="s">
        <v>89</v>
      </c>
      <c r="L222" s="17" t="s">
        <v>90</v>
      </c>
      <c r="M222" s="17" t="s">
        <v>2</v>
      </c>
      <c r="N222" s="18" t="s">
        <v>4</v>
      </c>
      <c r="O222" s="17" t="s">
        <v>3</v>
      </c>
      <c r="P222" s="17" t="s">
        <v>91</v>
      </c>
      <c r="Q222" s="46" t="s">
        <v>92</v>
      </c>
      <c r="R222" s="46" t="s">
        <v>5</v>
      </c>
    </row>
    <row r="223" spans="2:18" ht="19.95" customHeight="1" x14ac:dyDescent="0.25">
      <c r="B223" s="6">
        <f>B215+1</f>
        <v>44900</v>
      </c>
      <c r="C223" s="1" t="str">
        <f t="shared" ref="C223:C229" si="189">TEXT(B223,"dddd")</f>
        <v>Monday</v>
      </c>
      <c r="D223" s="2">
        <v>0.25</v>
      </c>
      <c r="E223" s="9">
        <v>0.29166666666666669</v>
      </c>
      <c r="F223" s="2">
        <v>0.66666666666666663</v>
      </c>
      <c r="G223" s="9">
        <f t="shared" ref="G223:G229" si="190">((F223-D223)*24)-E223</f>
        <v>9.7083333333333339</v>
      </c>
      <c r="H223" s="40">
        <f t="shared" ref="H223:H229" si="191">$C$4*G223</f>
        <v>339.79166666666669</v>
      </c>
      <c r="I223" s="40"/>
      <c r="K223" s="6">
        <f>K219+1</f>
        <v>44935</v>
      </c>
      <c r="L223" s="1" t="str">
        <f t="shared" ref="L223:L229" si="192">TEXT(K223,"dddd")</f>
        <v>Monday</v>
      </c>
      <c r="M223" s="4">
        <v>0.375</v>
      </c>
      <c r="N223" s="9">
        <v>0.33333333333333331</v>
      </c>
      <c r="O223" s="4">
        <v>0.74305555555555547</v>
      </c>
      <c r="P223" s="9">
        <f t="shared" ref="P223:P229" si="193">((O223-M223)*24)-N223</f>
        <v>8.4999999999999982</v>
      </c>
      <c r="Q223" s="40">
        <f t="shared" ref="Q223:Q229" si="194">$C$4*P223</f>
        <v>297.49999999999994</v>
      </c>
      <c r="R223" s="42"/>
    </row>
    <row r="224" spans="2:18" ht="19.95" customHeight="1" x14ac:dyDescent="0.25">
      <c r="B224" s="6">
        <f>B223+1</f>
        <v>44901</v>
      </c>
      <c r="C224" s="1" t="str">
        <f t="shared" si="189"/>
        <v>Tuesday</v>
      </c>
      <c r="D224" s="2">
        <v>0.25</v>
      </c>
      <c r="E224" s="9">
        <v>0.29166666666666669</v>
      </c>
      <c r="F224" s="2">
        <v>0.66666666666666663</v>
      </c>
      <c r="G224" s="9">
        <f t="shared" si="190"/>
        <v>9.7083333333333339</v>
      </c>
      <c r="H224" s="40">
        <f t="shared" si="191"/>
        <v>339.79166666666669</v>
      </c>
      <c r="I224" s="40"/>
      <c r="K224" s="6">
        <f t="shared" ref="K224:K229" si="195">K223+1</f>
        <v>44936</v>
      </c>
      <c r="L224" s="1" t="str">
        <f t="shared" si="192"/>
        <v>Tuesday</v>
      </c>
      <c r="M224" s="4">
        <v>0.41666666666666669</v>
      </c>
      <c r="N224" s="9">
        <v>0.45833333333333331</v>
      </c>
      <c r="O224" s="4">
        <v>0.66666666666666663</v>
      </c>
      <c r="P224" s="9">
        <f t="shared" si="193"/>
        <v>5.5416666666666652</v>
      </c>
      <c r="Q224" s="40">
        <f t="shared" si="194"/>
        <v>193.95833333333329</v>
      </c>
      <c r="R224" s="42"/>
    </row>
    <row r="225" spans="2:18" ht="19.95" customHeight="1" x14ac:dyDescent="0.25">
      <c r="B225" s="6">
        <f t="shared" ref="B225:B229" si="196">B224+1</f>
        <v>44902</v>
      </c>
      <c r="C225" s="1" t="str">
        <f t="shared" si="189"/>
        <v>Wednesday</v>
      </c>
      <c r="D225" s="2">
        <v>0.25</v>
      </c>
      <c r="E225" s="9">
        <v>0.29166666666666669</v>
      </c>
      <c r="F225" s="2">
        <v>0.66666666666666663</v>
      </c>
      <c r="G225" s="9">
        <f t="shared" si="190"/>
        <v>9.7083333333333339</v>
      </c>
      <c r="H225" s="40">
        <f t="shared" si="191"/>
        <v>339.79166666666669</v>
      </c>
      <c r="I225" s="40"/>
      <c r="K225" s="6">
        <f t="shared" si="195"/>
        <v>44937</v>
      </c>
      <c r="L225" s="1" t="str">
        <f t="shared" si="192"/>
        <v>Wednesday</v>
      </c>
      <c r="M225" s="4">
        <v>0.35416666666666669</v>
      </c>
      <c r="N225" s="9">
        <v>0.45833333333333331</v>
      </c>
      <c r="O225" s="4">
        <v>0.75</v>
      </c>
      <c r="P225" s="9">
        <f t="shared" si="193"/>
        <v>9.0416666666666661</v>
      </c>
      <c r="Q225" s="40">
        <f t="shared" si="194"/>
        <v>316.45833333333331</v>
      </c>
      <c r="R225" s="42"/>
    </row>
    <row r="226" spans="2:18" ht="19.95" customHeight="1" x14ac:dyDescent="0.25">
      <c r="B226" s="6">
        <f t="shared" si="196"/>
        <v>44903</v>
      </c>
      <c r="C226" s="1" t="str">
        <f t="shared" si="189"/>
        <v>Thursday</v>
      </c>
      <c r="D226" s="2">
        <v>0.375</v>
      </c>
      <c r="E226" s="9">
        <v>0.33333333333333331</v>
      </c>
      <c r="F226" s="2">
        <v>0.74305555555555547</v>
      </c>
      <c r="G226" s="9">
        <f t="shared" si="190"/>
        <v>8.4999999999999982</v>
      </c>
      <c r="H226" s="40">
        <f t="shared" si="191"/>
        <v>297.49999999999994</v>
      </c>
      <c r="I226" s="40"/>
      <c r="K226" s="6">
        <f t="shared" si="195"/>
        <v>44938</v>
      </c>
      <c r="L226" s="1" t="str">
        <f t="shared" si="192"/>
        <v>Thursday</v>
      </c>
      <c r="M226" s="4">
        <v>0.27083333333333331</v>
      </c>
      <c r="N226" s="9">
        <v>0.33333333333333331</v>
      </c>
      <c r="O226" s="4">
        <v>0.91666666666666663</v>
      </c>
      <c r="P226" s="9">
        <f t="shared" si="193"/>
        <v>15.166666666666664</v>
      </c>
      <c r="Q226" s="40">
        <f t="shared" si="194"/>
        <v>530.83333333333326</v>
      </c>
      <c r="R226" s="42"/>
    </row>
    <row r="227" spans="2:18" ht="19.95" customHeight="1" x14ac:dyDescent="0.25">
      <c r="B227" s="6">
        <f t="shared" si="196"/>
        <v>44904</v>
      </c>
      <c r="C227" s="1" t="str">
        <f t="shared" si="189"/>
        <v>Friday</v>
      </c>
      <c r="D227" s="4">
        <v>0.41666666666666669</v>
      </c>
      <c r="E227" s="9">
        <v>0.45833333333333331</v>
      </c>
      <c r="F227" s="4">
        <v>0.66666666666666663</v>
      </c>
      <c r="G227" s="9">
        <f t="shared" si="190"/>
        <v>5.5416666666666652</v>
      </c>
      <c r="H227" s="40">
        <f t="shared" si="191"/>
        <v>193.95833333333329</v>
      </c>
      <c r="I227" s="42"/>
      <c r="K227" s="6">
        <f t="shared" si="195"/>
        <v>44939</v>
      </c>
      <c r="L227" s="1" t="str">
        <f t="shared" si="192"/>
        <v>Friday</v>
      </c>
      <c r="M227" s="4">
        <v>0.27083333333333331</v>
      </c>
      <c r="N227" s="9">
        <v>0.33333333333333331</v>
      </c>
      <c r="O227" s="4">
        <v>0.91666666666666663</v>
      </c>
      <c r="P227" s="9">
        <f t="shared" si="193"/>
        <v>15.166666666666664</v>
      </c>
      <c r="Q227" s="40">
        <f t="shared" si="194"/>
        <v>530.83333333333326</v>
      </c>
      <c r="R227" s="42"/>
    </row>
    <row r="228" spans="2:18" ht="19.95" customHeight="1" x14ac:dyDescent="0.25">
      <c r="B228" s="6">
        <f t="shared" si="196"/>
        <v>44905</v>
      </c>
      <c r="C228" s="1" t="str">
        <f t="shared" si="189"/>
        <v>Saturday</v>
      </c>
      <c r="D228" s="4">
        <v>0.35416666666666669</v>
      </c>
      <c r="E228" s="9">
        <v>0.45833333333333331</v>
      </c>
      <c r="F228" s="4">
        <v>0.75</v>
      </c>
      <c r="G228" s="9">
        <f t="shared" si="190"/>
        <v>9.0416666666666661</v>
      </c>
      <c r="H228" s="40">
        <f t="shared" si="191"/>
        <v>316.45833333333331</v>
      </c>
      <c r="I228" s="42"/>
      <c r="K228" s="5">
        <f t="shared" si="195"/>
        <v>44940</v>
      </c>
      <c r="L228" s="1" t="str">
        <f t="shared" si="192"/>
        <v>Saturday</v>
      </c>
      <c r="M228" s="2">
        <v>0.25</v>
      </c>
      <c r="N228" s="9">
        <v>0.29166666666666669</v>
      </c>
      <c r="O228" s="2">
        <v>0.66666666666666663</v>
      </c>
      <c r="P228" s="9">
        <f t="shared" si="193"/>
        <v>9.7083333333333339</v>
      </c>
      <c r="Q228" s="40">
        <f t="shared" si="194"/>
        <v>339.79166666666669</v>
      </c>
      <c r="R228" s="40"/>
    </row>
    <row r="229" spans="2:18" ht="19.95" customHeight="1" x14ac:dyDescent="0.25">
      <c r="B229" s="6">
        <f t="shared" si="196"/>
        <v>44906</v>
      </c>
      <c r="C229" s="1" t="str">
        <f t="shared" si="189"/>
        <v>Sunday</v>
      </c>
      <c r="D229" s="4">
        <v>0.27083333333333331</v>
      </c>
      <c r="E229" s="9">
        <v>0.33333333333333331</v>
      </c>
      <c r="F229" s="4">
        <v>0.91666666666666663</v>
      </c>
      <c r="G229" s="9">
        <f t="shared" si="190"/>
        <v>15.166666666666664</v>
      </c>
      <c r="H229" s="40">
        <f t="shared" si="191"/>
        <v>530.83333333333326</v>
      </c>
      <c r="I229" s="42"/>
      <c r="K229" s="6">
        <f t="shared" si="195"/>
        <v>44941</v>
      </c>
      <c r="L229" s="1" t="str">
        <f t="shared" si="192"/>
        <v>Sunday</v>
      </c>
      <c r="M229" s="4">
        <v>0.29166666666666669</v>
      </c>
      <c r="N229" s="9">
        <v>0.33333333333333331</v>
      </c>
      <c r="O229" s="4">
        <v>0.71875</v>
      </c>
      <c r="P229" s="9">
        <f t="shared" si="193"/>
        <v>9.9166666666666661</v>
      </c>
      <c r="Q229" s="40">
        <f t="shared" si="194"/>
        <v>347.08333333333331</v>
      </c>
      <c r="R229" s="42"/>
    </row>
    <row r="230" spans="2:18" ht="19.95" customHeight="1" x14ac:dyDescent="0.25">
      <c r="B230" s="31" t="s">
        <v>7</v>
      </c>
      <c r="C230" s="32"/>
      <c r="D230" s="32"/>
      <c r="E230" s="32"/>
      <c r="F230" s="33"/>
      <c r="G230" s="12">
        <f>SUM(G223:G229)</f>
        <v>67.375</v>
      </c>
      <c r="H230" s="48">
        <f>SUM(H223:H229)</f>
        <v>2358.125</v>
      </c>
      <c r="I230" s="40"/>
      <c r="K230" s="30" t="s">
        <v>7</v>
      </c>
      <c r="L230" s="30"/>
      <c r="M230" s="30"/>
      <c r="N230" s="30"/>
      <c r="O230" s="30"/>
      <c r="P230" s="12">
        <f>SUM(P223:P229)</f>
        <v>73.041666666666657</v>
      </c>
      <c r="Q230" s="48">
        <f>SUM(Q223:Q229)</f>
        <v>2556.458333333333</v>
      </c>
      <c r="R230" s="42"/>
    </row>
    <row r="231" spans="2:18" ht="19.95" customHeight="1" x14ac:dyDescent="0.25">
      <c r="B231" s="24" t="s">
        <v>9</v>
      </c>
      <c r="C231" s="26"/>
      <c r="D231" s="26"/>
      <c r="E231" s="26"/>
      <c r="F231" s="26"/>
      <c r="G231" s="25"/>
      <c r="H231" s="44" t="s">
        <v>65</v>
      </c>
      <c r="I231" s="45"/>
      <c r="K231" s="24" t="s">
        <v>9</v>
      </c>
      <c r="L231" s="26"/>
      <c r="M231" s="26"/>
      <c r="N231" s="26"/>
      <c r="O231" s="26"/>
      <c r="P231" s="25"/>
      <c r="Q231" s="44" t="s">
        <v>70</v>
      </c>
      <c r="R231" s="45"/>
    </row>
    <row r="232" spans="2:18" ht="19.95" customHeight="1" x14ac:dyDescent="0.25">
      <c r="B232" s="17" t="s">
        <v>89</v>
      </c>
      <c r="C232" s="17" t="s">
        <v>90</v>
      </c>
      <c r="D232" s="17" t="s">
        <v>2</v>
      </c>
      <c r="E232" s="18" t="s">
        <v>4</v>
      </c>
      <c r="F232" s="17" t="s">
        <v>3</v>
      </c>
      <c r="G232" s="17" t="s">
        <v>91</v>
      </c>
      <c r="H232" s="46" t="s">
        <v>92</v>
      </c>
      <c r="I232" s="46" t="s">
        <v>5</v>
      </c>
      <c r="K232" s="17" t="s">
        <v>89</v>
      </c>
      <c r="L232" s="17" t="s">
        <v>90</v>
      </c>
      <c r="M232" s="17" t="s">
        <v>2</v>
      </c>
      <c r="N232" s="18" t="s">
        <v>4</v>
      </c>
      <c r="O232" s="17" t="s">
        <v>3</v>
      </c>
      <c r="P232" s="17" t="s">
        <v>91</v>
      </c>
      <c r="Q232" s="46" t="s">
        <v>92</v>
      </c>
      <c r="R232" s="46" t="s">
        <v>5</v>
      </c>
    </row>
    <row r="233" spans="2:18" ht="19.95" customHeight="1" x14ac:dyDescent="0.25">
      <c r="B233" s="6">
        <f>B229+1</f>
        <v>44907</v>
      </c>
      <c r="C233" s="1" t="str">
        <f t="shared" ref="C233:C239" si="197">TEXT(B233,"dddd")</f>
        <v>Monday</v>
      </c>
      <c r="D233" s="4">
        <v>0.27083333333333331</v>
      </c>
      <c r="E233" s="9">
        <v>0.33333333333333331</v>
      </c>
      <c r="F233" s="4">
        <v>0.91666666666666663</v>
      </c>
      <c r="G233" s="9">
        <f>((F233-D233)*24)-E233</f>
        <v>15.166666666666664</v>
      </c>
      <c r="H233" s="40">
        <f>$C$4*G233</f>
        <v>530.83333333333326</v>
      </c>
      <c r="I233" s="42"/>
      <c r="K233" s="6">
        <f>K229+1</f>
        <v>44942</v>
      </c>
      <c r="L233" s="1" t="str">
        <f t="shared" ref="L233:L239" si="198">TEXT(K233,"dddd")</f>
        <v>Monday</v>
      </c>
      <c r="M233" s="4">
        <v>0.25</v>
      </c>
      <c r="N233" s="9">
        <v>0.33333333333333331</v>
      </c>
      <c r="O233" s="4">
        <v>0.66666666666666663</v>
      </c>
      <c r="P233" s="9">
        <f t="shared" ref="P233:P239" si="199">((O233-M233)*24)-N233</f>
        <v>9.6666666666666661</v>
      </c>
      <c r="Q233" s="40">
        <f t="shared" ref="Q233:Q239" si="200">$C$4*P233</f>
        <v>338.33333333333331</v>
      </c>
      <c r="R233" s="42"/>
    </row>
    <row r="234" spans="2:18" ht="19.95" customHeight="1" x14ac:dyDescent="0.25">
      <c r="B234" s="5">
        <f>B233+1</f>
        <v>44908</v>
      </c>
      <c r="C234" s="1" t="str">
        <f t="shared" si="197"/>
        <v>Tuesday</v>
      </c>
      <c r="D234" s="2">
        <v>0.25</v>
      </c>
      <c r="E234" s="9">
        <v>0.29166666666666669</v>
      </c>
      <c r="F234" s="2">
        <v>0.66666666666666663</v>
      </c>
      <c r="G234" s="9">
        <f t="shared" ref="G234:G235" si="201">((F234-D234)*24)-E234</f>
        <v>9.7083333333333339</v>
      </c>
      <c r="H234" s="40">
        <f t="shared" ref="H234:H235" si="202">$C$4*G234</f>
        <v>339.79166666666669</v>
      </c>
      <c r="I234" s="40"/>
      <c r="K234" s="6">
        <f t="shared" ref="K234:K239" si="203">K233+1</f>
        <v>44943</v>
      </c>
      <c r="L234" s="1" t="str">
        <f t="shared" si="198"/>
        <v>Tuesday</v>
      </c>
      <c r="M234" s="4">
        <v>0.375</v>
      </c>
      <c r="N234" s="9">
        <v>0.33333333333333331</v>
      </c>
      <c r="O234" s="4">
        <v>0.74305555555555547</v>
      </c>
      <c r="P234" s="9">
        <f t="shared" si="199"/>
        <v>8.4999999999999982</v>
      </c>
      <c r="Q234" s="40">
        <f t="shared" si="200"/>
        <v>297.49999999999994</v>
      </c>
      <c r="R234" s="42"/>
    </row>
    <row r="235" spans="2:18" ht="19.95" customHeight="1" x14ac:dyDescent="0.25">
      <c r="B235" s="5">
        <f t="shared" ref="B235:B239" si="204">B234+1</f>
        <v>44909</v>
      </c>
      <c r="C235" s="1" t="str">
        <f t="shared" si="197"/>
        <v>Wednesday</v>
      </c>
      <c r="D235" s="4">
        <v>0.29166666666666669</v>
      </c>
      <c r="E235" s="9">
        <v>0.33333333333333331</v>
      </c>
      <c r="F235" s="4">
        <v>0.71875</v>
      </c>
      <c r="G235" s="9">
        <f t="shared" si="201"/>
        <v>9.9166666666666661</v>
      </c>
      <c r="H235" s="40">
        <f t="shared" si="202"/>
        <v>347.08333333333331</v>
      </c>
      <c r="I235" s="42"/>
      <c r="K235" s="6">
        <f t="shared" si="203"/>
        <v>44944</v>
      </c>
      <c r="L235" s="1" t="str">
        <f t="shared" si="198"/>
        <v>Wednesday</v>
      </c>
      <c r="M235" s="4">
        <v>0.41666666666666669</v>
      </c>
      <c r="N235" s="9">
        <v>0.45833333333333331</v>
      </c>
      <c r="O235" s="4">
        <v>0.66666666666666663</v>
      </c>
      <c r="P235" s="9">
        <f t="shared" si="199"/>
        <v>5.5416666666666652</v>
      </c>
      <c r="Q235" s="40">
        <f t="shared" si="200"/>
        <v>193.95833333333329</v>
      </c>
      <c r="R235" s="42"/>
    </row>
    <row r="236" spans="2:18" ht="19.95" customHeight="1" x14ac:dyDescent="0.25">
      <c r="B236" s="5">
        <f t="shared" si="204"/>
        <v>44910</v>
      </c>
      <c r="C236" s="1" t="str">
        <f t="shared" si="197"/>
        <v>Thursday</v>
      </c>
      <c r="D236" s="4">
        <v>0.25</v>
      </c>
      <c r="E236" s="9">
        <v>0.33333333333333331</v>
      </c>
      <c r="F236" s="4">
        <v>0.66666666666666663</v>
      </c>
      <c r="G236" s="9">
        <f>((F236-D236)*24)-E236</f>
        <v>9.6666666666666661</v>
      </c>
      <c r="H236" s="40">
        <f>$C$4*G236</f>
        <v>338.33333333333331</v>
      </c>
      <c r="I236" s="42"/>
      <c r="K236" s="6">
        <f t="shared" si="203"/>
        <v>44945</v>
      </c>
      <c r="L236" s="1" t="str">
        <f t="shared" si="198"/>
        <v>Thursday</v>
      </c>
      <c r="M236" s="4">
        <v>0.35416666666666669</v>
      </c>
      <c r="N236" s="9">
        <v>0.45833333333333331</v>
      </c>
      <c r="O236" s="4">
        <v>0.75</v>
      </c>
      <c r="P236" s="9">
        <f t="shared" si="199"/>
        <v>9.0416666666666661</v>
      </c>
      <c r="Q236" s="40">
        <f t="shared" si="200"/>
        <v>316.45833333333331</v>
      </c>
      <c r="R236" s="42"/>
    </row>
    <row r="237" spans="2:18" ht="19.95" customHeight="1" x14ac:dyDescent="0.25">
      <c r="B237" s="5">
        <f t="shared" si="204"/>
        <v>44911</v>
      </c>
      <c r="C237" s="1" t="str">
        <f t="shared" si="197"/>
        <v>Friday</v>
      </c>
      <c r="D237" s="4">
        <v>0.375</v>
      </c>
      <c r="E237" s="9">
        <v>0.33333333333333331</v>
      </c>
      <c r="F237" s="4">
        <v>0.74305555555555547</v>
      </c>
      <c r="G237" s="9">
        <f>((F237-D237)*24)-E237</f>
        <v>8.4999999999999982</v>
      </c>
      <c r="H237" s="40">
        <f>$C$4*G237</f>
        <v>297.49999999999994</v>
      </c>
      <c r="I237" s="42"/>
      <c r="K237" s="6">
        <f t="shared" si="203"/>
        <v>44946</v>
      </c>
      <c r="L237" s="1" t="str">
        <f t="shared" si="198"/>
        <v>Friday</v>
      </c>
      <c r="M237" s="4">
        <v>0.27083333333333331</v>
      </c>
      <c r="N237" s="9">
        <v>0.33333333333333331</v>
      </c>
      <c r="O237" s="4">
        <v>0.91666666666666663</v>
      </c>
      <c r="P237" s="9">
        <f t="shared" si="199"/>
        <v>15.166666666666664</v>
      </c>
      <c r="Q237" s="40">
        <f t="shared" si="200"/>
        <v>530.83333333333326</v>
      </c>
      <c r="R237" s="42"/>
    </row>
    <row r="238" spans="2:18" ht="19.95" customHeight="1" x14ac:dyDescent="0.25">
      <c r="B238" s="5">
        <f t="shared" si="204"/>
        <v>44912</v>
      </c>
      <c r="C238" s="1" t="str">
        <f t="shared" si="197"/>
        <v>Saturday</v>
      </c>
      <c r="D238" s="4">
        <v>0.41666666666666669</v>
      </c>
      <c r="E238" s="9">
        <v>0.45833333333333331</v>
      </c>
      <c r="F238" s="4">
        <v>0.66666666666666663</v>
      </c>
      <c r="G238" s="9">
        <f>((F238-D238)*24)-E238</f>
        <v>5.5416666666666652</v>
      </c>
      <c r="H238" s="40">
        <f>$C$4*G238</f>
        <v>193.95833333333329</v>
      </c>
      <c r="I238" s="42"/>
      <c r="K238" s="6">
        <f t="shared" si="203"/>
        <v>44947</v>
      </c>
      <c r="L238" s="1" t="str">
        <f t="shared" si="198"/>
        <v>Saturday</v>
      </c>
      <c r="M238" s="4">
        <v>0.27083333333333331</v>
      </c>
      <c r="N238" s="9">
        <v>0.33333333333333331</v>
      </c>
      <c r="O238" s="4">
        <v>0.91666666666666663</v>
      </c>
      <c r="P238" s="9">
        <f t="shared" si="199"/>
        <v>15.166666666666664</v>
      </c>
      <c r="Q238" s="40">
        <f t="shared" si="200"/>
        <v>530.83333333333326</v>
      </c>
      <c r="R238" s="42"/>
    </row>
    <row r="239" spans="2:18" ht="19.95" customHeight="1" x14ac:dyDescent="0.25">
      <c r="B239" s="5">
        <f t="shared" si="204"/>
        <v>44913</v>
      </c>
      <c r="C239" s="1" t="str">
        <f t="shared" si="197"/>
        <v>Sunday</v>
      </c>
      <c r="D239" s="4">
        <v>0.35416666666666669</v>
      </c>
      <c r="E239" s="9">
        <v>0.45833333333333331</v>
      </c>
      <c r="F239" s="4">
        <v>0.75</v>
      </c>
      <c r="G239" s="9">
        <f>((F239-D239)*24)-E239</f>
        <v>9.0416666666666661</v>
      </c>
      <c r="H239" s="40">
        <f>$C$4*G239</f>
        <v>316.45833333333331</v>
      </c>
      <c r="I239" s="42"/>
      <c r="K239" s="5">
        <f t="shared" si="203"/>
        <v>44948</v>
      </c>
      <c r="L239" s="1" t="str">
        <f t="shared" si="198"/>
        <v>Sunday</v>
      </c>
      <c r="M239" s="2">
        <v>0.25</v>
      </c>
      <c r="N239" s="9">
        <v>0.29166666666666669</v>
      </c>
      <c r="O239" s="2">
        <v>0.66666666666666663</v>
      </c>
      <c r="P239" s="9">
        <f t="shared" si="199"/>
        <v>9.7083333333333339</v>
      </c>
      <c r="Q239" s="40">
        <f t="shared" si="200"/>
        <v>339.79166666666669</v>
      </c>
      <c r="R239" s="40"/>
    </row>
    <row r="240" spans="2:18" ht="19.95" customHeight="1" x14ac:dyDescent="0.25">
      <c r="B240" s="27" t="s">
        <v>7</v>
      </c>
      <c r="C240" s="28"/>
      <c r="D240" s="28"/>
      <c r="E240" s="28"/>
      <c r="F240" s="29"/>
      <c r="G240" s="12">
        <f>SUM(G233:G239)</f>
        <v>67.541666666666657</v>
      </c>
      <c r="H240" s="48">
        <f>SUM(H233:H239)</f>
        <v>2363.958333333333</v>
      </c>
      <c r="I240" s="40"/>
      <c r="K240" s="27" t="s">
        <v>7</v>
      </c>
      <c r="L240" s="28"/>
      <c r="M240" s="28"/>
      <c r="N240" s="28"/>
      <c r="O240" s="29"/>
      <c r="P240" s="12">
        <f>SUM(P233:P239)</f>
        <v>72.791666666666657</v>
      </c>
      <c r="Q240" s="48">
        <f>SUM(Q233:Q239)</f>
        <v>2547.7083333333326</v>
      </c>
      <c r="R240" s="40"/>
    </row>
    <row r="241" spans="2:18" ht="19.95" customHeight="1" x14ac:dyDescent="0.25">
      <c r="B241" s="24" t="s">
        <v>10</v>
      </c>
      <c r="C241" s="26"/>
      <c r="D241" s="26"/>
      <c r="E241" s="26"/>
      <c r="F241" s="26"/>
      <c r="G241" s="25"/>
      <c r="H241" s="44" t="s">
        <v>64</v>
      </c>
      <c r="I241" s="45"/>
      <c r="K241" s="24" t="s">
        <v>10</v>
      </c>
      <c r="L241" s="26"/>
      <c r="M241" s="26"/>
      <c r="N241" s="26"/>
      <c r="O241" s="26"/>
      <c r="P241" s="25"/>
      <c r="Q241" s="44" t="s">
        <v>69</v>
      </c>
      <c r="R241" s="45"/>
    </row>
    <row r="242" spans="2:18" ht="19.95" customHeight="1" x14ac:dyDescent="0.25">
      <c r="B242" s="17" t="s">
        <v>89</v>
      </c>
      <c r="C242" s="17" t="s">
        <v>90</v>
      </c>
      <c r="D242" s="17" t="s">
        <v>2</v>
      </c>
      <c r="E242" s="18" t="s">
        <v>4</v>
      </c>
      <c r="F242" s="17" t="s">
        <v>3</v>
      </c>
      <c r="G242" s="17" t="s">
        <v>91</v>
      </c>
      <c r="H242" s="46" t="s">
        <v>92</v>
      </c>
      <c r="I242" s="46" t="s">
        <v>5</v>
      </c>
      <c r="K242" s="17" t="s">
        <v>89</v>
      </c>
      <c r="L242" s="17" t="s">
        <v>90</v>
      </c>
      <c r="M242" s="17" t="s">
        <v>2</v>
      </c>
      <c r="N242" s="18" t="s">
        <v>4</v>
      </c>
      <c r="O242" s="17" t="s">
        <v>3</v>
      </c>
      <c r="P242" s="17" t="s">
        <v>91</v>
      </c>
      <c r="Q242" s="46" t="s">
        <v>92</v>
      </c>
      <c r="R242" s="46" t="s">
        <v>5</v>
      </c>
    </row>
    <row r="243" spans="2:18" ht="19.95" customHeight="1" x14ac:dyDescent="0.25">
      <c r="B243" s="6">
        <f>B239+1</f>
        <v>44914</v>
      </c>
      <c r="C243" s="1" t="str">
        <f t="shared" ref="C243:C249" si="205">TEXT(B243,"dddd")</f>
        <v>Monday</v>
      </c>
      <c r="D243" s="4">
        <v>0.27083333333333331</v>
      </c>
      <c r="E243" s="9">
        <v>0.33333333333333331</v>
      </c>
      <c r="F243" s="4">
        <v>0.91666666666666663</v>
      </c>
      <c r="G243" s="9">
        <f t="shared" ref="G243:G249" si="206">((F243-D243)*24)-E243</f>
        <v>15.166666666666664</v>
      </c>
      <c r="H243" s="40">
        <f t="shared" ref="H243:H249" si="207">$C$4*G243</f>
        <v>530.83333333333326</v>
      </c>
      <c r="I243" s="42"/>
      <c r="K243" s="6">
        <f>K239+1</f>
        <v>44949</v>
      </c>
      <c r="L243" s="1" t="str">
        <f t="shared" ref="L243:L249" si="208">TEXT(K243,"dddd")</f>
        <v>Monday</v>
      </c>
      <c r="M243" s="4">
        <v>0.29166666666666669</v>
      </c>
      <c r="N243" s="9">
        <v>0.33333333333333331</v>
      </c>
      <c r="O243" s="4">
        <v>0.71875</v>
      </c>
      <c r="P243" s="9">
        <f t="shared" ref="P243:P249" si="209">((O243-M243)*24)-N243</f>
        <v>9.9166666666666661</v>
      </c>
      <c r="Q243" s="40">
        <f t="shared" ref="Q243:Q249" si="210">$C$4*P243</f>
        <v>347.08333333333331</v>
      </c>
      <c r="R243" s="42"/>
    </row>
    <row r="244" spans="2:18" ht="19.95" customHeight="1" x14ac:dyDescent="0.25">
      <c r="B244" s="6">
        <f>B243+1</f>
        <v>44915</v>
      </c>
      <c r="C244" s="1" t="str">
        <f t="shared" si="205"/>
        <v>Tuesday</v>
      </c>
      <c r="D244" s="4">
        <v>0.27083333333333331</v>
      </c>
      <c r="E244" s="9">
        <v>0.33333333333333331</v>
      </c>
      <c r="F244" s="4">
        <v>0.91666666666666663</v>
      </c>
      <c r="G244" s="9">
        <f t="shared" si="206"/>
        <v>15.166666666666664</v>
      </c>
      <c r="H244" s="40">
        <f t="shared" si="207"/>
        <v>530.83333333333326</v>
      </c>
      <c r="I244" s="42"/>
      <c r="K244" s="6">
        <f>K243+1</f>
        <v>44950</v>
      </c>
      <c r="L244" s="1" t="str">
        <f t="shared" si="208"/>
        <v>Tuesday</v>
      </c>
      <c r="M244" s="4">
        <v>0.25</v>
      </c>
      <c r="N244" s="9">
        <v>0.33333333333333331</v>
      </c>
      <c r="O244" s="4">
        <v>0.66666666666666663</v>
      </c>
      <c r="P244" s="9">
        <f t="shared" si="209"/>
        <v>9.6666666666666661</v>
      </c>
      <c r="Q244" s="40">
        <f t="shared" si="210"/>
        <v>338.33333333333331</v>
      </c>
      <c r="R244" s="42"/>
    </row>
    <row r="245" spans="2:18" ht="19.95" customHeight="1" x14ac:dyDescent="0.25">
      <c r="B245" s="6">
        <f t="shared" ref="B245:B249" si="211">B244+1</f>
        <v>44916</v>
      </c>
      <c r="C245" s="1" t="str">
        <f t="shared" si="205"/>
        <v>Wednesday</v>
      </c>
      <c r="D245" s="2">
        <v>0.25</v>
      </c>
      <c r="E245" s="9">
        <v>0.29166666666666669</v>
      </c>
      <c r="F245" s="2">
        <v>0.66666666666666663</v>
      </c>
      <c r="G245" s="9">
        <f t="shared" si="206"/>
        <v>9.7083333333333339</v>
      </c>
      <c r="H245" s="40">
        <f t="shared" si="207"/>
        <v>339.79166666666669</v>
      </c>
      <c r="I245" s="40"/>
      <c r="K245" s="6">
        <f>K244+1</f>
        <v>44951</v>
      </c>
      <c r="L245" s="1" t="str">
        <f t="shared" si="208"/>
        <v>Wednesday</v>
      </c>
      <c r="M245" s="4">
        <v>0.375</v>
      </c>
      <c r="N245" s="9">
        <v>0.33333333333333331</v>
      </c>
      <c r="O245" s="4">
        <v>0.74305555555555547</v>
      </c>
      <c r="P245" s="9">
        <f t="shared" si="209"/>
        <v>8.4999999999999982</v>
      </c>
      <c r="Q245" s="40">
        <f t="shared" si="210"/>
        <v>297.49999999999994</v>
      </c>
      <c r="R245" s="42"/>
    </row>
    <row r="246" spans="2:18" ht="19.95" customHeight="1" x14ac:dyDescent="0.25">
      <c r="B246" s="6">
        <f t="shared" si="211"/>
        <v>44917</v>
      </c>
      <c r="C246" s="1" t="str">
        <f t="shared" si="205"/>
        <v>Thursday</v>
      </c>
      <c r="D246" s="4">
        <v>0.29166666666666669</v>
      </c>
      <c r="E246" s="9">
        <v>0.33333333333333331</v>
      </c>
      <c r="F246" s="4">
        <v>0.71875</v>
      </c>
      <c r="G246" s="9">
        <f t="shared" si="206"/>
        <v>9.9166666666666661</v>
      </c>
      <c r="H246" s="40">
        <f t="shared" si="207"/>
        <v>347.08333333333331</v>
      </c>
      <c r="I246" s="42"/>
      <c r="K246" s="6">
        <f>K245+1</f>
        <v>44952</v>
      </c>
      <c r="L246" s="1" t="str">
        <f t="shared" si="208"/>
        <v>Thursday</v>
      </c>
      <c r="M246" s="4">
        <v>0.41666666666666669</v>
      </c>
      <c r="N246" s="9">
        <v>0.45833333333333331</v>
      </c>
      <c r="O246" s="4">
        <v>0.66666666666666663</v>
      </c>
      <c r="P246" s="9">
        <f t="shared" si="209"/>
        <v>5.5416666666666652</v>
      </c>
      <c r="Q246" s="40">
        <f t="shared" si="210"/>
        <v>193.95833333333329</v>
      </c>
      <c r="R246" s="42"/>
    </row>
    <row r="247" spans="2:18" ht="19.95" customHeight="1" x14ac:dyDescent="0.25">
      <c r="B247" s="6">
        <f t="shared" si="211"/>
        <v>44918</v>
      </c>
      <c r="C247" s="1" t="str">
        <f t="shared" si="205"/>
        <v>Friday</v>
      </c>
      <c r="D247" s="4">
        <v>0.25</v>
      </c>
      <c r="E247" s="9">
        <v>0.33333333333333331</v>
      </c>
      <c r="F247" s="4">
        <v>0.66666666666666663</v>
      </c>
      <c r="G247" s="9">
        <f t="shared" si="206"/>
        <v>9.6666666666666661</v>
      </c>
      <c r="H247" s="40">
        <f t="shared" si="207"/>
        <v>338.33333333333331</v>
      </c>
      <c r="I247" s="42"/>
      <c r="K247" s="6">
        <f>K246+1</f>
        <v>44953</v>
      </c>
      <c r="L247" s="1" t="str">
        <f t="shared" si="208"/>
        <v>Friday</v>
      </c>
      <c r="M247" s="4">
        <v>0.35416666666666669</v>
      </c>
      <c r="N247" s="9">
        <v>0.45833333333333331</v>
      </c>
      <c r="O247" s="4">
        <v>0.75</v>
      </c>
      <c r="P247" s="9">
        <f t="shared" si="209"/>
        <v>9.0416666666666661</v>
      </c>
      <c r="Q247" s="40">
        <f t="shared" si="210"/>
        <v>316.45833333333331</v>
      </c>
      <c r="R247" s="42"/>
    </row>
    <row r="248" spans="2:18" ht="19.95" customHeight="1" x14ac:dyDescent="0.25">
      <c r="B248" s="6">
        <f t="shared" si="211"/>
        <v>44919</v>
      </c>
      <c r="C248" s="1" t="str">
        <f t="shared" si="205"/>
        <v>Saturday</v>
      </c>
      <c r="D248" s="4">
        <v>0.375</v>
      </c>
      <c r="E248" s="9">
        <v>0.33333333333333331</v>
      </c>
      <c r="F248" s="4">
        <v>0.74305555555555547</v>
      </c>
      <c r="G248" s="9">
        <f t="shared" si="206"/>
        <v>8.4999999999999982</v>
      </c>
      <c r="H248" s="40">
        <f t="shared" si="207"/>
        <v>297.49999999999994</v>
      </c>
      <c r="I248" s="42"/>
      <c r="K248" s="6">
        <f>K247+1</f>
        <v>44954</v>
      </c>
      <c r="L248" s="1" t="str">
        <f t="shared" si="208"/>
        <v>Saturday</v>
      </c>
      <c r="M248" s="4">
        <v>0.27083333333333331</v>
      </c>
      <c r="N248" s="9">
        <v>0.33333333333333331</v>
      </c>
      <c r="O248" s="4">
        <v>0.91666666666666663</v>
      </c>
      <c r="P248" s="9">
        <f t="shared" si="209"/>
        <v>15.166666666666664</v>
      </c>
      <c r="Q248" s="40">
        <f t="shared" si="210"/>
        <v>530.83333333333326</v>
      </c>
      <c r="R248" s="42"/>
    </row>
    <row r="249" spans="2:18" ht="19.95" customHeight="1" x14ac:dyDescent="0.25">
      <c r="B249" s="6">
        <f t="shared" si="211"/>
        <v>44920</v>
      </c>
      <c r="C249" s="1" t="str">
        <f t="shared" si="205"/>
        <v>Sunday</v>
      </c>
      <c r="D249" s="4">
        <v>0.41666666666666669</v>
      </c>
      <c r="E249" s="9">
        <v>0.45833333333333331</v>
      </c>
      <c r="F249" s="4">
        <v>0.66666666666666663</v>
      </c>
      <c r="G249" s="9">
        <f t="shared" si="206"/>
        <v>5.5416666666666652</v>
      </c>
      <c r="H249" s="40">
        <f t="shared" si="207"/>
        <v>193.95833333333329</v>
      </c>
      <c r="I249" s="42"/>
      <c r="K249" s="6">
        <f t="shared" ref="K249" si="212">K248+1</f>
        <v>44955</v>
      </c>
      <c r="L249" s="1" t="str">
        <f t="shared" si="208"/>
        <v>Sunday</v>
      </c>
      <c r="M249" s="4">
        <v>0.27083333333333331</v>
      </c>
      <c r="N249" s="9">
        <v>0.33333333333333331</v>
      </c>
      <c r="O249" s="4">
        <v>0.91666666666666663</v>
      </c>
      <c r="P249" s="9">
        <f t="shared" si="209"/>
        <v>15.166666666666664</v>
      </c>
      <c r="Q249" s="40">
        <f t="shared" si="210"/>
        <v>530.83333333333326</v>
      </c>
      <c r="R249" s="42"/>
    </row>
    <row r="250" spans="2:18" ht="19.95" customHeight="1" x14ac:dyDescent="0.25">
      <c r="B250" s="27" t="s">
        <v>7</v>
      </c>
      <c r="C250" s="28"/>
      <c r="D250" s="28"/>
      <c r="E250" s="28"/>
      <c r="F250" s="29"/>
      <c r="G250" s="12">
        <f>SUM(G243:G249)</f>
        <v>73.666666666666657</v>
      </c>
      <c r="H250" s="48">
        <f>SUM(H243:H249)</f>
        <v>2578.3333333333335</v>
      </c>
      <c r="I250" s="40"/>
      <c r="K250" s="27" t="s">
        <v>7</v>
      </c>
      <c r="L250" s="28"/>
      <c r="M250" s="28"/>
      <c r="N250" s="28"/>
      <c r="O250" s="29"/>
      <c r="P250" s="12">
        <f>SUM(P243:P249)</f>
        <v>72.999999999999986</v>
      </c>
      <c r="Q250" s="48">
        <f>SUM(Q243:Q249)</f>
        <v>2554.9999999999995</v>
      </c>
      <c r="R250" s="40"/>
    </row>
    <row r="251" spans="2:18" ht="19.95" customHeight="1" x14ac:dyDescent="0.25">
      <c r="B251" s="24" t="s">
        <v>26</v>
      </c>
      <c r="C251" s="26"/>
      <c r="D251" s="26"/>
      <c r="E251" s="26"/>
      <c r="F251" s="26"/>
      <c r="G251" s="25"/>
      <c r="H251" s="44" t="s">
        <v>63</v>
      </c>
      <c r="I251" s="45"/>
      <c r="K251" s="24" t="s">
        <v>26</v>
      </c>
      <c r="L251" s="26"/>
      <c r="M251" s="26"/>
      <c r="N251" s="26"/>
      <c r="O251" s="26"/>
      <c r="P251" s="25"/>
      <c r="Q251" s="44" t="s">
        <v>68</v>
      </c>
      <c r="R251" s="45"/>
    </row>
    <row r="252" spans="2:18" ht="19.95" customHeight="1" x14ac:dyDescent="0.25">
      <c r="B252" s="17" t="s">
        <v>89</v>
      </c>
      <c r="C252" s="17" t="s">
        <v>90</v>
      </c>
      <c r="D252" s="17" t="s">
        <v>2</v>
      </c>
      <c r="E252" s="18" t="s">
        <v>4</v>
      </c>
      <c r="F252" s="17" t="s">
        <v>3</v>
      </c>
      <c r="G252" s="17" t="s">
        <v>91</v>
      </c>
      <c r="H252" s="46" t="s">
        <v>92</v>
      </c>
      <c r="I252" s="46" t="s">
        <v>5</v>
      </c>
      <c r="K252" s="17" t="s">
        <v>89</v>
      </c>
      <c r="L252" s="17" t="s">
        <v>90</v>
      </c>
      <c r="M252" s="17" t="s">
        <v>2</v>
      </c>
      <c r="N252" s="18" t="s">
        <v>4</v>
      </c>
      <c r="O252" s="17" t="s">
        <v>3</v>
      </c>
      <c r="P252" s="17" t="s">
        <v>91</v>
      </c>
      <c r="Q252" s="46" t="s">
        <v>92</v>
      </c>
      <c r="R252" s="46" t="s">
        <v>5</v>
      </c>
    </row>
    <row r="253" spans="2:18" ht="19.95" customHeight="1" x14ac:dyDescent="0.25">
      <c r="B253" s="6">
        <f>B249+1</f>
        <v>44921</v>
      </c>
      <c r="C253" s="1" t="str">
        <f t="shared" ref="C253:C258" si="213">TEXT(B253,"dddd")</f>
        <v>Monday</v>
      </c>
      <c r="D253" s="4">
        <v>0.35416666666666669</v>
      </c>
      <c r="E253" s="9">
        <v>0.45833333333333331</v>
      </c>
      <c r="F253" s="4">
        <v>0.75</v>
      </c>
      <c r="G253" s="9">
        <f t="shared" ref="G253:G258" si="214">((F253-D253)*24)-E253</f>
        <v>9.0416666666666661</v>
      </c>
      <c r="H253" s="40">
        <f t="shared" ref="H253:H258" si="215">$C$4*G253</f>
        <v>316.45833333333331</v>
      </c>
      <c r="I253" s="42"/>
      <c r="K253" s="6">
        <f>K249+1</f>
        <v>44956</v>
      </c>
      <c r="L253" s="1" t="str">
        <f t="shared" ref="L253:L254" si="216">TEXT(K253,"dddd")</f>
        <v>Monday</v>
      </c>
      <c r="M253" s="4">
        <v>0.29166666666666669</v>
      </c>
      <c r="N253" s="9">
        <v>0.33333333333333331</v>
      </c>
      <c r="O253" s="4">
        <v>0.71875</v>
      </c>
      <c r="P253" s="9">
        <f t="shared" ref="P253:P254" si="217">((O253-M253)*24)-N253</f>
        <v>9.9166666666666661</v>
      </c>
      <c r="Q253" s="40">
        <f t="shared" ref="Q253:Q254" si="218">$C$4*P253</f>
        <v>347.08333333333331</v>
      </c>
      <c r="R253" s="42"/>
    </row>
    <row r="254" spans="2:18" ht="19.95" customHeight="1" x14ac:dyDescent="0.25">
      <c r="B254" s="6">
        <f>B253+1</f>
        <v>44922</v>
      </c>
      <c r="C254" s="1" t="str">
        <f t="shared" si="213"/>
        <v>Tuesday</v>
      </c>
      <c r="D254" s="4">
        <v>0.27083333333333331</v>
      </c>
      <c r="E254" s="9">
        <v>0.33333333333333331</v>
      </c>
      <c r="F254" s="4">
        <v>0.91666666666666663</v>
      </c>
      <c r="G254" s="9">
        <f t="shared" si="214"/>
        <v>15.166666666666664</v>
      </c>
      <c r="H254" s="40">
        <f t="shared" si="215"/>
        <v>530.83333333333326</v>
      </c>
      <c r="I254" s="42"/>
      <c r="K254" s="6">
        <f>K253+1</f>
        <v>44957</v>
      </c>
      <c r="L254" s="1" t="str">
        <f t="shared" si="216"/>
        <v>Tuesday</v>
      </c>
      <c r="M254" s="4">
        <v>0.25</v>
      </c>
      <c r="N254" s="9">
        <v>0.33333333333333331</v>
      </c>
      <c r="O254" s="4">
        <v>0.66666666666666663</v>
      </c>
      <c r="P254" s="9">
        <f t="shared" si="217"/>
        <v>9.6666666666666661</v>
      </c>
      <c r="Q254" s="40">
        <f t="shared" si="218"/>
        <v>338.33333333333331</v>
      </c>
      <c r="R254" s="42"/>
    </row>
    <row r="255" spans="2:18" ht="19.95" customHeight="1" x14ac:dyDescent="0.25">
      <c r="B255" s="6">
        <f t="shared" ref="B255:B258" si="219">B254+1</f>
        <v>44923</v>
      </c>
      <c r="C255" s="1" t="str">
        <f t="shared" si="213"/>
        <v>Wednesday</v>
      </c>
      <c r="D255" s="4">
        <v>0.27083333333333331</v>
      </c>
      <c r="E255" s="9">
        <v>0.33333333333333331</v>
      </c>
      <c r="F255" s="4">
        <v>0.91666666666666663</v>
      </c>
      <c r="G255" s="9">
        <f t="shared" si="214"/>
        <v>15.166666666666664</v>
      </c>
      <c r="H255" s="40">
        <f t="shared" si="215"/>
        <v>530.83333333333326</v>
      </c>
      <c r="I255" s="42"/>
      <c r="K255" s="6"/>
      <c r="L255" s="1"/>
      <c r="M255" s="4"/>
      <c r="N255" s="9"/>
      <c r="O255" s="4"/>
      <c r="P255" s="9"/>
      <c r="Q255" s="40"/>
      <c r="R255" s="42"/>
    </row>
    <row r="256" spans="2:18" ht="19.95" customHeight="1" x14ac:dyDescent="0.25">
      <c r="B256" s="6">
        <f t="shared" si="219"/>
        <v>44924</v>
      </c>
      <c r="C256" s="1" t="str">
        <f t="shared" si="213"/>
        <v>Thursday</v>
      </c>
      <c r="D256" s="2">
        <v>0.25</v>
      </c>
      <c r="E256" s="9">
        <v>0.29166666666666669</v>
      </c>
      <c r="F256" s="2">
        <v>0.66666666666666663</v>
      </c>
      <c r="G256" s="9">
        <f t="shared" si="214"/>
        <v>9.7083333333333339</v>
      </c>
      <c r="H256" s="40">
        <f t="shared" si="215"/>
        <v>339.79166666666669</v>
      </c>
      <c r="I256" s="40"/>
      <c r="K256" s="6"/>
      <c r="L256" s="1"/>
      <c r="M256" s="4"/>
      <c r="N256" s="9"/>
      <c r="O256" s="4"/>
      <c r="P256" s="9"/>
      <c r="Q256" s="40"/>
      <c r="R256" s="42"/>
    </row>
    <row r="257" spans="2:18" ht="19.95" customHeight="1" x14ac:dyDescent="0.25">
      <c r="B257" s="6">
        <f t="shared" si="219"/>
        <v>44925</v>
      </c>
      <c r="C257" s="1" t="str">
        <f t="shared" si="213"/>
        <v>Friday</v>
      </c>
      <c r="D257" s="4">
        <v>0.29166666666666669</v>
      </c>
      <c r="E257" s="9">
        <v>0.33333333333333331</v>
      </c>
      <c r="F257" s="4">
        <v>0.71875</v>
      </c>
      <c r="G257" s="9">
        <f t="shared" si="214"/>
        <v>9.9166666666666661</v>
      </c>
      <c r="H257" s="40">
        <f t="shared" si="215"/>
        <v>347.08333333333331</v>
      </c>
      <c r="I257" s="42"/>
      <c r="K257" s="6"/>
      <c r="L257" s="1"/>
      <c r="M257" s="4"/>
      <c r="N257" s="9"/>
      <c r="O257" s="4"/>
      <c r="P257" s="9"/>
      <c r="Q257" s="40"/>
      <c r="R257" s="42"/>
    </row>
    <row r="258" spans="2:18" ht="19.95" customHeight="1" x14ac:dyDescent="0.25">
      <c r="B258" s="6">
        <f t="shared" si="219"/>
        <v>44926</v>
      </c>
      <c r="C258" s="1" t="str">
        <f t="shared" si="213"/>
        <v>Saturday</v>
      </c>
      <c r="D258" s="4">
        <v>0.25</v>
      </c>
      <c r="E258" s="9">
        <v>0.33333333333333331</v>
      </c>
      <c r="F258" s="4">
        <v>0.66666666666666663</v>
      </c>
      <c r="G258" s="9">
        <f t="shared" si="214"/>
        <v>9.6666666666666661</v>
      </c>
      <c r="H258" s="40">
        <f t="shared" si="215"/>
        <v>338.33333333333331</v>
      </c>
      <c r="I258" s="42"/>
      <c r="K258" s="6"/>
      <c r="L258" s="1"/>
      <c r="M258" s="4"/>
      <c r="N258" s="9"/>
      <c r="O258" s="4"/>
      <c r="P258" s="9"/>
      <c r="Q258" s="40"/>
      <c r="R258" s="42"/>
    </row>
    <row r="259" spans="2:18" ht="19.95" customHeight="1" x14ac:dyDescent="0.25">
      <c r="B259" s="6"/>
      <c r="C259" s="1"/>
      <c r="D259" s="4"/>
      <c r="E259" s="9"/>
      <c r="F259" s="4"/>
      <c r="G259" s="9"/>
      <c r="H259" s="40"/>
      <c r="I259" s="42"/>
      <c r="K259" s="6"/>
      <c r="L259" s="1"/>
      <c r="M259" s="4"/>
      <c r="N259" s="9"/>
      <c r="O259" s="4"/>
      <c r="P259" s="9"/>
      <c r="Q259" s="40"/>
      <c r="R259" s="42"/>
    </row>
    <row r="260" spans="2:18" ht="19.95" customHeight="1" x14ac:dyDescent="0.25">
      <c r="B260" s="27" t="s">
        <v>7</v>
      </c>
      <c r="C260" s="28"/>
      <c r="D260" s="28"/>
      <c r="E260" s="28"/>
      <c r="F260" s="29"/>
      <c r="G260" s="12">
        <f>SUM(G253:G259)</f>
        <v>68.666666666666657</v>
      </c>
      <c r="H260" s="48">
        <f>SUM(H253:H259)</f>
        <v>2403.3333333333335</v>
      </c>
      <c r="I260" s="40"/>
      <c r="K260" s="27" t="s">
        <v>7</v>
      </c>
      <c r="L260" s="28"/>
      <c r="M260" s="28"/>
      <c r="N260" s="28"/>
      <c r="O260" s="29"/>
      <c r="P260" s="12">
        <f>SUM(P253:P259)</f>
        <v>19.583333333333332</v>
      </c>
      <c r="Q260" s="48">
        <f>SUM(Q253:Q259)</f>
        <v>685.41666666666663</v>
      </c>
      <c r="R260" s="42"/>
    </row>
  </sheetData>
  <mergeCells count="158">
    <mergeCell ref="Q251:R251"/>
    <mergeCell ref="B260:F260"/>
    <mergeCell ref="K260:O260"/>
    <mergeCell ref="B250:F250"/>
    <mergeCell ref="K250:O250"/>
    <mergeCell ref="B251:G251"/>
    <mergeCell ref="H251:I251"/>
    <mergeCell ref="K251:P251"/>
    <mergeCell ref="Q231:R231"/>
    <mergeCell ref="B240:F240"/>
    <mergeCell ref="K240:O240"/>
    <mergeCell ref="B241:G241"/>
    <mergeCell ref="H241:I241"/>
    <mergeCell ref="K241:P241"/>
    <mergeCell ref="Q241:R241"/>
    <mergeCell ref="B230:F230"/>
    <mergeCell ref="K230:O230"/>
    <mergeCell ref="B231:G231"/>
    <mergeCell ref="H231:I231"/>
    <mergeCell ref="K231:P231"/>
    <mergeCell ref="Q210:R210"/>
    <mergeCell ref="B220:F220"/>
    <mergeCell ref="K220:O220"/>
    <mergeCell ref="B221:G221"/>
    <mergeCell ref="H221:I221"/>
    <mergeCell ref="K221:P221"/>
    <mergeCell ref="Q221:R221"/>
    <mergeCell ref="B209:F209"/>
    <mergeCell ref="K209:O209"/>
    <mergeCell ref="B210:G210"/>
    <mergeCell ref="H210:I210"/>
    <mergeCell ref="K210:P210"/>
    <mergeCell ref="Q189:R189"/>
    <mergeCell ref="B198:F198"/>
    <mergeCell ref="K198:O198"/>
    <mergeCell ref="B199:G199"/>
    <mergeCell ref="H199:I199"/>
    <mergeCell ref="K199:P199"/>
    <mergeCell ref="Q199:R199"/>
    <mergeCell ref="B188:F188"/>
    <mergeCell ref="K188:O188"/>
    <mergeCell ref="B189:G189"/>
    <mergeCell ref="H189:I189"/>
    <mergeCell ref="K189:P189"/>
    <mergeCell ref="Q169:R169"/>
    <mergeCell ref="B178:F178"/>
    <mergeCell ref="K178:O178"/>
    <mergeCell ref="B179:G179"/>
    <mergeCell ref="H179:I179"/>
    <mergeCell ref="K179:P179"/>
    <mergeCell ref="Q179:R179"/>
    <mergeCell ref="B168:F168"/>
    <mergeCell ref="K168:O168"/>
    <mergeCell ref="B169:G169"/>
    <mergeCell ref="H169:I169"/>
    <mergeCell ref="K169:P169"/>
    <mergeCell ref="Q149:R149"/>
    <mergeCell ref="B158:F158"/>
    <mergeCell ref="K158:O158"/>
    <mergeCell ref="B159:G159"/>
    <mergeCell ref="H159:I159"/>
    <mergeCell ref="K159:P159"/>
    <mergeCell ref="Q159:R159"/>
    <mergeCell ref="B148:F148"/>
    <mergeCell ref="K148:O148"/>
    <mergeCell ref="B149:G149"/>
    <mergeCell ref="H149:I149"/>
    <mergeCell ref="K149:P149"/>
    <mergeCell ref="Q129:R129"/>
    <mergeCell ref="B138:F138"/>
    <mergeCell ref="K138:O138"/>
    <mergeCell ref="B139:G139"/>
    <mergeCell ref="H139:I139"/>
    <mergeCell ref="K139:P139"/>
    <mergeCell ref="Q139:R139"/>
    <mergeCell ref="B128:F128"/>
    <mergeCell ref="K128:O128"/>
    <mergeCell ref="B129:G129"/>
    <mergeCell ref="H129:I129"/>
    <mergeCell ref="K129:P129"/>
    <mergeCell ref="Q109:R109"/>
    <mergeCell ref="B118:F118"/>
    <mergeCell ref="K118:O118"/>
    <mergeCell ref="B119:G119"/>
    <mergeCell ref="H119:I119"/>
    <mergeCell ref="K119:P119"/>
    <mergeCell ref="Q119:R119"/>
    <mergeCell ref="B108:F108"/>
    <mergeCell ref="K108:O108"/>
    <mergeCell ref="B109:G109"/>
    <mergeCell ref="H109:I109"/>
    <mergeCell ref="K109:P109"/>
    <mergeCell ref="Q89:R89"/>
    <mergeCell ref="B98:F98"/>
    <mergeCell ref="K98:O98"/>
    <mergeCell ref="B99:G99"/>
    <mergeCell ref="H99:I99"/>
    <mergeCell ref="K99:P99"/>
    <mergeCell ref="Q99:R99"/>
    <mergeCell ref="B88:F88"/>
    <mergeCell ref="K88:O88"/>
    <mergeCell ref="B89:G89"/>
    <mergeCell ref="H89:I89"/>
    <mergeCell ref="K89:P89"/>
    <mergeCell ref="Q69:R69"/>
    <mergeCell ref="B78:F78"/>
    <mergeCell ref="K78:O78"/>
    <mergeCell ref="B79:G79"/>
    <mergeCell ref="H79:I79"/>
    <mergeCell ref="K79:P79"/>
    <mergeCell ref="Q79:R79"/>
    <mergeCell ref="B68:F68"/>
    <mergeCell ref="K68:O68"/>
    <mergeCell ref="B69:G69"/>
    <mergeCell ref="H69:I69"/>
    <mergeCell ref="K69:P69"/>
    <mergeCell ref="Q49:R49"/>
    <mergeCell ref="B59:G59"/>
    <mergeCell ref="H59:I59"/>
    <mergeCell ref="K59:P59"/>
    <mergeCell ref="Q59:R59"/>
    <mergeCell ref="B8:G8"/>
    <mergeCell ref="H8:I8"/>
    <mergeCell ref="K8:P8"/>
    <mergeCell ref="B39:G39"/>
    <mergeCell ref="K49:P49"/>
    <mergeCell ref="C2:E2"/>
    <mergeCell ref="C3:E3"/>
    <mergeCell ref="C4:E4"/>
    <mergeCell ref="C5:E5"/>
    <mergeCell ref="H2:I2"/>
    <mergeCell ref="H3:I3"/>
    <mergeCell ref="H4:I4"/>
    <mergeCell ref="H5:I5"/>
    <mergeCell ref="Q8:R8"/>
    <mergeCell ref="K19:P19"/>
    <mergeCell ref="Q19:R19"/>
    <mergeCell ref="Q29:R29"/>
    <mergeCell ref="Q39:R39"/>
    <mergeCell ref="K29:P29"/>
    <mergeCell ref="K18:O18"/>
    <mergeCell ref="K28:O28"/>
    <mergeCell ref="B58:F58"/>
    <mergeCell ref="B18:F18"/>
    <mergeCell ref="B28:F28"/>
    <mergeCell ref="B38:F38"/>
    <mergeCell ref="K39:P39"/>
    <mergeCell ref="K38:O38"/>
    <mergeCell ref="K58:O58"/>
    <mergeCell ref="B19:G19"/>
    <mergeCell ref="H19:I19"/>
    <mergeCell ref="B29:G29"/>
    <mergeCell ref="H29:I29"/>
    <mergeCell ref="H39:I39"/>
    <mergeCell ref="B48:F48"/>
    <mergeCell ref="B49:G49"/>
    <mergeCell ref="H49:I49"/>
    <mergeCell ref="K48:O48"/>
  </mergeCells>
  <printOptions horizontalCentered="1"/>
  <pageMargins left="0" right="0" top="0.25" bottom="0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Dashboard</vt:lpstr>
      <vt:lpstr>Data </vt:lpstr>
      <vt:lpstr>Dashboard!Print_Area</vt:lpstr>
      <vt:lpstr>'Data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tasya ramadhinta</cp:lastModifiedBy>
  <cp:lastPrinted>2022-04-20T11:29:12Z</cp:lastPrinted>
  <dcterms:modified xsi:type="dcterms:W3CDTF">2023-07-10T05:50:30Z</dcterms:modified>
</cp:coreProperties>
</file>