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irus Media Localize\ProFinance Premium\Time Sheets\"/>
    </mc:Choice>
  </mc:AlternateContent>
  <xr:revisionPtr revIDLastSave="0" documentId="13_ncr:1_{389F37EF-D4DF-4C90-BE77-8883DD2FC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N7" i="1" s="1"/>
  <c r="J8" i="1"/>
  <c r="N8" i="1" s="1"/>
  <c r="J9" i="1"/>
  <c r="N9" i="1" s="1"/>
  <c r="J12" i="1"/>
  <c r="J10" i="1"/>
  <c r="N10" i="1" s="1"/>
  <c r="J5" i="1"/>
  <c r="N5" i="1" s="1"/>
  <c r="L13" i="1"/>
  <c r="K13" i="1"/>
  <c r="F16" i="1"/>
  <c r="M13" i="1"/>
  <c r="G16" i="1" s="1"/>
  <c r="T13" i="1"/>
  <c r="S13" i="1"/>
  <c r="R13" i="1"/>
  <c r="Q13" i="1"/>
  <c r="P13" i="1"/>
  <c r="O13" i="1"/>
  <c r="N12" i="1"/>
  <c r="N13" i="1" l="1"/>
  <c r="C3" i="1" s="1"/>
  <c r="J13" i="1"/>
  <c r="E16" i="1" s="1"/>
  <c r="D16" i="1" s="1"/>
</calcChain>
</file>

<file path=xl/sharedStrings.xml><?xml version="1.0" encoding="utf-8"?>
<sst xmlns="http://schemas.openxmlformats.org/spreadsheetml/2006/main" count="50" uniqueCount="42">
  <si>
    <t>Midpoint</t>
  </si>
  <si>
    <t>Lunch Out</t>
  </si>
  <si>
    <t>Lunch In</t>
  </si>
  <si>
    <t>Previous Friday</t>
  </si>
  <si>
    <t>Monday</t>
  </si>
  <si>
    <t>Tuesday</t>
  </si>
  <si>
    <t>Wednesday</t>
  </si>
  <si>
    <t>Thursday</t>
  </si>
  <si>
    <t>Friday</t>
  </si>
  <si>
    <t>Tardy</t>
  </si>
  <si>
    <t>Approved Absence</t>
  </si>
  <si>
    <t>Approved Early Departure</t>
  </si>
  <si>
    <t>Approved Working Late</t>
  </si>
  <si>
    <t>Unapproved Absence</t>
  </si>
  <si>
    <t>Unapproved Early Out</t>
  </si>
  <si>
    <t>Mid Point</t>
  </si>
  <si>
    <t>Nama</t>
  </si>
  <si>
    <t>Nama Karyawan</t>
  </si>
  <si>
    <t>Diperlukan kotak oranye. Hijau adalah opsional. Biru dihitung secara otomatis.</t>
  </si>
  <si>
    <t>Total Jam Berbayar:</t>
  </si>
  <si>
    <t>Waktu Masuk dan Keluar</t>
  </si>
  <si>
    <t>Jam yang harus Dibayarkan kepada Karyawan</t>
  </si>
  <si>
    <t>Kehadiran (X)</t>
  </si>
  <si>
    <t>Tanggal</t>
  </si>
  <si>
    <t>Hari</t>
  </si>
  <si>
    <t>Waktu Selesai</t>
  </si>
  <si>
    <t>Jam Kerja</t>
  </si>
  <si>
    <r>
      <t xml:space="preserve">Termasuk </t>
    </r>
    <r>
      <rPr>
        <b/>
        <sz val="9.5"/>
        <color theme="1"/>
        <rFont val="Calibri"/>
        <family val="2"/>
      </rPr>
      <t>Hari Libur Pribadi</t>
    </r>
    <r>
      <rPr>
        <b/>
        <sz val="9.5"/>
        <color theme="2" tint="-9.9978637043366805E-2"/>
        <rFont val="Calibri"/>
        <family val="2"/>
      </rPr>
      <t xml:space="preserve"> Floater Hours</t>
    </r>
  </si>
  <si>
    <t>Hari Libur Federal</t>
  </si>
  <si>
    <r>
      <t xml:space="preserve">Termasuk </t>
    </r>
    <r>
      <rPr>
        <sz val="9.5"/>
        <color theme="1"/>
        <rFont val="Calibri"/>
        <family val="2"/>
      </rPr>
      <t>Cuti Sakit Cuti Berbayar</t>
    </r>
  </si>
  <si>
    <t>Total Jam Berbayar</t>
  </si>
  <si>
    <t xml:space="preserve">Keluar </t>
  </si>
  <si>
    <t>Masuk</t>
  </si>
  <si>
    <t>Waktu Mulai</t>
  </si>
  <si>
    <t>Total Lembar Absen:</t>
  </si>
  <si>
    <t>"Jam Kerja" di atas 40 hanya diperbolehkan dan dibayar dengan tarif lembur jika lembur disetujui sebelum jam kerja.</t>
  </si>
  <si>
    <t>Minggu Berakhir</t>
  </si>
  <si>
    <t>Detail Penggajian :</t>
  </si>
  <si>
    <t>Jam Reguler</t>
  </si>
  <si>
    <t>Jam Lembur</t>
  </si>
  <si>
    <t>Jam Cuti Berbayar</t>
  </si>
  <si>
    <r>
      <t>KOMENTAR KARYAWAN</t>
    </r>
    <r>
      <rPr>
        <sz val="9.5"/>
        <rFont val="Calibri"/>
        <family val="2"/>
      </rPr>
      <t xml:space="preserve"> seperti persetujuan lembur atau jenis cuti lainnya yang termasuk dalam kolom K (mis., Berkabung)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</si>
</sst>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h:mm;@"/>
    <numFmt numFmtId="165" formatCode="mm/d/yy;@"/>
    <numFmt numFmtId="166" formatCode="[$-409]h:mm\ AM/PM;@"/>
    <numFmt numFmtId="167" formatCode="[h]:mm"/>
    <numFmt numFmtId="168" formatCode="[h]:mm;@"/>
    <numFmt numFmtId="169" formatCode="0.0"/>
  </numFmts>
  <fonts count="20" x14ac:knownFonts="1">
    <font>
      <sz val="11"/>
      <color theme="1"/>
      <name val="Calibri"/>
      <family val="2"/>
      <scheme val="minor"/>
    </font>
    <font>
      <sz val="9.5"/>
      <name val="Calibri"/>
      <family val="2"/>
    </font>
    <font>
      <b/>
      <sz val="9.5"/>
      <name val="Calibri"/>
      <family val="2"/>
    </font>
    <font>
      <b/>
      <sz val="9.5"/>
      <color rgb="FF000000"/>
      <name val="Calibri"/>
      <family val="2"/>
    </font>
    <font>
      <sz val="9.5"/>
      <color rgb="FF4471C4"/>
      <name val="Calibri"/>
      <family val="2"/>
    </font>
    <font>
      <i/>
      <sz val="9.5"/>
      <name val="Calibri"/>
      <family val="2"/>
    </font>
    <font>
      <sz val="9.5"/>
      <color theme="1"/>
      <name val="Calibri"/>
      <family val="2"/>
      <scheme val="minor"/>
    </font>
    <font>
      <sz val="9.5"/>
      <color theme="4" tint="-0.249977111117893"/>
      <name val="Calibri"/>
      <family val="2"/>
    </font>
    <font>
      <sz val="9.5"/>
      <color theme="4" tint="-0.249977111117893"/>
      <name val="Calibri"/>
      <family val="2"/>
      <scheme val="minor"/>
    </font>
    <font>
      <b/>
      <sz val="9.5"/>
      <color theme="4" tint="-0.249977111117893"/>
      <name val="Calibri"/>
      <family val="2"/>
    </font>
    <font>
      <sz val="9"/>
      <name val="Arial"/>
      <family val="2"/>
    </font>
    <font>
      <b/>
      <sz val="9.5"/>
      <color theme="1" tint="0.34998626667073579"/>
      <name val="Calibri"/>
      <family val="2"/>
    </font>
    <font>
      <sz val="9.5"/>
      <color theme="2" tint="-0.249977111117893"/>
      <name val="Calibri"/>
      <family val="2"/>
    </font>
    <font>
      <b/>
      <sz val="9.5"/>
      <color theme="2" tint="-9.9978637043366805E-2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9.5"/>
      <color theme="1"/>
      <name val="Calibri"/>
      <family val="2"/>
      <scheme val="minor"/>
    </font>
    <font>
      <b/>
      <sz val="9.5"/>
      <color theme="0"/>
      <name val="Calibri"/>
      <family val="2"/>
    </font>
    <font>
      <b/>
      <sz val="9.5"/>
      <color theme="1"/>
      <name val="Calibri"/>
      <family val="2"/>
    </font>
    <font>
      <sz val="9.5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1CC"/>
      </patternFill>
    </fill>
    <fill>
      <patternFill patternType="solid">
        <fgColor rgb="FFF1F1F1"/>
      </patternFill>
    </fill>
    <fill>
      <patternFill patternType="solid">
        <fgColor rgb="FFC5DFB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/>
      <top style="thin">
        <color theme="2" tint="-0.499984740745262"/>
      </top>
      <bottom style="medium">
        <color theme="2" tint="-0.499984740745262"/>
      </bottom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0" fillId="0" borderId="0" xfId="0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shrinkToFi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165" fontId="3" fillId="6" borderId="8" xfId="0" applyNumberFormat="1" applyFont="1" applyFill="1" applyBorder="1" applyAlignment="1">
      <alignment horizontal="center" vertical="center" shrinkToFit="1"/>
    </xf>
    <xf numFmtId="0" fontId="11" fillId="5" borderId="0" xfId="0" applyFont="1" applyFill="1" applyAlignment="1">
      <alignment horizontal="center" vertical="center" shrinkToFit="1"/>
    </xf>
    <xf numFmtId="0" fontId="1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textRotation="90" wrapText="1"/>
    </xf>
    <xf numFmtId="166" fontId="7" fillId="2" borderId="11" xfId="0" applyNumberFormat="1" applyFont="1" applyFill="1" applyBorder="1" applyAlignment="1">
      <alignment horizontal="center" vertical="center" wrapText="1"/>
    </xf>
    <xf numFmtId="166" fontId="8" fillId="2" borderId="11" xfId="0" applyNumberFormat="1" applyFont="1" applyFill="1" applyBorder="1" applyAlignment="1">
      <alignment horizontal="center" vertical="center" wrapText="1"/>
    </xf>
    <xf numFmtId="166" fontId="6" fillId="8" borderId="11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66" fontId="2" fillId="0" borderId="11" xfId="0" applyNumberFormat="1" applyFont="1" applyBorder="1" applyAlignment="1">
      <alignment horizontal="center" vertical="center" wrapText="1"/>
    </xf>
    <xf numFmtId="166" fontId="1" fillId="0" borderId="11" xfId="0" applyNumberFormat="1" applyFont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166" fontId="7" fillId="7" borderId="11" xfId="0" applyNumberFormat="1" applyFont="1" applyFill="1" applyBorder="1" applyAlignment="1">
      <alignment horizontal="center" vertical="center" wrapText="1"/>
    </xf>
    <xf numFmtId="164" fontId="6" fillId="4" borderId="11" xfId="0" applyNumberFormat="1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textRotation="90" wrapText="1"/>
    </xf>
    <xf numFmtId="165" fontId="4" fillId="2" borderId="20" xfId="0" applyNumberFormat="1" applyFont="1" applyFill="1" applyBorder="1" applyAlignment="1">
      <alignment horizontal="center" vertical="center" shrinkToFit="1"/>
    </xf>
    <xf numFmtId="0" fontId="6" fillId="4" borderId="19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 shrinkToFit="1"/>
    </xf>
    <xf numFmtId="1" fontId="3" fillId="0" borderId="25" xfId="0" applyNumberFormat="1" applyFont="1" applyBorder="1" applyAlignment="1">
      <alignment horizontal="center" vertical="center" shrinkToFit="1"/>
    </xf>
    <xf numFmtId="0" fontId="6" fillId="3" borderId="11" xfId="0" applyFont="1" applyFill="1" applyBorder="1" applyAlignment="1">
      <alignment vertical="center" wrapText="1"/>
    </xf>
    <xf numFmtId="0" fontId="6" fillId="3" borderId="19" xfId="0" applyFont="1" applyFill="1" applyBorder="1" applyAlignment="1">
      <alignment vertical="center" wrapText="1"/>
    </xf>
    <xf numFmtId="168" fontId="6" fillId="0" borderId="0" xfId="0" applyNumberFormat="1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2" fontId="16" fillId="3" borderId="11" xfId="0" applyNumberFormat="1" applyFont="1" applyFill="1" applyBorder="1" applyAlignment="1">
      <alignment vertical="center" wrapText="1"/>
    </xf>
    <xf numFmtId="0" fontId="3" fillId="6" borderId="13" xfId="0" applyFont="1" applyFill="1" applyBorder="1" applyAlignment="1">
      <alignment horizontal="center" vertical="center" shrinkToFit="1"/>
    </xf>
    <xf numFmtId="166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9" fontId="0" fillId="5" borderId="0" xfId="0" applyNumberForma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169" fontId="9" fillId="0" borderId="11" xfId="0" applyNumberFormat="1" applyFont="1" applyBorder="1" applyAlignment="1">
      <alignment horizontal="center" vertical="center" wrapText="1"/>
    </xf>
    <xf numFmtId="169" fontId="2" fillId="0" borderId="22" xfId="0" applyNumberFormat="1" applyFont="1" applyBorder="1" applyAlignment="1">
      <alignment horizontal="center" vertical="center" wrapText="1"/>
    </xf>
    <xf numFmtId="169" fontId="3" fillId="6" borderId="10" xfId="1" applyNumberFormat="1" applyFont="1" applyFill="1" applyBorder="1" applyAlignment="1">
      <alignment horizontal="center" vertical="center" shrinkToFit="1"/>
    </xf>
    <xf numFmtId="169" fontId="11" fillId="6" borderId="10" xfId="1" applyNumberFormat="1" applyFont="1" applyFill="1" applyBorder="1" applyAlignment="1">
      <alignment horizontal="center" vertical="center" shrinkToFit="1"/>
    </xf>
    <xf numFmtId="167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6" fillId="3" borderId="11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 indent="10"/>
    </xf>
    <xf numFmtId="0" fontId="2" fillId="0" borderId="17" xfId="0" applyFont="1" applyBorder="1" applyAlignment="1">
      <alignment horizontal="left" vertical="center" wrapText="1" indent="10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8EAE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8"/>
  <sheetViews>
    <sheetView showGridLines="0" showRowColHeaders="0" tabSelected="1" workbookViewId="0">
      <selection activeCell="B19" sqref="B19"/>
    </sheetView>
  </sheetViews>
  <sheetFormatPr defaultRowHeight="14.4" x14ac:dyDescent="0.3"/>
  <cols>
    <col min="1" max="1" width="1.109375" customWidth="1"/>
    <col min="3" max="3" width="18.109375" customWidth="1"/>
    <col min="5" max="5" width="9.109375" customWidth="1"/>
    <col min="8" max="9" width="10.88671875" customWidth="1"/>
    <col min="10" max="10" width="11.44140625" bestFit="1" customWidth="1"/>
    <col min="11" max="11" width="11.5546875" bestFit="1" customWidth="1"/>
    <col min="12" max="13" width="10.109375" bestFit="1" customWidth="1"/>
    <col min="14" max="14" width="11.44140625" bestFit="1" customWidth="1"/>
    <col min="15" max="20" width="4.6640625" customWidth="1"/>
    <col min="21" max="21" width="1.109375" customWidth="1"/>
    <col min="22" max="22" width="10.109375" bestFit="1" customWidth="1"/>
    <col min="23" max="23" width="7.77734375" style="4" bestFit="1" customWidth="1"/>
    <col min="24" max="25" width="8.88671875" style="4"/>
  </cols>
  <sheetData>
    <row r="1" spans="2:25" ht="6" customHeight="1" thickBot="1" x14ac:dyDescent="0.35"/>
    <row r="2" spans="2:25" ht="24" customHeight="1" x14ac:dyDescent="0.3">
      <c r="B2" s="30" t="s">
        <v>16</v>
      </c>
      <c r="C2" s="31" t="s">
        <v>17</v>
      </c>
      <c r="D2" s="72" t="s">
        <v>18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3"/>
    </row>
    <row r="3" spans="2:25" ht="36" customHeight="1" x14ac:dyDescent="0.3">
      <c r="B3" s="32" t="s">
        <v>19</v>
      </c>
      <c r="C3" s="50">
        <f>N13</f>
        <v>36.5</v>
      </c>
      <c r="D3" s="74" t="s">
        <v>20</v>
      </c>
      <c r="E3" s="75"/>
      <c r="F3" s="75"/>
      <c r="G3" s="75"/>
      <c r="H3" s="75"/>
      <c r="I3" s="17"/>
      <c r="J3" s="75" t="s">
        <v>21</v>
      </c>
      <c r="K3" s="75"/>
      <c r="L3" s="75"/>
      <c r="M3" s="75"/>
      <c r="N3" s="75"/>
      <c r="O3" s="75" t="s">
        <v>22</v>
      </c>
      <c r="P3" s="75"/>
      <c r="Q3" s="75"/>
      <c r="R3" s="75"/>
      <c r="S3" s="75"/>
      <c r="T3" s="76"/>
    </row>
    <row r="4" spans="2:25" s="2" customFormat="1" ht="108" customHeight="1" x14ac:dyDescent="0.3">
      <c r="B4" s="33" t="s">
        <v>23</v>
      </c>
      <c r="C4" s="18" t="s">
        <v>24</v>
      </c>
      <c r="D4" s="18" t="s">
        <v>15</v>
      </c>
      <c r="E4" s="18" t="s">
        <v>1</v>
      </c>
      <c r="F4" s="18" t="s">
        <v>2</v>
      </c>
      <c r="G4" s="19" t="s">
        <v>31</v>
      </c>
      <c r="H4" s="19" t="s">
        <v>32</v>
      </c>
      <c r="I4" s="18" t="s">
        <v>25</v>
      </c>
      <c r="J4" s="18" t="s">
        <v>26</v>
      </c>
      <c r="K4" s="81" t="s">
        <v>27</v>
      </c>
      <c r="L4" s="18" t="s">
        <v>28</v>
      </c>
      <c r="M4" s="82" t="s">
        <v>29</v>
      </c>
      <c r="N4" s="18" t="s">
        <v>30</v>
      </c>
      <c r="O4" s="20" t="s">
        <v>9</v>
      </c>
      <c r="P4" s="20" t="s">
        <v>10</v>
      </c>
      <c r="Q4" s="20" t="s">
        <v>11</v>
      </c>
      <c r="R4" s="20" t="s">
        <v>12</v>
      </c>
      <c r="S4" s="20" t="s">
        <v>13</v>
      </c>
      <c r="T4" s="34" t="s">
        <v>14</v>
      </c>
      <c r="U4" s="1"/>
      <c r="W4" s="4"/>
      <c r="X4" s="4"/>
      <c r="Y4" s="4"/>
    </row>
    <row r="5" spans="2:25" s="4" customFormat="1" ht="21" customHeight="1" x14ac:dyDescent="0.3">
      <c r="B5" s="35">
        <v>44533</v>
      </c>
      <c r="C5" s="19" t="s">
        <v>3</v>
      </c>
      <c r="D5" s="21"/>
      <c r="E5" s="22"/>
      <c r="F5" s="21"/>
      <c r="G5" s="23"/>
      <c r="H5" s="23"/>
      <c r="I5" s="21"/>
      <c r="J5" s="55">
        <f>ROUND(((((E5-D5)+(G5-F5)+(I5-H5)))*24)/0.1,0)*0.1</f>
        <v>0</v>
      </c>
      <c r="K5" s="46">
        <v>0</v>
      </c>
      <c r="L5" s="46">
        <v>0</v>
      </c>
      <c r="M5" s="46">
        <v>0</v>
      </c>
      <c r="N5" s="18">
        <f>SUM(J5:M5)</f>
        <v>0</v>
      </c>
      <c r="O5" s="24"/>
      <c r="P5" s="24"/>
      <c r="Q5" s="24"/>
      <c r="R5" s="24"/>
      <c r="S5" s="24"/>
      <c r="T5" s="36"/>
    </row>
    <row r="6" spans="2:25" s="2" customFormat="1" ht="24" customHeight="1" x14ac:dyDescent="0.3">
      <c r="B6" s="37"/>
      <c r="C6" s="18" t="s">
        <v>24</v>
      </c>
      <c r="D6" s="25" t="s">
        <v>33</v>
      </c>
      <c r="E6" s="25" t="s">
        <v>1</v>
      </c>
      <c r="F6" s="25" t="s">
        <v>2</v>
      </c>
      <c r="G6" s="26" t="s">
        <v>31</v>
      </c>
      <c r="H6" s="26" t="s">
        <v>32</v>
      </c>
      <c r="I6" s="25" t="s">
        <v>25</v>
      </c>
      <c r="J6" s="48"/>
      <c r="K6" s="27"/>
      <c r="L6" s="27"/>
      <c r="M6" s="27"/>
      <c r="N6" s="47"/>
      <c r="O6" s="27"/>
      <c r="P6" s="27"/>
      <c r="Q6" s="27"/>
      <c r="R6" s="27"/>
      <c r="S6" s="27"/>
      <c r="T6" s="38"/>
      <c r="V6" s="4"/>
      <c r="W6" s="4"/>
      <c r="X6" s="4"/>
      <c r="Y6" s="4"/>
    </row>
    <row r="7" spans="2:25" s="4" customFormat="1" ht="21" customHeight="1" x14ac:dyDescent="0.3">
      <c r="B7" s="35">
        <v>44536</v>
      </c>
      <c r="C7" s="19" t="s">
        <v>4</v>
      </c>
      <c r="D7" s="21">
        <v>0.69097222222222221</v>
      </c>
      <c r="E7" s="22">
        <v>0.72222222222222221</v>
      </c>
      <c r="F7" s="21"/>
      <c r="G7" s="28"/>
      <c r="H7" s="28"/>
      <c r="I7" s="21"/>
      <c r="J7" s="55">
        <f t="shared" ref="J7:J12" si="0">ROUND(((((E7-D7)+(G7-F7)+(I7-H7)))*24)/0.1,0)*0.1</f>
        <v>0.8</v>
      </c>
      <c r="K7" s="46">
        <v>0</v>
      </c>
      <c r="L7" s="46">
        <v>24</v>
      </c>
      <c r="M7" s="46">
        <v>0</v>
      </c>
      <c r="N7" s="18">
        <f>SUM(J7:M7)</f>
        <v>24.8</v>
      </c>
      <c r="O7" s="24"/>
      <c r="P7" s="24"/>
      <c r="Q7" s="24"/>
      <c r="R7" s="24"/>
      <c r="S7" s="24"/>
      <c r="T7" s="36"/>
      <c r="V7" s="54"/>
      <c r="W7" s="51"/>
      <c r="X7" s="52"/>
      <c r="Y7" s="53"/>
    </row>
    <row r="8" spans="2:25" s="4" customFormat="1" ht="21" customHeight="1" x14ac:dyDescent="0.3">
      <c r="B8" s="35">
        <v>44537</v>
      </c>
      <c r="C8" s="19" t="s">
        <v>5</v>
      </c>
      <c r="D8" s="21">
        <v>0.69027777777777777</v>
      </c>
      <c r="E8" s="22">
        <v>0.72222222222222221</v>
      </c>
      <c r="F8" s="22"/>
      <c r="G8" s="28"/>
      <c r="H8" s="28"/>
      <c r="I8" s="21"/>
      <c r="J8" s="55">
        <f t="shared" si="0"/>
        <v>0.8</v>
      </c>
      <c r="K8" s="46">
        <v>1</v>
      </c>
      <c r="L8" s="46">
        <v>2</v>
      </c>
      <c r="M8" s="46">
        <v>2</v>
      </c>
      <c r="N8" s="18">
        <f>SUM(J8:M8)</f>
        <v>5.8</v>
      </c>
      <c r="O8" s="24"/>
      <c r="P8" s="24"/>
      <c r="Q8" s="24"/>
      <c r="R8" s="24"/>
      <c r="S8" s="24"/>
      <c r="T8" s="36"/>
      <c r="V8" s="54"/>
    </row>
    <row r="9" spans="2:25" s="4" customFormat="1" ht="21" customHeight="1" x14ac:dyDescent="0.3">
      <c r="B9" s="35">
        <v>44538</v>
      </c>
      <c r="C9" s="19" t="s">
        <v>6</v>
      </c>
      <c r="D9" s="21">
        <v>0.68958333333333333</v>
      </c>
      <c r="E9" s="22">
        <v>0.72222222222222221</v>
      </c>
      <c r="F9" s="22"/>
      <c r="G9" s="28"/>
      <c r="H9" s="28"/>
      <c r="I9" s="21"/>
      <c r="J9" s="55">
        <f t="shared" si="0"/>
        <v>0.8</v>
      </c>
      <c r="K9" s="46">
        <v>0</v>
      </c>
      <c r="L9" s="46">
        <v>0</v>
      </c>
      <c r="M9" s="46">
        <v>0</v>
      </c>
      <c r="N9" s="18">
        <f>SUM(J9:M9)</f>
        <v>0.8</v>
      </c>
      <c r="O9" s="24"/>
      <c r="P9" s="24"/>
      <c r="Q9" s="24"/>
      <c r="R9" s="24"/>
      <c r="S9" s="24"/>
      <c r="T9" s="36"/>
      <c r="V9" s="54"/>
    </row>
    <row r="10" spans="2:25" s="4" customFormat="1" ht="21" customHeight="1" x14ac:dyDescent="0.3">
      <c r="B10" s="35">
        <v>44539</v>
      </c>
      <c r="C10" s="19" t="s">
        <v>7</v>
      </c>
      <c r="D10" s="21">
        <v>0.68819444444444444</v>
      </c>
      <c r="E10" s="22">
        <v>0.72222222222222221</v>
      </c>
      <c r="F10" s="22"/>
      <c r="G10" s="28"/>
      <c r="H10" s="28"/>
      <c r="I10" s="21"/>
      <c r="J10" s="55">
        <f t="shared" si="0"/>
        <v>0.8</v>
      </c>
      <c r="K10" s="46">
        <v>0</v>
      </c>
      <c r="L10" s="46">
        <v>0</v>
      </c>
      <c r="M10" s="46">
        <v>0</v>
      </c>
      <c r="N10" s="18">
        <f>SUM(J10:M10)</f>
        <v>0.8</v>
      </c>
      <c r="O10" s="24"/>
      <c r="P10" s="24"/>
      <c r="Q10" s="24"/>
      <c r="R10" s="24"/>
      <c r="S10" s="24"/>
      <c r="T10" s="36"/>
      <c r="V10" s="54"/>
    </row>
    <row r="11" spans="2:25" s="2" customFormat="1" ht="24" customHeight="1" x14ac:dyDescent="0.3">
      <c r="B11" s="66"/>
      <c r="C11" s="67"/>
      <c r="D11" s="25" t="s">
        <v>33</v>
      </c>
      <c r="E11" s="71"/>
      <c r="F11" s="71"/>
      <c r="G11" s="71"/>
      <c r="H11" s="71"/>
      <c r="I11" s="25" t="s">
        <v>0</v>
      </c>
      <c r="J11" s="49"/>
      <c r="K11" s="42"/>
      <c r="L11" s="42"/>
      <c r="M11" s="42"/>
      <c r="N11" s="42"/>
      <c r="O11" s="42"/>
      <c r="P11" s="42"/>
      <c r="Q11" s="42"/>
      <c r="R11" s="42"/>
      <c r="S11" s="42"/>
      <c r="T11" s="43"/>
      <c r="W11" s="4"/>
      <c r="X11" s="4"/>
      <c r="Y11" s="4"/>
    </row>
    <row r="12" spans="2:25" s="4" customFormat="1" ht="21" customHeight="1" x14ac:dyDescent="0.3">
      <c r="B12" s="35">
        <v>44540</v>
      </c>
      <c r="C12" s="19" t="s">
        <v>8</v>
      </c>
      <c r="D12" s="21">
        <v>0.15625</v>
      </c>
      <c r="E12" s="71"/>
      <c r="F12" s="71"/>
      <c r="G12" s="71"/>
      <c r="H12" s="71"/>
      <c r="I12" s="21">
        <v>0.33333333333333331</v>
      </c>
      <c r="J12" s="55">
        <f t="shared" si="0"/>
        <v>4.3</v>
      </c>
      <c r="K12" s="46">
        <v>0</v>
      </c>
      <c r="L12" s="46">
        <v>0</v>
      </c>
      <c r="M12" s="46">
        <v>0</v>
      </c>
      <c r="N12" s="18">
        <f>SUM(J12:M12)</f>
        <v>4.3</v>
      </c>
      <c r="O12" s="29"/>
      <c r="P12" s="24"/>
      <c r="Q12" s="24"/>
      <c r="R12" s="24"/>
      <c r="S12" s="24"/>
      <c r="T12" s="36"/>
    </row>
    <row r="13" spans="2:25" ht="37.5" customHeight="1" thickBot="1" x14ac:dyDescent="0.35">
      <c r="B13" s="79" t="s">
        <v>34</v>
      </c>
      <c r="C13" s="80"/>
      <c r="D13" s="68" t="s">
        <v>35</v>
      </c>
      <c r="E13" s="69"/>
      <c r="F13" s="69"/>
      <c r="G13" s="69"/>
      <c r="H13" s="70"/>
      <c r="I13" s="39"/>
      <c r="J13" s="56">
        <f>SUM(J5:J12)</f>
        <v>7.5</v>
      </c>
      <c r="K13" s="56">
        <f>SUM(K5:K12)</f>
        <v>1</v>
      </c>
      <c r="L13" s="56">
        <f>SUM(L5:L12)</f>
        <v>26</v>
      </c>
      <c r="M13" s="56">
        <f>SUM(M5:M12)</f>
        <v>2</v>
      </c>
      <c r="N13" s="56">
        <f>SUM(N5:N12)</f>
        <v>36.5</v>
      </c>
      <c r="O13" s="40">
        <f t="shared" ref="O13:T13" si="1">SUM(O5:O12)</f>
        <v>0</v>
      </c>
      <c r="P13" s="40">
        <f t="shared" si="1"/>
        <v>0</v>
      </c>
      <c r="Q13" s="40">
        <f t="shared" si="1"/>
        <v>0</v>
      </c>
      <c r="R13" s="40">
        <f t="shared" si="1"/>
        <v>0</v>
      </c>
      <c r="S13" s="40">
        <f t="shared" si="1"/>
        <v>0</v>
      </c>
      <c r="T13" s="41">
        <f t="shared" si="1"/>
        <v>0</v>
      </c>
    </row>
    <row r="14" spans="2:25" ht="6" customHeight="1" x14ac:dyDescent="0.3">
      <c r="B14" s="5"/>
      <c r="C14" s="5"/>
      <c r="D14" s="6"/>
      <c r="E14" s="7"/>
      <c r="F14" s="7"/>
      <c r="G14" s="7"/>
      <c r="H14" s="45"/>
      <c r="I14" s="8"/>
      <c r="J14" s="5"/>
      <c r="K14" s="5"/>
      <c r="L14" s="5"/>
      <c r="M14" s="9"/>
      <c r="N14" s="5"/>
      <c r="O14" s="10"/>
      <c r="P14" s="10"/>
      <c r="Q14" s="10"/>
      <c r="R14" s="10"/>
      <c r="S14" s="10"/>
      <c r="T14" s="10"/>
    </row>
    <row r="15" spans="2:25" s="4" customFormat="1" ht="30" customHeight="1" x14ac:dyDescent="0.3">
      <c r="B15" s="11" t="s">
        <v>36</v>
      </c>
      <c r="C15" s="77" t="s">
        <v>37</v>
      </c>
      <c r="D15" s="12" t="s">
        <v>38</v>
      </c>
      <c r="E15" s="12" t="s">
        <v>39</v>
      </c>
      <c r="F15" s="13" t="s">
        <v>28</v>
      </c>
      <c r="G15" s="14" t="s">
        <v>40</v>
      </c>
      <c r="I15" s="3"/>
      <c r="J15" s="4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2:25" s="4" customFormat="1" ht="30" customHeight="1" x14ac:dyDescent="0.3">
      <c r="B16" s="15">
        <v>44540</v>
      </c>
      <c r="C16" s="78"/>
      <c r="D16" s="57">
        <f>(J13-E16)</f>
        <v>7.5</v>
      </c>
      <c r="E16" s="57">
        <f>IF(J13&gt;40,J13-40,0)</f>
        <v>0</v>
      </c>
      <c r="F16" s="58">
        <f>(L13+K13)</f>
        <v>27</v>
      </c>
      <c r="G16" s="58">
        <f>M13</f>
        <v>2</v>
      </c>
      <c r="I16" s="1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2:26" x14ac:dyDescent="0.3"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V17" s="4"/>
      <c r="Z17" s="4"/>
    </row>
    <row r="18" spans="2:26" ht="42.75" customHeight="1" x14ac:dyDescent="0.3">
      <c r="B18" s="83" t="s">
        <v>41</v>
      </c>
      <c r="C18" s="61"/>
      <c r="D18" s="62"/>
      <c r="E18" s="63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5"/>
      <c r="V18" s="2"/>
      <c r="Z18" s="4"/>
    </row>
  </sheetData>
  <mergeCells count="13">
    <mergeCell ref="D2:T2"/>
    <mergeCell ref="D3:H3"/>
    <mergeCell ref="J3:N3"/>
    <mergeCell ref="O3:T3"/>
    <mergeCell ref="C15:C16"/>
    <mergeCell ref="B13:C13"/>
    <mergeCell ref="B17:T17"/>
    <mergeCell ref="B18:D18"/>
    <mergeCell ref="E18:T18"/>
    <mergeCell ref="B11:C11"/>
    <mergeCell ref="D13:H13"/>
    <mergeCell ref="E11:H11"/>
    <mergeCell ref="E12:H12"/>
  </mergeCells>
  <conditionalFormatting sqref="E7:E10">
    <cfRule type="expression" priority="2">
      <formula>MROUND(E7,"0:06")</formula>
    </cfRule>
  </conditionalFormatting>
  <conditionalFormatting sqref="V7:V10">
    <cfRule type="expression" priority="1">
      <formula>MROUND(V7,"0:06")</formula>
    </cfRule>
  </conditionalFormatting>
  <dataValidations count="1">
    <dataValidation type="custom" allowBlank="1" showInputMessage="1" showErrorMessage="1" sqref="E7:E10" xr:uid="{00000000-0002-0000-0000-000000000000}">
      <formula1>MROUND(E7,"0:15")</formula1>
    </dataValidation>
  </dataValidations>
  <printOptions horizontalCentered="1"/>
  <pageMargins left="0" right="0" top="0.75" bottom="0" header="0.3" footer="0.3"/>
  <pageSetup scale="8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</dc:creator>
  <cp:lastModifiedBy>tasya ramadhinta</cp:lastModifiedBy>
  <cp:lastPrinted>2022-01-24T18:53:04Z</cp:lastPrinted>
  <dcterms:created xsi:type="dcterms:W3CDTF">2021-12-17T14:39:44Z</dcterms:created>
  <dcterms:modified xsi:type="dcterms:W3CDTF">2023-07-10T04:15:18Z</dcterms:modified>
</cp:coreProperties>
</file>