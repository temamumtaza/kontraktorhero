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Virus Media Localize\ProFinance Premium\Time Sheets\"/>
    </mc:Choice>
  </mc:AlternateContent>
  <xr:revisionPtr revIDLastSave="0" documentId="13_ncr:1_{E85CC002-ADED-4C6C-A638-E25322DB22B1}" xr6:coauthVersionLast="45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voice Data Summary" sheetId="8" r:id="rId1"/>
    <sheet name="Task Checklist" sheetId="6" r:id="rId2"/>
  </sheets>
  <definedNames>
    <definedName name="_xlnm.Print_Area" localSheetId="0">'Invoice Data Summary'!$A$1:$I$62</definedName>
    <definedName name="_xlnm.Print_Area" localSheetId="1">'Task Checklist'!$A$1:$K$38</definedName>
    <definedName name="valuevx">42.314159</definedName>
    <definedName name="vertex42_copyright" hidden="1">"© 2017 Vertex42 LLC"</definedName>
    <definedName name="vertex42_id" hidden="1">"task-checklist.xlsx"</definedName>
    <definedName name="vertex42_title" hidden="1">"Task Checklist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8" l="1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13" i="8"/>
  <c r="H43" i="8" l="1"/>
  <c r="H40" i="8"/>
  <c r="H19" i="8" l="1"/>
  <c r="H20" i="8"/>
  <c r="H21" i="8"/>
  <c r="H22" i="8"/>
  <c r="H23" i="8"/>
  <c r="H27" i="8"/>
  <c r="H28" i="8"/>
  <c r="H30" i="8"/>
  <c r="H31" i="8"/>
  <c r="H32" i="8"/>
  <c r="H33" i="8"/>
  <c r="H34" i="8"/>
  <c r="H35" i="8"/>
  <c r="H36" i="8"/>
  <c r="H37" i="8"/>
  <c r="H38" i="8"/>
  <c r="H39" i="8"/>
  <c r="H41" i="8"/>
  <c r="H42" i="8"/>
  <c r="H24" i="8"/>
  <c r="H25" i="8"/>
  <c r="H26" i="8"/>
  <c r="H29" i="8"/>
  <c r="A5" i="6" l="1"/>
  <c r="K36" i="6"/>
  <c r="K38" i="6" s="1"/>
  <c r="J36" i="6"/>
  <c r="J38" i="6" s="1"/>
  <c r="I36" i="6"/>
  <c r="I38" i="6" s="1"/>
  <c r="H36" i="6"/>
  <c r="H38" i="6" s="1"/>
  <c r="G36" i="6"/>
  <c r="F36" i="6"/>
  <c r="E36" i="6"/>
  <c r="D36" i="6"/>
  <c r="C36" i="6"/>
  <c r="B36" i="6"/>
  <c r="A6" i="6" l="1"/>
  <c r="B13" i="8"/>
  <c r="E38" i="6"/>
  <c r="H16" i="8"/>
  <c r="F38" i="6"/>
  <c r="H17" i="8"/>
  <c r="G38" i="6"/>
  <c r="H18" i="8"/>
  <c r="B38" i="6"/>
  <c r="H13" i="8"/>
  <c r="C38" i="6"/>
  <c r="H14" i="8"/>
  <c r="D38" i="6"/>
  <c r="H15" i="8"/>
  <c r="A7" i="6" l="1"/>
  <c r="B14" i="8"/>
  <c r="H46" i="8"/>
  <c r="H48" i="8" s="1"/>
  <c r="H49" i="8" s="1"/>
  <c r="A8" i="6" l="1"/>
  <c r="B15" i="8"/>
  <c r="A9" i="6" l="1"/>
  <c r="B16" i="8"/>
  <c r="A10" i="6" l="1"/>
  <c r="B17" i="8"/>
  <c r="A11" i="6" l="1"/>
  <c r="B18" i="8"/>
  <c r="A12" i="6" l="1"/>
  <c r="B19" i="8"/>
  <c r="A13" i="6" l="1"/>
  <c r="B20" i="8"/>
  <c r="A14" i="6" l="1"/>
  <c r="B21" i="8"/>
  <c r="A15" i="6" l="1"/>
  <c r="B22" i="8"/>
  <c r="A16" i="6" l="1"/>
  <c r="B23" i="8"/>
  <c r="A17" i="6" l="1"/>
  <c r="B24" i="8"/>
  <c r="A18" i="6" l="1"/>
  <c r="B25" i="8"/>
  <c r="A19" i="6" l="1"/>
  <c r="B26" i="8"/>
  <c r="A20" i="6" l="1"/>
  <c r="B27" i="8"/>
  <c r="A21" i="6" l="1"/>
  <c r="B28" i="8"/>
  <c r="A22" i="6" l="1"/>
  <c r="B29" i="8"/>
  <c r="A23" i="6" l="1"/>
  <c r="B30" i="8"/>
  <c r="A24" i="6" l="1"/>
  <c r="B31" i="8"/>
  <c r="A25" i="6" l="1"/>
  <c r="B32" i="8"/>
  <c r="A26" i="6" l="1"/>
  <c r="B33" i="8"/>
  <c r="A27" i="6" l="1"/>
  <c r="B34" i="8"/>
  <c r="A28" i="6" l="1"/>
  <c r="B35" i="8"/>
  <c r="A29" i="6" l="1"/>
  <c r="B36" i="8"/>
  <c r="A30" i="6" l="1"/>
  <c r="B37" i="8"/>
  <c r="A31" i="6" l="1"/>
  <c r="B38" i="8"/>
  <c r="A32" i="6" l="1"/>
  <c r="B39" i="8"/>
  <c r="A33" i="6" l="1"/>
  <c r="B40" i="8"/>
  <c r="A34" i="6" l="1"/>
  <c r="B41" i="8"/>
  <c r="A35" i="6" l="1"/>
  <c r="B43" i="8" s="1"/>
  <c r="B42" i="8"/>
</calcChain>
</file>

<file path=xl/sharedStrings.xml><?xml version="1.0" encoding="utf-8"?>
<sst xmlns="http://schemas.openxmlformats.org/spreadsheetml/2006/main" count="72" uniqueCount="41">
  <si>
    <t>SUBTOTAL</t>
  </si>
  <si>
    <t>Balance Due</t>
  </si>
  <si>
    <t>Cash</t>
  </si>
  <si>
    <t>Cheque</t>
  </si>
  <si>
    <t>Online</t>
  </si>
  <si>
    <t xml:space="preserve">TOTAL SERVICES CHARGES </t>
  </si>
  <si>
    <t>INVOICE</t>
  </si>
  <si>
    <t>JA Templates</t>
  </si>
  <si>
    <t>Alamat jalan</t>
  </si>
  <si>
    <t>Alamat 2</t>
  </si>
  <si>
    <t>Kota,Kode Pos</t>
  </si>
  <si>
    <t>Karyawan</t>
  </si>
  <si>
    <t>Manajer</t>
  </si>
  <si>
    <t>Tanggal mulai periode pembayaran:</t>
  </si>
  <si>
    <t>Tanggal akhir periode pembayaran:</t>
  </si>
  <si>
    <t>Telepon karyawan:</t>
  </si>
  <si>
    <t>Email karyawan:</t>
  </si>
  <si>
    <t>TANGGAL</t>
  </si>
  <si>
    <t>DESKRIPSI</t>
  </si>
  <si>
    <t>TOTAL JAM</t>
  </si>
  <si>
    <t>TARIF PER JAM</t>
  </si>
  <si>
    <t>JUMLAH TOTAL</t>
  </si>
  <si>
    <t>PERSENTASE PAJAK</t>
  </si>
  <si>
    <t>JUMLAH PAJAK</t>
  </si>
  <si>
    <t>Pembayaran Diterima Sebagai:</t>
  </si>
  <si>
    <t>Diterima oleh:  ___________________</t>
  </si>
  <si>
    <t>Dibayar oleh:  ___________________</t>
  </si>
  <si>
    <t>TUGAS CHECKLIST</t>
  </si>
  <si>
    <t>TUGAS 1</t>
  </si>
  <si>
    <t>TUGAS 2</t>
  </si>
  <si>
    <t>TUGAS 3</t>
  </si>
  <si>
    <t>TUGAS 4</t>
  </si>
  <si>
    <t>TUGAS 5</t>
  </si>
  <si>
    <t>TUGAS 6</t>
  </si>
  <si>
    <t>TUGAS 7</t>
  </si>
  <si>
    <t>TUGAS 8</t>
  </si>
  <si>
    <t>TUGAS 9</t>
  </si>
  <si>
    <t>TUGAS 10</t>
  </si>
  <si>
    <t>TOTAL TUGAS</t>
  </si>
  <si>
    <t>Tarif per Tugas</t>
  </si>
  <si>
    <t>Jumlah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</si>
</sst>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409]mmmm\-yy;@"/>
    <numFmt numFmtId="166" formatCode="_-&quot;$&quot;* #,##0.00_-;\-&quot;$&quot;* #,##0.00_-;_-&quot;$&quot;* &quot;-&quot;??_-;_-@"/>
    <numFmt numFmtId="167" formatCode="[&lt;=9999999]###\-####;\(###\)\ ###\-####"/>
    <numFmt numFmtId="170" formatCode="[$IDR]\ #,##0.00"/>
    <numFmt numFmtId="171" formatCode="_([$IDR]\ * #,##0.00_);_([$IDR]\ * \(#,##0.00\);_([$IDR]\ * &quot;-&quot;??_);_(@_)"/>
  </numFmts>
  <fonts count="42" x14ac:knownFonts="1">
    <font>
      <sz val="11"/>
      <color theme="1"/>
      <name val="Arial"/>
      <family val="2"/>
      <scheme val="minor"/>
    </font>
    <font>
      <u/>
      <sz val="11"/>
      <color indexed="12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26"/>
      <color theme="4" tint="-0.249977111117893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b/>
      <sz val="20"/>
      <color rgb="FFA5A5A5"/>
      <name val="Times New Roman"/>
      <family val="1"/>
    </font>
    <font>
      <b/>
      <sz val="22"/>
      <color rgb="FF4472C4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9"/>
      <color rgb="FF1F3864"/>
      <name val="Times New Roman"/>
      <family val="1"/>
    </font>
    <font>
      <sz val="11"/>
      <color rgb="FF333F4F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rgb="FF333F4F"/>
      <name val="Times New Roman"/>
      <family val="1"/>
    </font>
    <font>
      <b/>
      <sz val="11"/>
      <color rgb="FF333F4F"/>
      <name val="Times New Roman"/>
      <family val="1"/>
    </font>
    <font>
      <b/>
      <sz val="11"/>
      <color rgb="FF000000"/>
      <name val="Times New Roman"/>
      <family val="1"/>
    </font>
    <font>
      <sz val="18"/>
      <color rgb="FF333F4F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333F4F"/>
      <name val="Times New Roman"/>
      <family val="1"/>
    </font>
    <font>
      <sz val="10"/>
      <color rgb="FF333F4F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u/>
      <sz val="12"/>
      <color rgb="FF333F4F"/>
      <name val="Times New Roman"/>
      <family val="1"/>
    </font>
    <font>
      <b/>
      <sz val="10"/>
      <color rgb="FFFFFFFF"/>
      <name val="Times New Roman"/>
      <family val="1"/>
    </font>
    <font>
      <b/>
      <sz val="15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3F3F76"/>
      <name val="Times New Roman"/>
      <family val="2"/>
    </font>
    <font>
      <sz val="11"/>
      <name val="Arial"/>
      <family val="2"/>
      <scheme val="minor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5"/>
      <name val="Century Gothic"/>
      <family val="2"/>
    </font>
    <font>
      <u/>
      <sz val="11"/>
      <color indexed="12"/>
      <name val="Century Gothic"/>
      <family val="2"/>
    </font>
    <font>
      <b/>
      <sz val="26"/>
      <name val="Century Gothic"/>
      <family val="2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CC0000"/>
      </patternFill>
    </fill>
    <fill>
      <patternFill patternType="solid">
        <fgColor rgb="FF002060"/>
        <bgColor rgb="FFCC0000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2" fillId="0" borderId="0" applyFont="0" applyFill="0" applyBorder="0" applyAlignment="0" applyProtection="0"/>
    <xf numFmtId="0" fontId="9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4" fillId="11" borderId="15" applyNumberFormat="0" applyAlignment="0" applyProtection="0"/>
    <xf numFmtId="14" fontId="35" fillId="12" borderId="0" applyFont="0" applyFill="0" applyBorder="0" applyAlignment="0">
      <alignment horizontal="left" vertical="center" indent="1"/>
    </xf>
    <xf numFmtId="14" fontId="35" fillId="12" borderId="0" applyFont="0" applyBorder="0" applyAlignment="0">
      <alignment horizontal="left" wrapText="1"/>
    </xf>
    <xf numFmtId="167" fontId="35" fillId="0" borderId="0" applyFont="0" applyFill="0" applyBorder="0" applyAlignment="0"/>
  </cellStyleXfs>
  <cellXfs count="11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4" fontId="3" fillId="0" borderId="2" xfId="0" applyNumberFormat="1" applyFont="1" applyFill="1" applyBorder="1" applyAlignment="1">
      <alignment horizontal="left" vertical="center" wrapText="1" indent="1"/>
    </xf>
    <xf numFmtId="0" fontId="3" fillId="0" borderId="0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0" fillId="9" borderId="0" xfId="3" applyFont="1" applyFill="1" applyAlignment="1" applyProtection="1">
      <alignment vertical="center"/>
      <protection locked="0"/>
    </xf>
    <xf numFmtId="0" fontId="11" fillId="9" borderId="0" xfId="3" applyFont="1" applyFill="1" applyAlignment="1" applyProtection="1">
      <alignment horizontal="center" vertical="center"/>
      <protection locked="0"/>
    </xf>
    <xf numFmtId="0" fontId="12" fillId="9" borderId="0" xfId="3" applyFont="1" applyFill="1" applyAlignment="1" applyProtection="1">
      <alignment vertical="center"/>
      <protection locked="0"/>
    </xf>
    <xf numFmtId="0" fontId="12" fillId="9" borderId="0" xfId="3" applyFont="1" applyFill="1" applyAlignment="1" applyProtection="1">
      <alignment horizontal="right" vertical="center"/>
      <protection locked="0"/>
    </xf>
    <xf numFmtId="0" fontId="13" fillId="0" borderId="0" xfId="3" applyFont="1" applyAlignment="1" applyProtection="1">
      <protection locked="0"/>
    </xf>
    <xf numFmtId="0" fontId="10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right" vertical="center"/>
      <protection locked="0"/>
    </xf>
    <xf numFmtId="0" fontId="14" fillId="0" borderId="0" xfId="3" applyFont="1" applyProtection="1">
      <protection locked="0"/>
    </xf>
    <xf numFmtId="0" fontId="13" fillId="0" borderId="0" xfId="3" applyFont="1" applyAlignment="1" applyProtection="1">
      <alignment horizontal="center"/>
      <protection locked="0"/>
    </xf>
    <xf numFmtId="0" fontId="14" fillId="0" borderId="0" xfId="3" applyFont="1" applyAlignment="1" applyProtection="1">
      <alignment vertical="center"/>
      <protection locked="0"/>
    </xf>
    <xf numFmtId="0" fontId="13" fillId="0" borderId="0" xfId="3" applyFont="1" applyAlignment="1" applyProtection="1">
      <alignment vertical="center"/>
      <protection locked="0"/>
    </xf>
    <xf numFmtId="0" fontId="16" fillId="0" borderId="0" xfId="3" applyFont="1" applyAlignment="1" applyProtection="1">
      <alignment horizontal="left" vertical="center"/>
      <protection locked="0"/>
    </xf>
    <xf numFmtId="0" fontId="13" fillId="0" borderId="0" xfId="3" applyFont="1" applyAlignment="1" applyProtection="1">
      <alignment horizontal="left" vertical="center"/>
      <protection locked="0"/>
    </xf>
    <xf numFmtId="0" fontId="9" fillId="0" borderId="0" xfId="3" applyAlignment="1" applyProtection="1">
      <alignment horizontal="center"/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31" fillId="10" borderId="4" xfId="3" applyFont="1" applyFill="1" applyBorder="1" applyAlignment="1" applyProtection="1">
      <alignment horizontal="center" vertical="center"/>
      <protection locked="0"/>
    </xf>
    <xf numFmtId="0" fontId="15" fillId="0" borderId="0" xfId="3" applyFont="1" applyAlignment="1" applyProtection="1">
      <alignment horizontal="center" vertical="center"/>
      <protection locked="0"/>
    </xf>
    <xf numFmtId="164" fontId="17" fillId="6" borderId="5" xfId="3" applyNumberFormat="1" applyFont="1" applyFill="1" applyBorder="1" applyAlignment="1" applyProtection="1">
      <alignment horizontal="center" vertical="center"/>
      <protection locked="0"/>
    </xf>
    <xf numFmtId="2" fontId="17" fillId="0" borderId="0" xfId="3" applyNumberFormat="1" applyFont="1" applyAlignment="1" applyProtection="1">
      <alignment horizontal="right" vertical="center"/>
      <protection locked="0"/>
    </xf>
    <xf numFmtId="43" fontId="17" fillId="0" borderId="7" xfId="4" applyFont="1" applyBorder="1" applyAlignment="1" applyProtection="1">
      <alignment horizontal="center" vertical="center"/>
      <protection locked="0"/>
    </xf>
    <xf numFmtId="0" fontId="17" fillId="7" borderId="0" xfId="3" applyFont="1" applyFill="1" applyBorder="1" applyAlignment="1" applyProtection="1">
      <alignment horizontal="center" vertical="center"/>
      <protection locked="0"/>
    </xf>
    <xf numFmtId="0" fontId="17" fillId="7" borderId="0" xfId="3" applyFont="1" applyFill="1" applyBorder="1" applyAlignment="1" applyProtection="1">
      <alignment vertical="center"/>
      <protection locked="0"/>
    </xf>
    <xf numFmtId="0" fontId="17" fillId="0" borderId="0" xfId="3" applyFont="1" applyBorder="1" applyAlignment="1" applyProtection="1">
      <alignment horizontal="center" vertical="center" wrapText="1"/>
      <protection locked="0"/>
    </xf>
    <xf numFmtId="0" fontId="13" fillId="0" borderId="0" xfId="3" applyFont="1" applyBorder="1" applyAlignment="1" applyProtection="1">
      <alignment vertical="center" wrapText="1"/>
      <protection locked="0"/>
    </xf>
    <xf numFmtId="0" fontId="19" fillId="0" borderId="0" xfId="3" applyFont="1" applyAlignment="1" applyProtection="1">
      <alignment horizontal="right"/>
      <protection locked="0"/>
    </xf>
    <xf numFmtId="0" fontId="20" fillId="0" borderId="0" xfId="3" applyFont="1" applyAlignment="1" applyProtection="1">
      <alignment horizontal="right"/>
      <protection locked="0"/>
    </xf>
    <xf numFmtId="2" fontId="17" fillId="0" borderId="0" xfId="3" applyNumberFormat="1" applyFont="1" applyAlignment="1" applyProtection="1">
      <alignment vertical="center"/>
      <protection locked="0"/>
    </xf>
    <xf numFmtId="0" fontId="13" fillId="0" borderId="0" xfId="3" applyFont="1" applyAlignment="1" applyProtection="1">
      <alignment horizontal="center" vertical="center" wrapText="1"/>
      <protection locked="0"/>
    </xf>
    <xf numFmtId="9" fontId="21" fillId="0" borderId="6" xfId="5" applyFont="1" applyBorder="1" applyAlignment="1" applyProtection="1">
      <protection locked="0"/>
    </xf>
    <xf numFmtId="10" fontId="17" fillId="0" borderId="0" xfId="3" applyNumberFormat="1" applyFont="1" applyAlignment="1" applyProtection="1">
      <alignment vertical="center"/>
      <protection locked="0"/>
    </xf>
    <xf numFmtId="0" fontId="22" fillId="0" borderId="0" xfId="3" applyFont="1" applyAlignment="1" applyProtection="1">
      <alignment horizontal="center" vertical="center"/>
      <protection locked="0"/>
    </xf>
    <xf numFmtId="0" fontId="19" fillId="0" borderId="9" xfId="3" applyFont="1" applyBorder="1" applyAlignment="1" applyProtection="1">
      <alignment horizontal="right"/>
      <protection locked="0"/>
    </xf>
    <xf numFmtId="166" fontId="24" fillId="0" borderId="0" xfId="3" applyNumberFormat="1" applyFont="1" applyAlignment="1" applyProtection="1">
      <alignment vertical="center"/>
      <protection locked="0"/>
    </xf>
    <xf numFmtId="0" fontId="14" fillId="0" borderId="0" xfId="3" applyFont="1" applyBorder="1" applyProtection="1">
      <protection locked="0"/>
    </xf>
    <xf numFmtId="0" fontId="26" fillId="0" borderId="0" xfId="3" applyFont="1" applyAlignment="1" applyProtection="1">
      <alignment horizontal="center" vertical="center"/>
      <protection locked="0"/>
    </xf>
    <xf numFmtId="0" fontId="27" fillId="0" borderId="0" xfId="3" applyFont="1" applyAlignment="1" applyProtection="1">
      <alignment horizontal="center" vertical="center"/>
      <protection locked="0"/>
    </xf>
    <xf numFmtId="0" fontId="28" fillId="0" borderId="0" xfId="3" applyFont="1" applyProtection="1">
      <protection locked="0"/>
    </xf>
    <xf numFmtId="0" fontId="28" fillId="0" borderId="0" xfId="3" applyFont="1" applyAlignment="1" applyProtection="1">
      <alignment horizontal="center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2" fontId="16" fillId="0" borderId="0" xfId="3" applyNumberFormat="1" applyFont="1" applyAlignment="1" applyProtection="1">
      <alignment horizontal="center" vertical="center"/>
      <protection locked="0"/>
    </xf>
    <xf numFmtId="0" fontId="29" fillId="0" borderId="0" xfId="3" applyFont="1" applyAlignment="1" applyProtection="1">
      <protection locked="0"/>
    </xf>
    <xf numFmtId="0" fontId="14" fillId="0" borderId="0" xfId="3" applyFont="1" applyAlignment="1" applyProtection="1">
      <alignment horizontal="center"/>
      <protection locked="0"/>
    </xf>
    <xf numFmtId="0" fontId="10" fillId="0" borderId="0" xfId="3" applyFont="1" applyProtection="1">
      <protection locked="0"/>
    </xf>
    <xf numFmtId="0" fontId="30" fillId="0" borderId="0" xfId="3" applyFont="1" applyAlignment="1" applyProtection="1">
      <alignment horizontal="left"/>
      <protection locked="0"/>
    </xf>
    <xf numFmtId="0" fontId="30" fillId="0" borderId="0" xfId="3" applyFont="1" applyAlignment="1" applyProtection="1">
      <alignment horizontal="left" indent="6"/>
      <protection locked="0"/>
    </xf>
    <xf numFmtId="0" fontId="27" fillId="0" borderId="0" xfId="3" applyFont="1" applyAlignment="1" applyProtection="1">
      <alignment horizontal="center"/>
      <protection locked="0"/>
    </xf>
    <xf numFmtId="0" fontId="27" fillId="0" borderId="0" xfId="3" applyFont="1" applyAlignment="1" applyProtection="1">
      <alignment horizontal="center" vertical="top"/>
      <protection locked="0"/>
    </xf>
    <xf numFmtId="0" fontId="14" fillId="9" borderId="0" xfId="3" applyFont="1" applyFill="1" applyProtection="1">
      <protection locked="0"/>
    </xf>
    <xf numFmtId="0" fontId="14" fillId="9" borderId="0" xfId="3" applyFont="1" applyFill="1" applyAlignment="1" applyProtection="1">
      <alignment horizontal="center"/>
      <protection locked="0"/>
    </xf>
    <xf numFmtId="164" fontId="17" fillId="6" borderId="5" xfId="3" applyNumberFormat="1" applyFont="1" applyFill="1" applyBorder="1" applyAlignment="1" applyProtection="1">
      <alignment horizontal="center" vertical="center"/>
      <protection hidden="1"/>
    </xf>
    <xf numFmtId="2" fontId="29" fillId="0" borderId="7" xfId="4" applyNumberFormat="1" applyFont="1" applyBorder="1" applyAlignment="1" applyProtection="1">
      <alignment horizontal="center" vertical="center"/>
      <protection hidden="1"/>
    </xf>
    <xf numFmtId="0" fontId="13" fillId="0" borderId="0" xfId="3" applyFont="1" applyAlignment="1" applyProtection="1">
      <alignment horizontal="left" vertical="center"/>
      <protection locked="0"/>
    </xf>
    <xf numFmtId="0" fontId="13" fillId="0" borderId="0" xfId="3" applyFont="1" applyAlignment="1" applyProtection="1">
      <alignment vertical="center"/>
      <protection locked="0"/>
    </xf>
    <xf numFmtId="0" fontId="13" fillId="0" borderId="0" xfId="3" applyFont="1" applyAlignment="1" applyProtection="1">
      <protection locked="0"/>
    </xf>
    <xf numFmtId="0" fontId="31" fillId="10" borderId="4" xfId="3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32" fillId="0" borderId="0" xfId="6" applyBorder="1" applyAlignment="1" applyProtection="1">
      <alignment vertical="center"/>
      <protection locked="0"/>
    </xf>
    <xf numFmtId="0" fontId="0" fillId="8" borderId="0" xfId="8" applyFont="1" applyFill="1" applyBorder="1" applyAlignment="1" applyProtection="1">
      <alignment wrapText="1"/>
      <protection locked="0"/>
    </xf>
    <xf numFmtId="0" fontId="37" fillId="8" borderId="12" xfId="8" applyFont="1" applyFill="1" applyBorder="1" applyAlignment="1" applyProtection="1">
      <alignment wrapText="1"/>
      <protection locked="0"/>
    </xf>
    <xf numFmtId="0" fontId="17" fillId="6" borderId="4" xfId="3" applyFont="1" applyFill="1" applyBorder="1" applyAlignment="1" applyProtection="1">
      <alignment horizontal="left" vertical="center"/>
      <protection locked="0"/>
    </xf>
    <xf numFmtId="0" fontId="37" fillId="8" borderId="0" xfId="8" applyFont="1" applyFill="1" applyBorder="1" applyAlignment="1" applyProtection="1">
      <alignment vertical="center" wrapText="1"/>
      <protection locked="0"/>
    </xf>
    <xf numFmtId="0" fontId="0" fillId="8" borderId="0" xfId="8" applyFont="1" applyFill="1" applyBorder="1" applyAlignment="1" applyProtection="1">
      <alignment vertical="center" wrapText="1"/>
      <protection locked="0"/>
    </xf>
    <xf numFmtId="0" fontId="36" fillId="8" borderId="0" xfId="7" applyFont="1" applyFill="1" applyBorder="1" applyAlignment="1" applyProtection="1">
      <alignment horizontal="left" vertical="center" indent="7"/>
      <protection locked="0"/>
    </xf>
    <xf numFmtId="0" fontId="36" fillId="8" borderId="0" xfId="7" applyFont="1" applyFill="1" applyBorder="1" applyAlignment="1" applyProtection="1">
      <alignment vertical="center"/>
      <protection locked="0"/>
    </xf>
    <xf numFmtId="0" fontId="36" fillId="8" borderId="0" xfId="7" applyFont="1" applyFill="1" applyBorder="1" applyAlignme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31" fillId="10" borderId="4" xfId="3" applyFont="1" applyFill="1" applyBorder="1" applyAlignment="1" applyProtection="1">
      <alignment horizontal="center" vertical="center"/>
      <protection locked="0"/>
    </xf>
    <xf numFmtId="0" fontId="25" fillId="0" borderId="11" xfId="3" applyFont="1" applyBorder="1" applyAlignment="1" applyProtection="1">
      <alignment horizontal="left"/>
      <protection locked="0"/>
    </xf>
    <xf numFmtId="0" fontId="17" fillId="6" borderId="5" xfId="3" applyFont="1" applyFill="1" applyBorder="1" applyAlignment="1" applyProtection="1">
      <alignment horizontal="left" vertical="center"/>
      <protection locked="0"/>
    </xf>
    <xf numFmtId="0" fontId="17" fillId="6" borderId="6" xfId="3" applyFont="1" applyFill="1" applyBorder="1" applyAlignment="1" applyProtection="1">
      <alignment horizontal="left" vertical="center"/>
      <protection locked="0"/>
    </xf>
    <xf numFmtId="0" fontId="27" fillId="0" borderId="0" xfId="3" applyFont="1" applyAlignment="1" applyProtection="1">
      <alignment horizontal="left" vertical="center"/>
      <protection locked="0"/>
    </xf>
    <xf numFmtId="0" fontId="13" fillId="0" borderId="0" xfId="3" applyFont="1" applyAlignment="1" applyProtection="1">
      <protection locked="0"/>
    </xf>
    <xf numFmtId="0" fontId="31" fillId="10" borderId="4" xfId="3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40" fillId="0" borderId="0" xfId="3" applyFont="1" applyAlignment="1" applyProtection="1">
      <alignment horizontal="center" vertical="center"/>
      <protection locked="0"/>
    </xf>
    <xf numFmtId="0" fontId="38" fillId="0" borderId="0" xfId="6" applyFont="1" applyBorder="1" applyAlignment="1" applyProtection="1">
      <alignment horizontal="center" vertical="top"/>
      <protection locked="0"/>
    </xf>
    <xf numFmtId="164" fontId="37" fillId="0" borderId="12" xfId="9" applyNumberFormat="1" applyFont="1" applyFill="1" applyBorder="1" applyAlignment="1" applyProtection="1">
      <alignment horizontal="center" wrapText="1"/>
      <protection locked="0"/>
    </xf>
    <xf numFmtId="14" fontId="37" fillId="8" borderId="16" xfId="10" applyFont="1" applyFill="1" applyBorder="1" applyAlignment="1" applyProtection="1">
      <alignment horizontal="left" wrapText="1"/>
      <protection locked="0"/>
    </xf>
    <xf numFmtId="0" fontId="36" fillId="8" borderId="0" xfId="7" applyFont="1" applyFill="1" applyBorder="1" applyAlignment="1" applyProtection="1">
      <alignment horizontal="left" indent="7"/>
      <protection locked="0"/>
    </xf>
    <xf numFmtId="167" fontId="37" fillId="0" borderId="12" xfId="11" applyFont="1" applyBorder="1" applyAlignment="1" applyProtection="1">
      <alignment horizontal="left" wrapText="1"/>
      <protection locked="0"/>
    </xf>
    <xf numFmtId="0" fontId="39" fillId="0" borderId="16" xfId="1" applyFont="1" applyBorder="1" applyAlignment="1" applyProtection="1">
      <alignment horizontal="left" wrapText="1"/>
      <protection locked="0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70" fontId="29" fillId="0" borderId="7" xfId="2" applyNumberFormat="1" applyFont="1" applyBorder="1" applyAlignment="1" applyProtection="1">
      <alignment horizontal="center" vertical="center"/>
      <protection locked="0"/>
    </xf>
    <xf numFmtId="170" fontId="21" fillId="6" borderId="8" xfId="2" applyNumberFormat="1" applyFont="1" applyFill="1" applyBorder="1" applyAlignment="1" applyProtection="1">
      <alignment vertical="center"/>
      <protection hidden="1"/>
    </xf>
    <xf numFmtId="170" fontId="21" fillId="6" borderId="8" xfId="2" applyNumberFormat="1" applyFont="1" applyFill="1" applyBorder="1" applyAlignment="1" applyProtection="1">
      <alignment vertical="center"/>
      <protection locked="0"/>
    </xf>
    <xf numFmtId="170" fontId="17" fillId="7" borderId="0" xfId="3" applyNumberFormat="1" applyFont="1" applyFill="1" applyBorder="1" applyAlignment="1" applyProtection="1">
      <alignment vertical="center"/>
      <protection locked="0"/>
    </xf>
    <xf numFmtId="170" fontId="17" fillId="8" borderId="0" xfId="4" applyNumberFormat="1" applyFont="1" applyFill="1" applyBorder="1" applyAlignment="1" applyProtection="1">
      <alignment horizontal="right" vertical="center"/>
      <protection locked="0"/>
    </xf>
    <xf numFmtId="170" fontId="20" fillId="0" borderId="0" xfId="3" applyNumberFormat="1" applyFont="1" applyAlignment="1" applyProtection="1">
      <alignment horizontal="right"/>
      <protection locked="0"/>
    </xf>
    <xf numFmtId="170" fontId="21" fillId="0" borderId="4" xfId="2" applyNumberFormat="1" applyFont="1" applyBorder="1" applyAlignment="1" applyProtection="1">
      <protection hidden="1"/>
    </xf>
    <xf numFmtId="171" fontId="21" fillId="0" borderId="6" xfId="2" applyNumberFormat="1" applyFont="1" applyBorder="1" applyAlignment="1" applyProtection="1">
      <protection hidden="1"/>
    </xf>
    <xf numFmtId="171" fontId="23" fillId="0" borderId="10" xfId="2" applyNumberFormat="1" applyFont="1" applyBorder="1" applyAlignment="1" applyProtection="1">
      <protection hidden="1"/>
    </xf>
    <xf numFmtId="171" fontId="3" fillId="4" borderId="1" xfId="2" applyNumberFormat="1" applyFont="1" applyFill="1" applyBorder="1" applyAlignment="1">
      <alignment horizontal="center" vertical="center"/>
    </xf>
    <xf numFmtId="171" fontId="8" fillId="5" borderId="1" xfId="0" applyNumberFormat="1" applyFont="1" applyFill="1" applyBorder="1" applyAlignment="1">
      <alignment horizontal="center" vertical="center"/>
    </xf>
  </cellXfs>
  <cellStyles count="12">
    <cellStyle name="Comma 2" xfId="4" xr:uid="{00000000-0005-0000-0000-000000000000}"/>
    <cellStyle name="Currency" xfId="2" builtinId="4"/>
    <cellStyle name="Date" xfId="9" xr:uid="{00000000-0005-0000-0000-000002000000}"/>
    <cellStyle name="Date Fill" xfId="10" xr:uid="{00000000-0005-0000-0000-000003000000}"/>
    <cellStyle name="Heading 1" xfId="6" builtinId="16"/>
    <cellStyle name="Heading 3" xfId="7" builtinId="18"/>
    <cellStyle name="Hyperlink" xfId="1" builtinId="8" customBuiltin="1"/>
    <cellStyle name="Input" xfId="8" builtinId="20"/>
    <cellStyle name="Normal" xfId="0" builtinId="0"/>
    <cellStyle name="Normal 2" xfId="3" xr:uid="{00000000-0005-0000-0000-000009000000}"/>
    <cellStyle name="Percent 2" xfId="5" xr:uid="{00000000-0005-0000-0000-00000A000000}"/>
    <cellStyle name="Phone" xfId="11" xr:uid="{00000000-0005-0000-0000-00000B000000}"/>
  </cellStyles>
  <dxfs count="28"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4" formatCode="[$-409]d\-mmm\-yy;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vertical="center" textRotation="0" indent="0" justifyLastLine="0" shrinkToFit="0" readingOrder="0"/>
    </dxf>
    <dxf>
      <border>
        <bottom style="medium">
          <color theme="0" tint="-0.14999847407452621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Times New Roman"/>
        <scheme val="none"/>
      </font>
      <border diagonalUp="0" diagonalDown="0">
        <left style="medium">
          <color theme="0" tint="-0.14999847407452621"/>
        </left>
        <right style="medium">
          <color theme="0" tint="-0.14999847407452621"/>
        </right>
        <top/>
        <bottom/>
        <vertical style="medium">
          <color theme="0" tint="-0.14999847407452621"/>
        </vertical>
        <horizontal style="medium">
          <color theme="0" tint="-0.14999847407452621"/>
        </horizontal>
      </border>
    </dxf>
    <dxf>
      <font>
        <strike/>
        <color theme="0" tint="-0.499984740745262"/>
      </font>
    </dxf>
    <dxf>
      <font>
        <strike/>
        <color theme="0" tint="-0.499984740745262"/>
      </font>
    </dxf>
    <dxf>
      <font>
        <strike/>
        <color theme="0" tint="-0.499984740745262"/>
      </font>
    </dxf>
    <dxf>
      <font>
        <strike/>
        <color theme="0" tint="-0.499984740745262"/>
      </font>
    </dxf>
    <dxf>
      <font>
        <strike/>
        <color theme="0" tint="-0.499984740745262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secondRowStripe" dxfId="21"/>
      <tableStyleElement type="firstColumnStripe" dxfId="20"/>
      <tableStyleElement type="secondColumn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2339340</xdr:colOff>
      <xdr:row>52</xdr:row>
      <xdr:rowOff>45720</xdr:rowOff>
    </xdr:from>
    <xdr:to>
      <xdr:col>2</xdr:col>
      <xdr:colOff>2628900</xdr:colOff>
      <xdr:row>52</xdr:row>
      <xdr:rowOff>182880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406140" y="14401800"/>
          <a:ext cx="289560" cy="13716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latin typeface="Wingdings 2" panose="05020102010507070707" pitchFamily="18" charset="2"/>
            </a:rPr>
            <a:t>O</a:t>
          </a:r>
          <a:endParaRPr lang="en-US" sz="1100" b="1">
            <a:latin typeface="Wingdings 2" panose="05020102010507070707" pitchFamily="18" charset="2"/>
          </a:endParaRPr>
        </a:p>
        <a:p>
          <a:endParaRPr lang="en-US" sz="1100">
            <a:latin typeface="Wingdings 2" panose="05020102010507070707" pitchFamily="18" charset="2"/>
          </a:endParaRPr>
        </a:p>
      </xdr:txBody>
    </xdr:sp>
    <xdr:clientData/>
  </xdr:twoCellAnchor>
  <xdr:twoCellAnchor>
    <xdr:from>
      <xdr:col>2</xdr:col>
      <xdr:colOff>2331720</xdr:colOff>
      <xdr:row>56</xdr:row>
      <xdr:rowOff>38100</xdr:rowOff>
    </xdr:from>
    <xdr:to>
      <xdr:col>2</xdr:col>
      <xdr:colOff>2621280</xdr:colOff>
      <xdr:row>56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398520" y="14973300"/>
          <a:ext cx="289560" cy="13716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latin typeface="Wingdings 2" panose="05020102010507070707" pitchFamily="18" charset="2"/>
            </a:rPr>
            <a:t>O</a:t>
          </a:r>
          <a:endParaRPr lang="en-US" sz="1100" b="1">
            <a:latin typeface="Wingdings 2" panose="05020102010507070707" pitchFamily="18" charset="2"/>
          </a:endParaRPr>
        </a:p>
        <a:p>
          <a:endParaRPr lang="en-US" sz="1100">
            <a:latin typeface="Wingdings 2" panose="05020102010507070707" pitchFamily="18" charset="2"/>
          </a:endParaRPr>
        </a:p>
      </xdr:txBody>
    </xdr:sp>
    <xdr:clientData/>
  </xdr:twoCellAnchor>
  <xdr:twoCellAnchor>
    <xdr:from>
      <xdr:col>2</xdr:col>
      <xdr:colOff>2331720</xdr:colOff>
      <xdr:row>54</xdr:row>
      <xdr:rowOff>45720</xdr:rowOff>
    </xdr:from>
    <xdr:to>
      <xdr:col>2</xdr:col>
      <xdr:colOff>2621280</xdr:colOff>
      <xdr:row>54</xdr:row>
      <xdr:rowOff>182880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398520" y="14691360"/>
          <a:ext cx="289560" cy="13716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latin typeface="Wingdings 2" panose="05020102010507070707" pitchFamily="18" charset="2"/>
            </a:rPr>
            <a:t>P</a:t>
          </a:r>
          <a:endParaRPr lang="en-US" sz="1100" b="1">
            <a:latin typeface="Wingdings 2" panose="05020102010507070707" pitchFamily="18" charset="2"/>
          </a:endParaRPr>
        </a:p>
        <a:p>
          <a:endParaRPr lang="en-US" sz="1100">
            <a:latin typeface="Wingdings 2" panose="05020102010507070707" pitchFamily="18" charset="2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13456" displayName="Table13456" ref="A4:K35" totalsRowShown="0" headerRowDxfId="13" dataDxfId="11" headerRowBorderDxfId="12">
  <tableColumns count="11">
    <tableColumn id="1" xr3:uid="{00000000-0010-0000-0000-000001000000}" name="TANGGAL" dataDxfId="10"/>
    <tableColumn id="7" xr3:uid="{00000000-0010-0000-0000-000007000000}" name="TUGAS 1" dataDxfId="9"/>
    <tableColumn id="4" xr3:uid="{00000000-0010-0000-0000-000004000000}" name="TUGAS 2" dataDxfId="8"/>
    <tableColumn id="5" xr3:uid="{00000000-0010-0000-0000-000005000000}" name="TUGAS 3" dataDxfId="7"/>
    <tableColumn id="2" xr3:uid="{00000000-0010-0000-0000-000002000000}" name="TUGAS 4" dataDxfId="6"/>
    <tableColumn id="6" xr3:uid="{00000000-0010-0000-0000-000006000000}" name="TUGAS 5" dataDxfId="5"/>
    <tableColumn id="3" xr3:uid="{00000000-0010-0000-0000-000003000000}" name="TUGAS 6" dataDxfId="4"/>
    <tableColumn id="8" xr3:uid="{00000000-0010-0000-0000-000008000000}" name="TUGAS 7" dataDxfId="3"/>
    <tableColumn id="9" xr3:uid="{00000000-0010-0000-0000-000009000000}" name="TUGAS 8" dataDxfId="2"/>
    <tableColumn id="10" xr3:uid="{00000000-0010-0000-0000-00000A000000}" name="TUGAS 9" dataDxfId="1"/>
    <tableColumn id="11" xr3:uid="{00000000-0010-0000-0000-00000B000000}" name="TUGAS 10" data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Vertex42 - CalendarBold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I62"/>
  <sheetViews>
    <sheetView showGridLines="0" showRowColHeaders="0" tabSelected="1" view="pageBreakPreview" zoomScaleNormal="100" zoomScaleSheetLayoutView="100" workbookViewId="0">
      <selection activeCell="D55" sqref="D55"/>
    </sheetView>
  </sheetViews>
  <sheetFormatPr defaultColWidth="15.625" defaultRowHeight="15" customHeight="1" x14ac:dyDescent="0.2"/>
  <cols>
    <col min="1" max="1" width="4" style="17" customWidth="1"/>
    <col min="2" max="2" width="10" style="21" customWidth="1"/>
    <col min="3" max="3" width="35" style="17" customWidth="1"/>
    <col min="4" max="4" width="39.625" style="17" customWidth="1"/>
    <col min="5" max="5" width="14.875" style="66" customWidth="1"/>
    <col min="6" max="6" width="19" style="17" customWidth="1"/>
    <col min="7" max="8" width="16" style="17" customWidth="1"/>
    <col min="9" max="9" width="4" style="17" customWidth="1"/>
    <col min="10" max="16384" width="15.625" style="17"/>
  </cols>
  <sheetData>
    <row r="1" spans="1:9" ht="14.25" customHeight="1" x14ac:dyDescent="0.2">
      <c r="A1" s="13"/>
      <c r="B1" s="14"/>
      <c r="C1" s="15"/>
      <c r="D1" s="15"/>
      <c r="E1" s="15"/>
      <c r="F1" s="15"/>
      <c r="G1" s="15"/>
      <c r="H1" s="16"/>
      <c r="I1" s="16"/>
    </row>
    <row r="2" spans="1:9" ht="65.45" customHeight="1" x14ac:dyDescent="0.2">
      <c r="A2" s="18"/>
      <c r="B2" s="89" t="s">
        <v>6</v>
      </c>
      <c r="C2" s="89"/>
      <c r="D2" s="89"/>
      <c r="E2" s="89"/>
      <c r="F2" s="89"/>
      <c r="G2" s="89"/>
      <c r="H2" s="89"/>
      <c r="I2" s="19"/>
    </row>
    <row r="3" spans="1:9" ht="40.35" customHeight="1" x14ac:dyDescent="0.2">
      <c r="A3" s="20"/>
      <c r="B3" s="90"/>
      <c r="C3" s="90"/>
      <c r="D3" s="70"/>
      <c r="E3" s="70"/>
      <c r="F3" s="69"/>
      <c r="G3" s="69"/>
      <c r="H3" s="69"/>
      <c r="I3" s="69"/>
    </row>
    <row r="4" spans="1:9" s="65" customFormat="1" ht="24" customHeight="1" x14ac:dyDescent="0.3">
      <c r="A4" s="22"/>
      <c r="B4" s="93" t="s">
        <v>8</v>
      </c>
      <c r="C4" s="93"/>
      <c r="D4" s="72"/>
      <c r="E4" s="74"/>
      <c r="F4" s="78" t="s">
        <v>13</v>
      </c>
      <c r="G4" s="91"/>
      <c r="H4" s="91"/>
    </row>
    <row r="5" spans="1:9" s="65" customFormat="1" ht="24" customHeight="1" x14ac:dyDescent="0.3">
      <c r="A5" s="22"/>
      <c r="B5" s="93" t="s">
        <v>9</v>
      </c>
      <c r="C5" s="93"/>
      <c r="D5" s="72"/>
      <c r="E5" s="74"/>
      <c r="F5" s="78" t="s">
        <v>14</v>
      </c>
      <c r="G5" s="92"/>
      <c r="H5" s="92"/>
    </row>
    <row r="6" spans="1:9" s="65" customFormat="1" ht="24" customHeight="1" x14ac:dyDescent="0.3">
      <c r="A6" s="22"/>
      <c r="B6" s="93" t="s">
        <v>10</v>
      </c>
      <c r="C6" s="93"/>
      <c r="D6" s="72"/>
      <c r="E6" s="74"/>
      <c r="F6" s="77"/>
      <c r="G6" s="79"/>
      <c r="H6" s="80"/>
    </row>
    <row r="7" spans="1:9" s="65" customFormat="1" ht="18" customHeight="1" x14ac:dyDescent="0.2">
      <c r="A7" s="22"/>
      <c r="B7" s="76"/>
      <c r="C7" s="76"/>
      <c r="D7" s="71"/>
      <c r="E7" s="75"/>
      <c r="F7" s="77"/>
      <c r="G7" s="79"/>
      <c r="H7" s="80"/>
    </row>
    <row r="8" spans="1:9" s="65" customFormat="1" ht="24" customHeight="1" x14ac:dyDescent="0.3">
      <c r="A8" s="22"/>
      <c r="B8" s="93" t="s">
        <v>11</v>
      </c>
      <c r="C8" s="93"/>
      <c r="D8" s="72"/>
      <c r="E8" s="74"/>
      <c r="F8" s="78" t="s">
        <v>15</v>
      </c>
      <c r="G8" s="94"/>
      <c r="H8" s="94"/>
    </row>
    <row r="9" spans="1:9" s="65" customFormat="1" ht="24" customHeight="1" x14ac:dyDescent="0.3">
      <c r="A9" s="22"/>
      <c r="B9" s="93" t="s">
        <v>12</v>
      </c>
      <c r="C9" s="93"/>
      <c r="D9" s="72"/>
      <c r="E9" s="74"/>
      <c r="F9" s="78" t="s">
        <v>16</v>
      </c>
      <c r="G9" s="95"/>
      <c r="H9" s="95"/>
    </row>
    <row r="10" spans="1:9" s="23" customFormat="1" ht="18" customHeight="1" x14ac:dyDescent="0.2">
      <c r="A10" s="22"/>
      <c r="B10" s="26"/>
      <c r="E10" s="65"/>
      <c r="G10" s="64"/>
      <c r="H10" s="64"/>
      <c r="I10" s="25"/>
    </row>
    <row r="11" spans="1:9" ht="15.75" x14ac:dyDescent="0.2">
      <c r="A11" s="20"/>
      <c r="B11" s="27"/>
      <c r="C11" s="18"/>
      <c r="D11" s="18"/>
      <c r="E11" s="18"/>
      <c r="F11" s="18"/>
      <c r="G11" s="18"/>
      <c r="H11" s="18"/>
      <c r="I11" s="18"/>
    </row>
    <row r="12" spans="1:9" ht="25.7" customHeight="1" x14ac:dyDescent="0.2">
      <c r="A12" s="20"/>
      <c r="B12" s="28" t="s">
        <v>17</v>
      </c>
      <c r="C12" s="87" t="s">
        <v>18</v>
      </c>
      <c r="D12" s="87"/>
      <c r="E12" s="67"/>
      <c r="F12" s="28" t="s">
        <v>19</v>
      </c>
      <c r="G12" s="81" t="s">
        <v>20</v>
      </c>
      <c r="H12" s="28" t="s">
        <v>21</v>
      </c>
      <c r="I12" s="29"/>
    </row>
    <row r="13" spans="1:9" ht="21" customHeight="1" x14ac:dyDescent="0.2">
      <c r="A13" s="20"/>
      <c r="B13" s="62">
        <f>'Task Checklist'!A5</f>
        <v>44774</v>
      </c>
      <c r="C13" s="83" t="s">
        <v>5</v>
      </c>
      <c r="D13" s="84"/>
      <c r="E13" s="73"/>
      <c r="F13" s="63">
        <f>('Task Checklist'!B5*0.5)+('Task Checklist'!C5*0.5)+('Task Checklist'!D5*0.5)+('Task Checklist'!E5*0.5)+('Task Checklist'!F5*1)+('Task Checklist'!G5*2)+('Task Checklist'!H5*0.5)+('Task Checklist'!I5*0.5)+('Task Checklist'!J5*0.5)+('Task Checklist'!K5*0.5)</f>
        <v>0</v>
      </c>
      <c r="G13" s="99">
        <v>7.5</v>
      </c>
      <c r="H13" s="100">
        <f t="shared" ref="H13:H18" si="0">F13*G13</f>
        <v>0</v>
      </c>
      <c r="I13" s="31"/>
    </row>
    <row r="14" spans="1:9" ht="21" customHeight="1" x14ac:dyDescent="0.2">
      <c r="A14" s="20"/>
      <c r="B14" s="62">
        <f>'Task Checklist'!A6</f>
        <v>44775</v>
      </c>
      <c r="C14" s="83" t="s">
        <v>5</v>
      </c>
      <c r="D14" s="84"/>
      <c r="E14" s="73"/>
      <c r="F14" s="63">
        <f>('Task Checklist'!B6*0.5)+('Task Checklist'!C6*0.5)+('Task Checklist'!D6*0.5)+('Task Checklist'!E6*0.5)+('Task Checklist'!F6*1)+('Task Checklist'!G6*2)+('Task Checklist'!H6*0.5)+('Task Checklist'!I6*0.5)+('Task Checklist'!J6*0.5)+('Task Checklist'!K6*0.5)</f>
        <v>1</v>
      </c>
      <c r="G14" s="99">
        <v>7.5</v>
      </c>
      <c r="H14" s="100">
        <f t="shared" si="0"/>
        <v>7.5</v>
      </c>
      <c r="I14" s="31"/>
    </row>
    <row r="15" spans="1:9" ht="21" customHeight="1" x14ac:dyDescent="0.2">
      <c r="A15" s="20"/>
      <c r="B15" s="62">
        <f>'Task Checklist'!A7</f>
        <v>44776</v>
      </c>
      <c r="C15" s="83" t="s">
        <v>5</v>
      </c>
      <c r="D15" s="84"/>
      <c r="E15" s="73"/>
      <c r="F15" s="63">
        <f>('Task Checklist'!B7*0.5)+('Task Checklist'!C7*0.5)+('Task Checklist'!D7*0.5)+('Task Checklist'!E7*0.5)+('Task Checklist'!F7*1)+('Task Checklist'!G7*2)+('Task Checklist'!H7*0.5)+('Task Checklist'!I7*0.5)+('Task Checklist'!J7*0.5)+('Task Checklist'!K7*0.5)</f>
        <v>0</v>
      </c>
      <c r="G15" s="99">
        <v>7.5</v>
      </c>
      <c r="H15" s="100">
        <f t="shared" si="0"/>
        <v>0</v>
      </c>
      <c r="I15" s="31"/>
    </row>
    <row r="16" spans="1:9" ht="21" customHeight="1" x14ac:dyDescent="0.2">
      <c r="A16" s="20"/>
      <c r="B16" s="62">
        <f>'Task Checklist'!A8</f>
        <v>44777</v>
      </c>
      <c r="C16" s="83" t="s">
        <v>5</v>
      </c>
      <c r="D16" s="84"/>
      <c r="E16" s="73"/>
      <c r="F16" s="63">
        <f>('Task Checklist'!B8*0.5)+('Task Checklist'!C8*0.5)+('Task Checklist'!D8*0.5)+('Task Checklist'!E8*0.5)+('Task Checklist'!F8*1)+('Task Checklist'!G8*2)+('Task Checklist'!H8*0.5)+('Task Checklist'!I8*0.5)+('Task Checklist'!J8*0.5)+('Task Checklist'!K8*0.5)</f>
        <v>4</v>
      </c>
      <c r="G16" s="99">
        <v>7.5</v>
      </c>
      <c r="H16" s="100">
        <f t="shared" si="0"/>
        <v>30</v>
      </c>
      <c r="I16" s="31"/>
    </row>
    <row r="17" spans="1:9" ht="21" customHeight="1" x14ac:dyDescent="0.2">
      <c r="A17" s="20"/>
      <c r="B17" s="62">
        <f>'Task Checklist'!A9</f>
        <v>44778</v>
      </c>
      <c r="C17" s="83" t="s">
        <v>5</v>
      </c>
      <c r="D17" s="84"/>
      <c r="E17" s="73"/>
      <c r="F17" s="63">
        <f>('Task Checklist'!B9*0.5)+('Task Checklist'!C9*0.5)+('Task Checklist'!D9*0.5)+('Task Checklist'!E9*0.5)+('Task Checklist'!F9*1)+('Task Checklist'!G9*2)+('Task Checklist'!H9*0.5)+('Task Checklist'!I9*0.5)+('Task Checklist'!J9*0.5)+('Task Checklist'!K9*0.5)</f>
        <v>6.5</v>
      </c>
      <c r="G17" s="99">
        <v>7.5</v>
      </c>
      <c r="H17" s="100">
        <f t="shared" si="0"/>
        <v>48.75</v>
      </c>
      <c r="I17" s="31"/>
    </row>
    <row r="18" spans="1:9" ht="21" customHeight="1" x14ac:dyDescent="0.2">
      <c r="A18" s="20"/>
      <c r="B18" s="62">
        <f>'Task Checklist'!A10</f>
        <v>44779</v>
      </c>
      <c r="C18" s="83" t="s">
        <v>5</v>
      </c>
      <c r="D18" s="84"/>
      <c r="E18" s="73"/>
      <c r="F18" s="63">
        <f>('Task Checklist'!B10*0.5)+('Task Checklist'!C10*0.5)+('Task Checklist'!D10*0.5)+('Task Checklist'!E10*0.5)+('Task Checklist'!F10*1)+('Task Checklist'!G10*2)+('Task Checklist'!H10*0.5)+('Task Checklist'!I10*0.5)+('Task Checklist'!J10*0.5)+('Task Checklist'!K10*0.5)</f>
        <v>4.5</v>
      </c>
      <c r="G18" s="99">
        <v>7.5</v>
      </c>
      <c r="H18" s="100">
        <f t="shared" si="0"/>
        <v>33.75</v>
      </c>
      <c r="I18" s="31"/>
    </row>
    <row r="19" spans="1:9" ht="21" customHeight="1" x14ac:dyDescent="0.2">
      <c r="A19" s="20"/>
      <c r="B19" s="62">
        <f>'Task Checklist'!A11</f>
        <v>44780</v>
      </c>
      <c r="C19" s="83" t="s">
        <v>5</v>
      </c>
      <c r="D19" s="84"/>
      <c r="E19" s="73"/>
      <c r="F19" s="63">
        <f>('Task Checklist'!B11*0.5)+('Task Checklist'!C11*0.5)+('Task Checklist'!D11*0.5)+('Task Checklist'!E11*0.5)+('Task Checklist'!F11*1)+('Task Checklist'!G11*2)+('Task Checklist'!H11*0.5)+('Task Checklist'!I11*0.5)+('Task Checklist'!J11*0.5)+('Task Checklist'!K11*0.5)</f>
        <v>5</v>
      </c>
      <c r="G19" s="99">
        <v>7.5</v>
      </c>
      <c r="H19" s="100">
        <f t="shared" ref="H19:H43" si="1">F19*G19</f>
        <v>37.5</v>
      </c>
      <c r="I19" s="31"/>
    </row>
    <row r="20" spans="1:9" ht="21" customHeight="1" x14ac:dyDescent="0.2">
      <c r="A20" s="20"/>
      <c r="B20" s="62">
        <f>'Task Checklist'!A12</f>
        <v>44781</v>
      </c>
      <c r="C20" s="83" t="s">
        <v>5</v>
      </c>
      <c r="D20" s="84"/>
      <c r="E20" s="73"/>
      <c r="F20" s="63">
        <f>('Task Checklist'!B12*0.5)+('Task Checklist'!C12*0.5)+('Task Checklist'!D12*0.5)+('Task Checklist'!E12*0.5)+('Task Checklist'!F12*1)+('Task Checklist'!G12*2)+('Task Checklist'!H12*0.5)+('Task Checklist'!I12*0.5)+('Task Checklist'!J12*0.5)+('Task Checklist'!K12*0.5)</f>
        <v>1.5</v>
      </c>
      <c r="G20" s="99">
        <v>7.5</v>
      </c>
      <c r="H20" s="100">
        <f t="shared" si="1"/>
        <v>11.25</v>
      </c>
      <c r="I20" s="31"/>
    </row>
    <row r="21" spans="1:9" ht="21" customHeight="1" x14ac:dyDescent="0.2">
      <c r="A21" s="20"/>
      <c r="B21" s="62">
        <f>'Task Checklist'!A13</f>
        <v>44782</v>
      </c>
      <c r="C21" s="83" t="s">
        <v>5</v>
      </c>
      <c r="D21" s="84"/>
      <c r="E21" s="73"/>
      <c r="F21" s="63">
        <f>('Task Checklist'!B13*0.5)+('Task Checklist'!C13*0.5)+('Task Checklist'!D13*0.5)+('Task Checklist'!E13*0.5)+('Task Checklist'!F13*1)+('Task Checklist'!G13*2)+('Task Checklist'!H13*0.5)+('Task Checklist'!I13*0.5)+('Task Checklist'!J13*0.5)+('Task Checklist'!K13*0.5)</f>
        <v>1.5</v>
      </c>
      <c r="G21" s="99">
        <v>7.5</v>
      </c>
      <c r="H21" s="100">
        <f t="shared" si="1"/>
        <v>11.25</v>
      </c>
      <c r="I21" s="31"/>
    </row>
    <row r="22" spans="1:9" ht="21" customHeight="1" x14ac:dyDescent="0.2">
      <c r="A22" s="20"/>
      <c r="B22" s="62">
        <f>'Task Checklist'!A14</f>
        <v>44783</v>
      </c>
      <c r="C22" s="83" t="s">
        <v>5</v>
      </c>
      <c r="D22" s="84"/>
      <c r="E22" s="73"/>
      <c r="F22" s="63">
        <f>('Task Checklist'!B14*0.5)+('Task Checklist'!C14*0.5)+('Task Checklist'!D14*0.5)+('Task Checklist'!E14*0.5)+('Task Checklist'!F14*1)+('Task Checklist'!G14*2)+('Task Checklist'!H14*0.5)+('Task Checklist'!I14*0.5)+('Task Checklist'!J14*0.5)+('Task Checklist'!K14*0.5)</f>
        <v>2.5</v>
      </c>
      <c r="G22" s="99">
        <v>7.5</v>
      </c>
      <c r="H22" s="100">
        <f t="shared" si="1"/>
        <v>18.75</v>
      </c>
      <c r="I22" s="31"/>
    </row>
    <row r="23" spans="1:9" ht="21" customHeight="1" x14ac:dyDescent="0.2">
      <c r="A23" s="20"/>
      <c r="B23" s="62">
        <f>'Task Checklist'!A15</f>
        <v>44784</v>
      </c>
      <c r="C23" s="83" t="s">
        <v>5</v>
      </c>
      <c r="D23" s="84"/>
      <c r="E23" s="73"/>
      <c r="F23" s="63">
        <f>('Task Checklist'!B15*0.5)+('Task Checklist'!C15*0.5)+('Task Checklist'!D15*0.5)+('Task Checklist'!E15*0.5)+('Task Checklist'!F15*1)+('Task Checklist'!G15*2)+('Task Checklist'!H15*0.5)+('Task Checklist'!I15*0.5)+('Task Checklist'!J15*0.5)+('Task Checklist'!K15*0.5)</f>
        <v>1.5</v>
      </c>
      <c r="G23" s="99">
        <v>7.5</v>
      </c>
      <c r="H23" s="100">
        <f t="shared" si="1"/>
        <v>11.25</v>
      </c>
      <c r="I23" s="31"/>
    </row>
    <row r="24" spans="1:9" ht="21" customHeight="1" x14ac:dyDescent="0.2">
      <c r="A24" s="20"/>
      <c r="B24" s="62">
        <f>'Task Checklist'!A16</f>
        <v>44785</v>
      </c>
      <c r="C24" s="83" t="s">
        <v>5</v>
      </c>
      <c r="D24" s="84"/>
      <c r="E24" s="73"/>
      <c r="F24" s="63">
        <f>('Task Checklist'!B16*0.5)+('Task Checklist'!C16*0.5)+('Task Checklist'!D16*0.5)+('Task Checklist'!E16*0.5)+('Task Checklist'!F16*1)+('Task Checklist'!G16*2)+('Task Checklist'!H16*0.5)+('Task Checklist'!I16*0.5)+('Task Checklist'!J16*0.5)+('Task Checklist'!K16*0.5)</f>
        <v>1.5</v>
      </c>
      <c r="G24" s="99">
        <v>7.5</v>
      </c>
      <c r="H24" s="100">
        <f t="shared" si="1"/>
        <v>11.25</v>
      </c>
      <c r="I24" s="31"/>
    </row>
    <row r="25" spans="1:9" ht="21" customHeight="1" x14ac:dyDescent="0.2">
      <c r="A25" s="20"/>
      <c r="B25" s="62">
        <f>'Task Checklist'!A17</f>
        <v>44786</v>
      </c>
      <c r="C25" s="83" t="s">
        <v>5</v>
      </c>
      <c r="D25" s="84"/>
      <c r="E25" s="73"/>
      <c r="F25" s="63">
        <f>('Task Checklist'!B17*0.5)+('Task Checklist'!C17*0.5)+('Task Checklist'!D17*0.5)+('Task Checklist'!E17*0.5)+('Task Checklist'!F17*1)+('Task Checklist'!G17*2)+('Task Checklist'!H17*0.5)+('Task Checklist'!I17*0.5)+('Task Checklist'!J17*0.5)+('Task Checklist'!K17*0.5)</f>
        <v>0</v>
      </c>
      <c r="G25" s="99">
        <v>7.5</v>
      </c>
      <c r="H25" s="100">
        <f t="shared" si="1"/>
        <v>0</v>
      </c>
      <c r="I25" s="31"/>
    </row>
    <row r="26" spans="1:9" ht="21" customHeight="1" x14ac:dyDescent="0.2">
      <c r="A26" s="20"/>
      <c r="B26" s="62">
        <f>'Task Checklist'!A18</f>
        <v>44787</v>
      </c>
      <c r="C26" s="83" t="s">
        <v>5</v>
      </c>
      <c r="D26" s="84"/>
      <c r="E26" s="73"/>
      <c r="F26" s="63">
        <f>('Task Checklist'!B18*0.5)+('Task Checklist'!C18*0.5)+('Task Checklist'!D18*0.5)+('Task Checklist'!E18*0.5)+('Task Checklist'!F18*1)+('Task Checklist'!G18*2)+('Task Checklist'!H18*0.5)+('Task Checklist'!I18*0.5)+('Task Checklist'!J18*0.5)+('Task Checklist'!K18*0.5)</f>
        <v>1</v>
      </c>
      <c r="G26" s="99">
        <v>7.5</v>
      </c>
      <c r="H26" s="100">
        <f t="shared" si="1"/>
        <v>7.5</v>
      </c>
      <c r="I26" s="31"/>
    </row>
    <row r="27" spans="1:9" ht="21" customHeight="1" x14ac:dyDescent="0.2">
      <c r="A27" s="20"/>
      <c r="B27" s="62">
        <f>'Task Checklist'!A19</f>
        <v>44788</v>
      </c>
      <c r="C27" s="83" t="s">
        <v>5</v>
      </c>
      <c r="D27" s="84"/>
      <c r="E27" s="73"/>
      <c r="F27" s="63">
        <f>('Task Checklist'!B19*0.5)+('Task Checklist'!C19*0.5)+('Task Checklist'!D19*0.5)+('Task Checklist'!E19*0.5)+('Task Checklist'!F19*1)+('Task Checklist'!G19*2)+('Task Checklist'!H19*0.5)+('Task Checklist'!I19*0.5)+('Task Checklist'!J19*0.5)+('Task Checklist'!K19*0.5)</f>
        <v>8</v>
      </c>
      <c r="G27" s="99">
        <v>7.5</v>
      </c>
      <c r="H27" s="100">
        <f t="shared" si="1"/>
        <v>60</v>
      </c>
      <c r="I27" s="31"/>
    </row>
    <row r="28" spans="1:9" ht="21" customHeight="1" x14ac:dyDescent="0.2">
      <c r="A28" s="20"/>
      <c r="B28" s="62">
        <f>'Task Checklist'!A20</f>
        <v>44789</v>
      </c>
      <c r="C28" s="83" t="s">
        <v>5</v>
      </c>
      <c r="D28" s="84"/>
      <c r="E28" s="73"/>
      <c r="F28" s="63">
        <f>('Task Checklist'!B20*0.5)+('Task Checklist'!C20*0.5)+('Task Checklist'!D20*0.5)+('Task Checklist'!E20*0.5)+('Task Checklist'!F20*1)+('Task Checklist'!G20*2)+('Task Checklist'!H20*0.5)+('Task Checklist'!I20*0.5)+('Task Checklist'!J20*0.5)+('Task Checklist'!K20*0.5)</f>
        <v>5.5</v>
      </c>
      <c r="G28" s="99">
        <v>7.5</v>
      </c>
      <c r="H28" s="100">
        <f t="shared" si="1"/>
        <v>41.25</v>
      </c>
      <c r="I28" s="31"/>
    </row>
    <row r="29" spans="1:9" ht="21" customHeight="1" x14ac:dyDescent="0.2">
      <c r="A29" s="20"/>
      <c r="B29" s="62">
        <f>'Task Checklist'!A21</f>
        <v>44790</v>
      </c>
      <c r="C29" s="83" t="s">
        <v>5</v>
      </c>
      <c r="D29" s="84"/>
      <c r="E29" s="73"/>
      <c r="F29" s="63">
        <f>('Task Checklist'!B21*0.5)+('Task Checklist'!C21*0.5)+('Task Checklist'!D21*0.5)+('Task Checklist'!E21*0.5)+('Task Checklist'!F21*1)+('Task Checklist'!G21*2)+('Task Checklist'!H21*0.5)+('Task Checklist'!I21*0.5)+('Task Checklist'!J21*0.5)+('Task Checklist'!K21*0.5)</f>
        <v>0</v>
      </c>
      <c r="G29" s="99">
        <v>7.5</v>
      </c>
      <c r="H29" s="100">
        <f t="shared" si="1"/>
        <v>0</v>
      </c>
      <c r="I29" s="31"/>
    </row>
    <row r="30" spans="1:9" ht="21" customHeight="1" x14ac:dyDescent="0.2">
      <c r="A30" s="20"/>
      <c r="B30" s="62">
        <f>'Task Checklist'!A22</f>
        <v>44791</v>
      </c>
      <c r="C30" s="83" t="s">
        <v>5</v>
      </c>
      <c r="D30" s="84"/>
      <c r="E30" s="73"/>
      <c r="F30" s="63">
        <f>('Task Checklist'!B22*0.5)+('Task Checklist'!C22*0.5)+('Task Checklist'!D22*0.5)+('Task Checklist'!E22*0.5)+('Task Checklist'!F22*1)+('Task Checklist'!G22*2)+('Task Checklist'!H22*0.5)+('Task Checklist'!I22*0.5)+('Task Checklist'!J22*0.5)+('Task Checklist'!K22*0.5)</f>
        <v>8</v>
      </c>
      <c r="G30" s="99">
        <v>7.5</v>
      </c>
      <c r="H30" s="100">
        <f t="shared" si="1"/>
        <v>60</v>
      </c>
      <c r="I30" s="31"/>
    </row>
    <row r="31" spans="1:9" ht="21" customHeight="1" x14ac:dyDescent="0.2">
      <c r="A31" s="20"/>
      <c r="B31" s="62">
        <f>'Task Checklist'!A23</f>
        <v>44792</v>
      </c>
      <c r="C31" s="83" t="s">
        <v>5</v>
      </c>
      <c r="D31" s="84"/>
      <c r="E31" s="73"/>
      <c r="F31" s="63">
        <f>('Task Checklist'!B23*0.5)+('Task Checklist'!C23*0.5)+('Task Checklist'!D23*0.5)+('Task Checklist'!E23*0.5)+('Task Checklist'!F23*1)+('Task Checklist'!G23*2)+('Task Checklist'!H23*0.5)+('Task Checklist'!I23*0.5)+('Task Checklist'!J23*0.5)+('Task Checklist'!K23*0.5)</f>
        <v>12</v>
      </c>
      <c r="G31" s="99">
        <v>7.5</v>
      </c>
      <c r="H31" s="100">
        <f t="shared" si="1"/>
        <v>90</v>
      </c>
      <c r="I31" s="31"/>
    </row>
    <row r="32" spans="1:9" ht="21" customHeight="1" x14ac:dyDescent="0.2">
      <c r="A32" s="20"/>
      <c r="B32" s="62">
        <f>'Task Checklist'!A24</f>
        <v>44793</v>
      </c>
      <c r="C32" s="83" t="s">
        <v>5</v>
      </c>
      <c r="D32" s="84"/>
      <c r="E32" s="73"/>
      <c r="F32" s="63">
        <f>('Task Checklist'!B24*0.5)+('Task Checklist'!C24*0.5)+('Task Checklist'!D24*0.5)+('Task Checklist'!E24*0.5)+('Task Checklist'!F24*1)+('Task Checklist'!G24*2)+('Task Checklist'!H24*0.5)+('Task Checklist'!I24*0.5)+('Task Checklist'!J24*0.5)+('Task Checklist'!K24*0.5)</f>
        <v>16.5</v>
      </c>
      <c r="G32" s="99">
        <v>7.5</v>
      </c>
      <c r="H32" s="100">
        <f t="shared" si="1"/>
        <v>123.75</v>
      </c>
      <c r="I32" s="31"/>
    </row>
    <row r="33" spans="1:9" ht="21" customHeight="1" x14ac:dyDescent="0.2">
      <c r="A33" s="20"/>
      <c r="B33" s="62">
        <f>'Task Checklist'!A25</f>
        <v>44794</v>
      </c>
      <c r="C33" s="83" t="s">
        <v>5</v>
      </c>
      <c r="D33" s="84"/>
      <c r="E33" s="73"/>
      <c r="F33" s="63">
        <f>('Task Checklist'!B25*0.5)+('Task Checklist'!C25*0.5)+('Task Checklist'!D25*0.5)+('Task Checklist'!E25*0.5)+('Task Checklist'!F25*1)+('Task Checklist'!G25*2)+('Task Checklist'!H25*0.5)+('Task Checklist'!I25*0.5)+('Task Checklist'!J25*0.5)+('Task Checklist'!K25*0.5)</f>
        <v>13</v>
      </c>
      <c r="G33" s="99">
        <v>7.5</v>
      </c>
      <c r="H33" s="100">
        <f t="shared" si="1"/>
        <v>97.5</v>
      </c>
      <c r="I33" s="31"/>
    </row>
    <row r="34" spans="1:9" ht="21" customHeight="1" x14ac:dyDescent="0.2">
      <c r="A34" s="20"/>
      <c r="B34" s="62">
        <f>'Task Checklist'!A26</f>
        <v>44795</v>
      </c>
      <c r="C34" s="83" t="s">
        <v>5</v>
      </c>
      <c r="D34" s="84"/>
      <c r="E34" s="73"/>
      <c r="F34" s="63">
        <f>('Task Checklist'!B26*0.5)+('Task Checklist'!C26*0.5)+('Task Checklist'!D26*0.5)+('Task Checklist'!E26*0.5)+('Task Checklist'!F26*1)+('Task Checklist'!G26*2)+('Task Checklist'!H26*0.5)+('Task Checklist'!I26*0.5)+('Task Checklist'!J26*0.5)+('Task Checklist'!K26*0.5)</f>
        <v>3</v>
      </c>
      <c r="G34" s="99">
        <v>7.5</v>
      </c>
      <c r="H34" s="100">
        <f t="shared" si="1"/>
        <v>22.5</v>
      </c>
      <c r="I34" s="31"/>
    </row>
    <row r="35" spans="1:9" ht="21" customHeight="1" x14ac:dyDescent="0.2">
      <c r="A35" s="20"/>
      <c r="B35" s="62">
        <f>'Task Checklist'!A27</f>
        <v>44796</v>
      </c>
      <c r="C35" s="83" t="s">
        <v>5</v>
      </c>
      <c r="D35" s="84"/>
      <c r="E35" s="73"/>
      <c r="F35" s="63">
        <f>('Task Checklist'!B27*0.5)+('Task Checklist'!C27*0.5)+('Task Checklist'!D27*0.5)+('Task Checklist'!E27*0.5)+('Task Checklist'!F27*1)+('Task Checklist'!G27*2)+('Task Checklist'!H27*0.5)+('Task Checklist'!I27*0.5)+('Task Checklist'!J27*0.5)+('Task Checklist'!K27*0.5)</f>
        <v>4.5</v>
      </c>
      <c r="G35" s="99">
        <v>7.5</v>
      </c>
      <c r="H35" s="100">
        <f t="shared" si="1"/>
        <v>33.75</v>
      </c>
      <c r="I35" s="31"/>
    </row>
    <row r="36" spans="1:9" ht="21" customHeight="1" x14ac:dyDescent="0.2">
      <c r="A36" s="20"/>
      <c r="B36" s="62">
        <f>'Task Checklist'!A28</f>
        <v>44797</v>
      </c>
      <c r="C36" s="83" t="s">
        <v>5</v>
      </c>
      <c r="D36" s="84"/>
      <c r="E36" s="73"/>
      <c r="F36" s="63">
        <f>('Task Checklist'!B28*0.5)+('Task Checklist'!C28*0.5)+('Task Checklist'!D28*0.5)+('Task Checklist'!E28*0.5)+('Task Checklist'!F28*1)+('Task Checklist'!G28*2)+('Task Checklist'!H28*0.5)+('Task Checklist'!I28*0.5)+('Task Checklist'!J28*0.5)+('Task Checklist'!K28*0.5)</f>
        <v>2</v>
      </c>
      <c r="G36" s="99">
        <v>7.5</v>
      </c>
      <c r="H36" s="100">
        <f t="shared" si="1"/>
        <v>15</v>
      </c>
      <c r="I36" s="31"/>
    </row>
    <row r="37" spans="1:9" ht="21" customHeight="1" x14ac:dyDescent="0.2">
      <c r="A37" s="20"/>
      <c r="B37" s="62">
        <f>'Task Checklist'!A29</f>
        <v>44798</v>
      </c>
      <c r="C37" s="83" t="s">
        <v>5</v>
      </c>
      <c r="D37" s="84"/>
      <c r="E37" s="73"/>
      <c r="F37" s="63">
        <f>('Task Checklist'!B29*0.5)+('Task Checklist'!C29*0.5)+('Task Checklist'!D29*0.5)+('Task Checklist'!E29*0.5)+('Task Checklist'!F29*1)+('Task Checklist'!G29*2)+('Task Checklist'!H29*0.5)+('Task Checklist'!I29*0.5)+('Task Checklist'!J29*0.5)+('Task Checklist'!K29*0.5)</f>
        <v>3.5</v>
      </c>
      <c r="G37" s="99">
        <v>7.5</v>
      </c>
      <c r="H37" s="100">
        <f t="shared" si="1"/>
        <v>26.25</v>
      </c>
      <c r="I37" s="31"/>
    </row>
    <row r="38" spans="1:9" ht="21" customHeight="1" x14ac:dyDescent="0.2">
      <c r="A38" s="20"/>
      <c r="B38" s="62">
        <f>'Task Checklist'!A30</f>
        <v>44799</v>
      </c>
      <c r="C38" s="83" t="s">
        <v>5</v>
      </c>
      <c r="D38" s="84"/>
      <c r="E38" s="73"/>
      <c r="F38" s="63">
        <f>('Task Checklist'!B30*0.5)+('Task Checklist'!C30*0.5)+('Task Checklist'!D30*0.5)+('Task Checklist'!E30*0.5)+('Task Checklist'!F30*1)+('Task Checklist'!G30*2)+('Task Checklist'!H30*0.5)+('Task Checklist'!I30*0.5)+('Task Checklist'!J30*0.5)+('Task Checklist'!K30*0.5)</f>
        <v>1</v>
      </c>
      <c r="G38" s="99">
        <v>7.5</v>
      </c>
      <c r="H38" s="100">
        <f t="shared" si="1"/>
        <v>7.5</v>
      </c>
      <c r="I38" s="31"/>
    </row>
    <row r="39" spans="1:9" ht="21" customHeight="1" x14ac:dyDescent="0.2">
      <c r="A39" s="20"/>
      <c r="B39" s="62">
        <f>'Task Checklist'!A31</f>
        <v>44800</v>
      </c>
      <c r="C39" s="83" t="s">
        <v>5</v>
      </c>
      <c r="D39" s="84"/>
      <c r="E39" s="73"/>
      <c r="F39" s="63">
        <f>('Task Checklist'!B31*0.5)+('Task Checklist'!C31*0.5)+('Task Checklist'!D31*0.5)+('Task Checklist'!E31*0.5)+('Task Checklist'!F31*1)+('Task Checklist'!G31*2)+('Task Checklist'!H31*0.5)+('Task Checklist'!I31*0.5)+('Task Checklist'!J31*0.5)+('Task Checklist'!K31*0.5)</f>
        <v>3</v>
      </c>
      <c r="G39" s="99">
        <v>7.5</v>
      </c>
      <c r="H39" s="100">
        <f t="shared" si="1"/>
        <v>22.5</v>
      </c>
      <c r="I39" s="31"/>
    </row>
    <row r="40" spans="1:9" ht="21" customHeight="1" x14ac:dyDescent="0.2">
      <c r="A40" s="20"/>
      <c r="B40" s="62">
        <f>'Task Checklist'!A32</f>
        <v>44801</v>
      </c>
      <c r="C40" s="83" t="s">
        <v>5</v>
      </c>
      <c r="D40" s="84"/>
      <c r="E40" s="73"/>
      <c r="F40" s="63">
        <f>('Task Checklist'!B32*0.5)+('Task Checklist'!C32*0.5)+('Task Checklist'!D32*0.5)+('Task Checklist'!E32*0.5)+('Task Checklist'!F32*1)+('Task Checklist'!G32*2)+('Task Checklist'!H32*0.5)+('Task Checklist'!I32*0.5)+('Task Checklist'!J32*0.5)+('Task Checklist'!K32*0.5)</f>
        <v>0</v>
      </c>
      <c r="G40" s="99">
        <v>7.5</v>
      </c>
      <c r="H40" s="100">
        <f t="shared" si="1"/>
        <v>0</v>
      </c>
      <c r="I40" s="31"/>
    </row>
    <row r="41" spans="1:9" ht="21" customHeight="1" x14ac:dyDescent="0.2">
      <c r="A41" s="20"/>
      <c r="B41" s="62">
        <f>'Task Checklist'!A33</f>
        <v>44802</v>
      </c>
      <c r="C41" s="83" t="s">
        <v>5</v>
      </c>
      <c r="D41" s="84"/>
      <c r="E41" s="73"/>
      <c r="F41" s="63">
        <f>('Task Checklist'!B33*0.5)+('Task Checklist'!C33*0.5)+('Task Checklist'!D33*0.5)+('Task Checklist'!E33*0.5)+('Task Checklist'!F33*1)+('Task Checklist'!G33*2)+('Task Checklist'!H33*0.5)+('Task Checklist'!I33*0.5)+('Task Checklist'!J33*0.5)+('Task Checklist'!K33*0.5)</f>
        <v>1</v>
      </c>
      <c r="G41" s="99">
        <v>7.5</v>
      </c>
      <c r="H41" s="100">
        <f t="shared" si="1"/>
        <v>7.5</v>
      </c>
      <c r="I41" s="31"/>
    </row>
    <row r="42" spans="1:9" ht="21" customHeight="1" x14ac:dyDescent="0.2">
      <c r="A42" s="20"/>
      <c r="B42" s="62">
        <f>'Task Checklist'!A34</f>
        <v>44803</v>
      </c>
      <c r="C42" s="83" t="s">
        <v>5</v>
      </c>
      <c r="D42" s="84"/>
      <c r="E42" s="73"/>
      <c r="F42" s="63">
        <f>('Task Checklist'!B34*0.5)+('Task Checklist'!C34*0.5)+('Task Checklist'!D34*0.5)+('Task Checklist'!E34*0.5)+('Task Checklist'!F34*1)+('Task Checklist'!G34*2)+('Task Checklist'!H34*0.5)+('Task Checklist'!I34*0.5)+('Task Checklist'!J34*0.5)+('Task Checklist'!K34*0.5)</f>
        <v>4</v>
      </c>
      <c r="G42" s="99">
        <v>7.5</v>
      </c>
      <c r="H42" s="100">
        <f t="shared" si="1"/>
        <v>30</v>
      </c>
      <c r="I42" s="31"/>
    </row>
    <row r="43" spans="1:9" ht="24" customHeight="1" x14ac:dyDescent="0.2">
      <c r="A43" s="20"/>
      <c r="B43" s="62">
        <f>'Task Checklist'!A35</f>
        <v>44804</v>
      </c>
      <c r="C43" s="83" t="s">
        <v>5</v>
      </c>
      <c r="D43" s="84"/>
      <c r="E43" s="73"/>
      <c r="F43" s="63">
        <f>('Task Checklist'!B35*0.5)+('Task Checklist'!C35*0.5)+('Task Checklist'!D35*0.5)+('Task Checklist'!E35*0.5)+('Task Checklist'!F35*1)+('Task Checklist'!G35*2)+('Task Checklist'!H35*0.5)+('Task Checklist'!I35*0.5)+('Task Checklist'!J35*0.5)+('Task Checklist'!K35*0.5)</f>
        <v>0</v>
      </c>
      <c r="G43" s="99">
        <v>7.5</v>
      </c>
      <c r="H43" s="100">
        <f t="shared" si="1"/>
        <v>0</v>
      </c>
      <c r="I43" s="31"/>
    </row>
    <row r="44" spans="1:9" ht="24" customHeight="1" x14ac:dyDescent="0.2">
      <c r="A44" s="20"/>
      <c r="B44" s="30"/>
      <c r="C44" s="83"/>
      <c r="D44" s="84"/>
      <c r="E44" s="73"/>
      <c r="F44" s="32"/>
      <c r="G44" s="99"/>
      <c r="H44" s="101"/>
      <c r="I44" s="31"/>
    </row>
    <row r="45" spans="1:9" ht="18" customHeight="1" x14ac:dyDescent="0.2">
      <c r="A45" s="20"/>
      <c r="B45" s="33"/>
      <c r="C45" s="33"/>
      <c r="D45" s="33"/>
      <c r="E45" s="33"/>
      <c r="F45" s="34"/>
      <c r="G45" s="102"/>
      <c r="H45" s="103"/>
      <c r="I45" s="31"/>
    </row>
    <row r="46" spans="1:9" ht="30" customHeight="1" x14ac:dyDescent="0.25">
      <c r="A46" s="20"/>
      <c r="B46" s="35"/>
      <c r="C46" s="36"/>
      <c r="D46" s="36"/>
      <c r="E46" s="36"/>
      <c r="F46" s="37"/>
      <c r="G46" s="104" t="s">
        <v>0</v>
      </c>
      <c r="H46" s="105">
        <f>SUM(H13:H44)</f>
        <v>866.25</v>
      </c>
      <c r="I46" s="39"/>
    </row>
    <row r="47" spans="1:9" ht="30" customHeight="1" x14ac:dyDescent="0.25">
      <c r="A47" s="20"/>
      <c r="B47" s="40"/>
      <c r="C47" s="40"/>
      <c r="D47" s="40"/>
      <c r="E47" s="40"/>
      <c r="F47" s="37"/>
      <c r="G47" s="38" t="s">
        <v>22</v>
      </c>
      <c r="H47" s="41">
        <v>0</v>
      </c>
      <c r="I47" s="42"/>
    </row>
    <row r="48" spans="1:9" ht="30" customHeight="1" x14ac:dyDescent="0.25">
      <c r="A48" s="20"/>
      <c r="B48" s="40"/>
      <c r="C48" s="40"/>
      <c r="D48" s="40"/>
      <c r="E48" s="40"/>
      <c r="F48" s="37"/>
      <c r="G48" s="38" t="s">
        <v>23</v>
      </c>
      <c r="H48" s="106">
        <f>H47*H46</f>
        <v>0</v>
      </c>
      <c r="I48" s="39"/>
    </row>
    <row r="49" spans="1:9" ht="30" customHeight="1" x14ac:dyDescent="0.25">
      <c r="A49" s="20"/>
      <c r="B49" s="43"/>
      <c r="C49" s="43"/>
      <c r="D49" s="43"/>
      <c r="E49" s="43"/>
      <c r="F49" s="37"/>
      <c r="G49" s="44" t="s">
        <v>1</v>
      </c>
      <c r="H49" s="107">
        <f>H46-H48</f>
        <v>866.25</v>
      </c>
      <c r="I49" s="45"/>
    </row>
    <row r="50" spans="1:9" ht="9.75" customHeight="1" x14ac:dyDescent="0.2">
      <c r="A50" s="20"/>
      <c r="B50" s="88"/>
      <c r="C50" s="86"/>
      <c r="D50" s="86"/>
      <c r="E50" s="86"/>
      <c r="F50" s="86"/>
      <c r="G50" s="86"/>
      <c r="H50" s="86"/>
      <c r="I50" s="27"/>
    </row>
    <row r="51" spans="1:9" ht="9.75" customHeight="1" x14ac:dyDescent="0.2">
      <c r="A51" s="20"/>
      <c r="B51" s="27"/>
      <c r="C51" s="27"/>
      <c r="D51" s="27"/>
      <c r="E51" s="68"/>
      <c r="F51" s="27"/>
      <c r="G51" s="27"/>
      <c r="H51" s="27"/>
      <c r="I51" s="27"/>
    </row>
    <row r="52" spans="1:9" ht="15.75" customHeight="1" x14ac:dyDescent="0.25">
      <c r="A52" s="20"/>
      <c r="B52" s="82" t="s">
        <v>24</v>
      </c>
      <c r="C52" s="82"/>
      <c r="D52" s="46"/>
      <c r="E52" s="46"/>
      <c r="F52" s="20"/>
      <c r="G52" s="20"/>
      <c r="H52" s="47"/>
      <c r="I52" s="48"/>
    </row>
    <row r="53" spans="1:9" s="53" customFormat="1" ht="15.75" customHeight="1" x14ac:dyDescent="0.25">
      <c r="A53" s="49"/>
      <c r="B53" s="50"/>
      <c r="C53" s="51" t="s">
        <v>2</v>
      </c>
      <c r="D53" s="24"/>
      <c r="E53" s="24"/>
      <c r="F53" s="51"/>
      <c r="G53" s="51"/>
      <c r="H53" s="52"/>
      <c r="I53" s="51"/>
    </row>
    <row r="54" spans="1:9" ht="7.35" customHeight="1" x14ac:dyDescent="0.2">
      <c r="A54" s="20"/>
      <c r="F54" s="85"/>
      <c r="G54" s="86"/>
      <c r="H54" s="48"/>
      <c r="I54" s="48"/>
    </row>
    <row r="55" spans="1:9" s="53" customFormat="1" ht="15.75" customHeight="1" x14ac:dyDescent="0.25">
      <c r="A55" s="49"/>
      <c r="B55" s="50"/>
      <c r="C55" s="51" t="s">
        <v>3</v>
      </c>
      <c r="D55" s="24"/>
      <c r="E55" s="24"/>
      <c r="F55" s="51"/>
      <c r="G55" s="51"/>
      <c r="H55" s="51"/>
      <c r="I55" s="51"/>
    </row>
    <row r="56" spans="1:9" ht="7.35" customHeight="1" x14ac:dyDescent="0.2">
      <c r="A56" s="20"/>
      <c r="B56" s="54"/>
      <c r="C56" s="24"/>
      <c r="D56" s="24"/>
      <c r="E56" s="24"/>
      <c r="F56" s="48"/>
      <c r="G56" s="48"/>
      <c r="H56" s="48"/>
      <c r="I56" s="48"/>
    </row>
    <row r="57" spans="1:9" ht="15.75" customHeight="1" x14ac:dyDescent="0.2">
      <c r="A57" s="20"/>
      <c r="B57" s="48"/>
      <c r="C57" s="51" t="s">
        <v>4</v>
      </c>
      <c r="D57" s="24"/>
      <c r="E57" s="24"/>
      <c r="F57" s="48"/>
      <c r="G57" s="48"/>
      <c r="H57" s="48"/>
      <c r="I57" s="48"/>
    </row>
    <row r="58" spans="1:9" ht="45.6" customHeight="1" x14ac:dyDescent="0.2">
      <c r="A58" s="20"/>
      <c r="B58" s="48"/>
      <c r="C58" s="48"/>
      <c r="D58" s="48"/>
      <c r="E58" s="48"/>
      <c r="F58" s="48"/>
      <c r="G58" s="48"/>
      <c r="H58" s="48"/>
      <c r="I58" s="48"/>
    </row>
    <row r="59" spans="1:9" ht="21" customHeight="1" x14ac:dyDescent="0.25">
      <c r="A59" s="55"/>
      <c r="B59" s="56" t="s">
        <v>25</v>
      </c>
      <c r="F59" s="57" t="s">
        <v>26</v>
      </c>
      <c r="I59" s="58"/>
    </row>
    <row r="60" spans="1:9" ht="15.75" x14ac:dyDescent="0.25">
      <c r="A60" s="55"/>
      <c r="B60" s="59"/>
      <c r="C60" s="58"/>
      <c r="D60" s="58"/>
      <c r="E60" s="58"/>
      <c r="F60" s="58"/>
      <c r="G60" s="58"/>
      <c r="H60" s="58"/>
      <c r="I60" s="58"/>
    </row>
    <row r="61" spans="1:9" ht="16.7" customHeight="1" x14ac:dyDescent="0.2">
      <c r="A61" s="20"/>
      <c r="B61" s="54"/>
      <c r="C61" s="20"/>
      <c r="D61" s="20"/>
      <c r="E61" s="20"/>
      <c r="F61" s="20"/>
      <c r="G61" s="20"/>
      <c r="H61" s="20"/>
      <c r="I61" s="20"/>
    </row>
    <row r="62" spans="1:9" ht="15.75" customHeight="1" x14ac:dyDescent="0.2">
      <c r="A62" s="60"/>
      <c r="B62" s="61"/>
      <c r="C62" s="60"/>
      <c r="D62" s="60"/>
      <c r="E62" s="60"/>
      <c r="F62" s="60"/>
      <c r="G62" s="60"/>
      <c r="H62" s="60"/>
      <c r="I62" s="60"/>
    </row>
  </sheetData>
  <mergeCells count="47">
    <mergeCell ref="C43:D43"/>
    <mergeCell ref="G8:H8"/>
    <mergeCell ref="B4:C4"/>
    <mergeCell ref="B5:C5"/>
    <mergeCell ref="G9:H9"/>
    <mergeCell ref="C22:D22"/>
    <mergeCell ref="C23:D23"/>
    <mergeCell ref="C24:D24"/>
    <mergeCell ref="B8:C8"/>
    <mergeCell ref="B9:C9"/>
    <mergeCell ref="B2:H2"/>
    <mergeCell ref="B3:C3"/>
    <mergeCell ref="G4:H4"/>
    <mergeCell ref="G5:H5"/>
    <mergeCell ref="B6:C6"/>
    <mergeCell ref="F54:G54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B50:H50"/>
    <mergeCell ref="C34:D34"/>
    <mergeCell ref="C35:D35"/>
    <mergeCell ref="C36:D36"/>
    <mergeCell ref="C37:D37"/>
    <mergeCell ref="C21:D21"/>
    <mergeCell ref="B52:C52"/>
    <mergeCell ref="C25:D25"/>
    <mergeCell ref="C26:D26"/>
    <mergeCell ref="C27:D27"/>
    <mergeCell ref="C28:D28"/>
    <mergeCell ref="C29:D29"/>
    <mergeCell ref="C44:D44"/>
    <mergeCell ref="C30:D30"/>
    <mergeCell ref="C31:D31"/>
    <mergeCell ref="C32:D32"/>
    <mergeCell ref="C33:D33"/>
    <mergeCell ref="C38:D38"/>
    <mergeCell ref="C39:D39"/>
    <mergeCell ref="C40:D40"/>
    <mergeCell ref="C41:D41"/>
    <mergeCell ref="C42:D42"/>
  </mergeCells>
  <printOptions horizontalCentered="1" verticalCentered="1"/>
  <pageMargins left="0" right="0" top="0" bottom="0" header="0" footer="0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8"/>
  <sheetViews>
    <sheetView showGridLines="0" showRowColHeaders="0" zoomScaleNormal="100" zoomScaleSheetLayoutView="100" workbookViewId="0">
      <selection activeCell="A39" sqref="A39"/>
    </sheetView>
  </sheetViews>
  <sheetFormatPr defaultColWidth="8.875" defaultRowHeight="15" x14ac:dyDescent="0.25"/>
  <cols>
    <col min="1" max="1" width="12.625" style="1" customWidth="1"/>
    <col min="2" max="2" width="12.25" style="3" customWidth="1"/>
    <col min="3" max="3" width="14" style="3" customWidth="1"/>
    <col min="4" max="4" width="11.5" style="3" customWidth="1"/>
    <col min="5" max="5" width="12.75" style="3" customWidth="1"/>
    <col min="6" max="6" width="12.125" style="3" customWidth="1"/>
    <col min="7" max="7" width="14.125" style="3" customWidth="1"/>
    <col min="8" max="8" width="12.625" style="3" customWidth="1"/>
    <col min="9" max="9" width="12.75" style="3" customWidth="1"/>
    <col min="10" max="10" width="11.25" style="3" customWidth="1"/>
    <col min="11" max="11" width="13.375" style="3" customWidth="1"/>
    <col min="12" max="16384" width="8.875" style="1"/>
  </cols>
  <sheetData>
    <row r="1" spans="1:11" ht="33" x14ac:dyDescent="0.45">
      <c r="A1" s="97" t="s">
        <v>7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22.5" x14ac:dyDescent="0.3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33" customHeight="1" thickBot="1" x14ac:dyDescent="0.3">
      <c r="A3" s="98">
        <v>44774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ht="33" customHeight="1" thickBot="1" x14ac:dyDescent="0.3">
      <c r="A4" s="11" t="s">
        <v>17</v>
      </c>
      <c r="B4" s="12" t="s">
        <v>28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  <c r="I4" s="12" t="s">
        <v>35</v>
      </c>
      <c r="J4" s="12" t="s">
        <v>36</v>
      </c>
      <c r="K4" s="12" t="s">
        <v>37</v>
      </c>
    </row>
    <row r="5" spans="1:11" s="2" customFormat="1" ht="24.75" customHeight="1" x14ac:dyDescent="0.2">
      <c r="A5" s="9">
        <f>A3</f>
        <v>44774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s="2" customFormat="1" ht="24.75" customHeight="1" x14ac:dyDescent="0.2">
      <c r="A6" s="9">
        <f>A5+1</f>
        <v>44775</v>
      </c>
      <c r="B6" s="4"/>
      <c r="C6" s="4"/>
      <c r="D6" s="4">
        <v>2</v>
      </c>
      <c r="E6" s="4"/>
      <c r="F6" s="4">
        <v>0</v>
      </c>
      <c r="G6" s="4">
        <v>0</v>
      </c>
      <c r="H6" s="4"/>
      <c r="I6" s="4"/>
      <c r="J6" s="4"/>
      <c r="K6" s="4"/>
    </row>
    <row r="7" spans="1:11" s="2" customFormat="1" ht="24.75" customHeight="1" x14ac:dyDescent="0.2">
      <c r="A7" s="9">
        <f>A6+1</f>
        <v>44776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s="2" customFormat="1" ht="24.75" customHeight="1" x14ac:dyDescent="0.2">
      <c r="A8" s="9">
        <f t="shared" ref="A8:A35" si="0">A7+1</f>
        <v>44777</v>
      </c>
      <c r="B8" s="4"/>
      <c r="C8" s="4"/>
      <c r="D8" s="4">
        <v>8</v>
      </c>
      <c r="E8" s="4"/>
      <c r="F8" s="4"/>
      <c r="G8" s="4"/>
      <c r="H8" s="4"/>
      <c r="I8" s="4"/>
      <c r="J8" s="4"/>
      <c r="K8" s="4"/>
    </row>
    <row r="9" spans="1:11" s="2" customFormat="1" ht="24.75" customHeight="1" x14ac:dyDescent="0.2">
      <c r="A9" s="9">
        <f t="shared" si="0"/>
        <v>44778</v>
      </c>
      <c r="B9" s="4"/>
      <c r="C9" s="4"/>
      <c r="D9" s="4">
        <v>5</v>
      </c>
      <c r="E9" s="4"/>
      <c r="F9" s="4"/>
      <c r="G9" s="4">
        <v>2</v>
      </c>
      <c r="H9" s="4"/>
      <c r="I9" s="4"/>
      <c r="J9" s="4"/>
      <c r="K9" s="4"/>
    </row>
    <row r="10" spans="1:11" s="2" customFormat="1" ht="24.75" customHeight="1" x14ac:dyDescent="0.2">
      <c r="A10" s="9">
        <f t="shared" si="0"/>
        <v>44779</v>
      </c>
      <c r="B10" s="4">
        <v>5</v>
      </c>
      <c r="C10" s="4"/>
      <c r="D10" s="4"/>
      <c r="E10" s="4"/>
      <c r="F10" s="4"/>
      <c r="G10" s="4">
        <v>1</v>
      </c>
      <c r="H10" s="4"/>
      <c r="I10" s="4"/>
      <c r="J10" s="4"/>
      <c r="K10" s="4"/>
    </row>
    <row r="11" spans="1:11" s="2" customFormat="1" ht="24.75" customHeight="1" x14ac:dyDescent="0.2">
      <c r="A11" s="9">
        <f t="shared" si="0"/>
        <v>44780</v>
      </c>
      <c r="B11" s="4">
        <v>4</v>
      </c>
      <c r="C11" s="4"/>
      <c r="D11" s="4"/>
      <c r="E11" s="4"/>
      <c r="F11" s="4">
        <v>1</v>
      </c>
      <c r="G11" s="4">
        <v>1</v>
      </c>
      <c r="H11" s="4"/>
      <c r="I11" s="4"/>
      <c r="J11" s="4"/>
      <c r="K11" s="4"/>
    </row>
    <row r="12" spans="1:11" s="2" customFormat="1" ht="24.75" customHeight="1" x14ac:dyDescent="0.2">
      <c r="A12" s="9">
        <f t="shared" si="0"/>
        <v>44781</v>
      </c>
      <c r="B12" s="4"/>
      <c r="C12" s="4"/>
      <c r="D12" s="4">
        <v>3</v>
      </c>
      <c r="E12" s="4"/>
      <c r="F12" s="4"/>
      <c r="G12" s="4"/>
      <c r="H12" s="4"/>
      <c r="I12" s="4"/>
      <c r="J12" s="4"/>
      <c r="K12" s="4"/>
    </row>
    <row r="13" spans="1:11" s="2" customFormat="1" ht="24.75" customHeight="1" x14ac:dyDescent="0.2">
      <c r="A13" s="9">
        <f t="shared" si="0"/>
        <v>44782</v>
      </c>
      <c r="B13" s="4"/>
      <c r="C13" s="4"/>
      <c r="D13" s="4">
        <v>3</v>
      </c>
      <c r="E13" s="4"/>
      <c r="F13" s="4"/>
      <c r="G13" s="4"/>
      <c r="H13" s="4"/>
      <c r="I13" s="4"/>
      <c r="J13" s="4"/>
      <c r="K13" s="4"/>
    </row>
    <row r="14" spans="1:11" s="2" customFormat="1" ht="24.75" customHeight="1" x14ac:dyDescent="0.2">
      <c r="A14" s="9">
        <f t="shared" si="0"/>
        <v>44783</v>
      </c>
      <c r="B14" s="4"/>
      <c r="C14" s="4"/>
      <c r="D14" s="4">
        <v>3</v>
      </c>
      <c r="E14" s="4">
        <v>2</v>
      </c>
      <c r="F14" s="4"/>
      <c r="G14" s="4"/>
      <c r="H14" s="4"/>
      <c r="I14" s="4"/>
      <c r="J14" s="4"/>
      <c r="K14" s="4"/>
    </row>
    <row r="15" spans="1:11" s="2" customFormat="1" ht="24.75" customHeight="1" x14ac:dyDescent="0.2">
      <c r="A15" s="9">
        <f t="shared" si="0"/>
        <v>44784</v>
      </c>
      <c r="B15" s="4"/>
      <c r="C15" s="4"/>
      <c r="D15" s="4">
        <v>3</v>
      </c>
      <c r="E15" s="4"/>
      <c r="F15" s="4"/>
      <c r="G15" s="4"/>
      <c r="H15" s="4"/>
      <c r="I15" s="4"/>
      <c r="J15" s="4"/>
      <c r="K15" s="4"/>
    </row>
    <row r="16" spans="1:11" s="2" customFormat="1" ht="24.75" customHeight="1" x14ac:dyDescent="0.2">
      <c r="A16" s="9">
        <f t="shared" si="0"/>
        <v>44785</v>
      </c>
      <c r="B16" s="4"/>
      <c r="C16" s="4"/>
      <c r="D16" s="4">
        <v>3</v>
      </c>
      <c r="E16" s="4"/>
      <c r="F16" s="4"/>
      <c r="G16" s="4"/>
      <c r="H16" s="4"/>
      <c r="I16" s="4"/>
      <c r="J16" s="4"/>
      <c r="K16" s="4"/>
    </row>
    <row r="17" spans="1:11" s="2" customFormat="1" ht="24.75" customHeight="1" x14ac:dyDescent="0.2">
      <c r="A17" s="9">
        <f t="shared" si="0"/>
        <v>44786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s="2" customFormat="1" ht="24.75" customHeight="1" x14ac:dyDescent="0.2">
      <c r="A18" s="9">
        <f t="shared" si="0"/>
        <v>44787</v>
      </c>
      <c r="B18" s="10"/>
      <c r="C18" s="10"/>
      <c r="D18" s="10"/>
      <c r="E18" s="10"/>
      <c r="F18" s="10">
        <v>1</v>
      </c>
      <c r="G18" s="10"/>
      <c r="H18" s="10"/>
      <c r="I18" s="10"/>
      <c r="J18" s="10"/>
      <c r="K18" s="10"/>
    </row>
    <row r="19" spans="1:11" s="2" customFormat="1" ht="24.75" customHeight="1" x14ac:dyDescent="0.2">
      <c r="A19" s="9">
        <f t="shared" si="0"/>
        <v>44788</v>
      </c>
      <c r="B19" s="10">
        <v>8</v>
      </c>
      <c r="C19" s="10"/>
      <c r="D19" s="10"/>
      <c r="E19" s="10"/>
      <c r="F19" s="10">
        <v>2</v>
      </c>
      <c r="G19" s="10">
        <v>1</v>
      </c>
      <c r="H19" s="10"/>
      <c r="I19" s="10"/>
      <c r="J19" s="10"/>
      <c r="K19" s="10"/>
    </row>
    <row r="20" spans="1:11" s="2" customFormat="1" ht="24.75" customHeight="1" x14ac:dyDescent="0.2">
      <c r="A20" s="9">
        <f t="shared" si="0"/>
        <v>44789</v>
      </c>
      <c r="B20" s="10">
        <v>1</v>
      </c>
      <c r="C20" s="10"/>
      <c r="D20" s="10">
        <v>8</v>
      </c>
      <c r="E20" s="10"/>
      <c r="F20" s="10">
        <v>1</v>
      </c>
      <c r="G20" s="10"/>
      <c r="H20" s="10"/>
      <c r="I20" s="10"/>
      <c r="J20" s="10"/>
      <c r="K20" s="10"/>
    </row>
    <row r="21" spans="1:11" s="2" customFormat="1" ht="24.75" customHeight="1" x14ac:dyDescent="0.2">
      <c r="A21" s="9">
        <f t="shared" si="0"/>
        <v>44790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s="2" customFormat="1" ht="24.75" customHeight="1" x14ac:dyDescent="0.2">
      <c r="A22" s="9">
        <f t="shared" si="0"/>
        <v>44791</v>
      </c>
      <c r="B22" s="10"/>
      <c r="C22" s="10"/>
      <c r="D22" s="10">
        <v>16</v>
      </c>
      <c r="E22" s="10"/>
      <c r="F22" s="10"/>
      <c r="G22" s="10"/>
      <c r="H22" s="10"/>
      <c r="I22" s="10"/>
      <c r="J22" s="10"/>
      <c r="K22" s="10"/>
    </row>
    <row r="23" spans="1:11" s="2" customFormat="1" ht="24.75" customHeight="1" x14ac:dyDescent="0.2">
      <c r="A23" s="9">
        <f t="shared" si="0"/>
        <v>44792</v>
      </c>
      <c r="B23" s="10"/>
      <c r="C23" s="10"/>
      <c r="D23" s="10">
        <v>17</v>
      </c>
      <c r="E23" s="10">
        <v>1</v>
      </c>
      <c r="F23" s="10">
        <v>1</v>
      </c>
      <c r="G23" s="10">
        <v>1</v>
      </c>
      <c r="H23" s="10"/>
      <c r="I23" s="10"/>
      <c r="J23" s="10"/>
      <c r="K23" s="10"/>
    </row>
    <row r="24" spans="1:11" s="2" customFormat="1" ht="24.75" customHeight="1" x14ac:dyDescent="0.2">
      <c r="A24" s="9">
        <f t="shared" si="0"/>
        <v>44793</v>
      </c>
      <c r="B24" s="10">
        <v>17</v>
      </c>
      <c r="C24" s="10"/>
      <c r="D24" s="10">
        <v>10</v>
      </c>
      <c r="E24" s="10"/>
      <c r="F24" s="10">
        <v>1</v>
      </c>
      <c r="G24" s="10">
        <v>1</v>
      </c>
      <c r="H24" s="10"/>
      <c r="I24" s="10"/>
      <c r="J24" s="10"/>
      <c r="K24" s="10"/>
    </row>
    <row r="25" spans="1:11" s="2" customFormat="1" ht="24.75" customHeight="1" x14ac:dyDescent="0.2">
      <c r="A25" s="9">
        <f t="shared" si="0"/>
        <v>44794</v>
      </c>
      <c r="B25" s="10"/>
      <c r="C25" s="10"/>
      <c r="D25" s="10"/>
      <c r="E25" s="10"/>
      <c r="F25" s="10"/>
      <c r="G25" s="10">
        <v>1</v>
      </c>
      <c r="H25" s="10">
        <v>22</v>
      </c>
      <c r="I25" s="10"/>
      <c r="J25" s="10"/>
      <c r="K25" s="10"/>
    </row>
    <row r="26" spans="1:11" s="2" customFormat="1" ht="24.75" customHeight="1" x14ac:dyDescent="0.2">
      <c r="A26" s="9">
        <f t="shared" si="0"/>
        <v>44795</v>
      </c>
      <c r="B26" s="10"/>
      <c r="C26" s="10"/>
      <c r="D26" s="10"/>
      <c r="E26" s="10"/>
      <c r="F26" s="10">
        <v>1</v>
      </c>
      <c r="G26" s="10">
        <v>1</v>
      </c>
      <c r="H26" s="10"/>
      <c r="I26" s="10"/>
      <c r="J26" s="10"/>
      <c r="K26" s="10"/>
    </row>
    <row r="27" spans="1:11" s="2" customFormat="1" ht="24.75" customHeight="1" x14ac:dyDescent="0.2">
      <c r="A27" s="9">
        <f t="shared" si="0"/>
        <v>44796</v>
      </c>
      <c r="B27" s="10"/>
      <c r="C27" s="10"/>
      <c r="D27" s="10"/>
      <c r="E27" s="10"/>
      <c r="F27" s="10">
        <v>1</v>
      </c>
      <c r="G27" s="10">
        <v>1</v>
      </c>
      <c r="H27" s="10">
        <v>3</v>
      </c>
      <c r="I27" s="10"/>
      <c r="J27" s="10"/>
      <c r="K27" s="10"/>
    </row>
    <row r="28" spans="1:11" s="2" customFormat="1" ht="24.75" customHeight="1" x14ac:dyDescent="0.2">
      <c r="A28" s="9">
        <f t="shared" si="0"/>
        <v>44797</v>
      </c>
      <c r="B28" s="10">
        <v>4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s="2" customFormat="1" ht="24.75" customHeight="1" x14ac:dyDescent="0.2">
      <c r="A29" s="9">
        <f t="shared" si="0"/>
        <v>44798</v>
      </c>
      <c r="B29" s="10">
        <v>4</v>
      </c>
      <c r="C29" s="10"/>
      <c r="D29" s="10"/>
      <c r="E29" s="10"/>
      <c r="F29" s="10"/>
      <c r="G29" s="10"/>
      <c r="H29" s="10">
        <v>3</v>
      </c>
      <c r="I29" s="10"/>
      <c r="J29" s="10"/>
      <c r="K29" s="10"/>
    </row>
    <row r="30" spans="1:11" s="2" customFormat="1" ht="24.75" customHeight="1" x14ac:dyDescent="0.2">
      <c r="A30" s="9">
        <f t="shared" si="0"/>
        <v>44799</v>
      </c>
      <c r="B30" s="10"/>
      <c r="C30" s="10"/>
      <c r="D30" s="10"/>
      <c r="E30" s="10"/>
      <c r="F30" s="10">
        <v>1</v>
      </c>
      <c r="G30" s="10"/>
      <c r="H30" s="10"/>
      <c r="I30" s="10"/>
      <c r="J30" s="10"/>
      <c r="K30" s="10"/>
    </row>
    <row r="31" spans="1:11" s="2" customFormat="1" ht="24.75" customHeight="1" x14ac:dyDescent="0.2">
      <c r="A31" s="9">
        <f t="shared" si="0"/>
        <v>44800</v>
      </c>
      <c r="B31" s="10"/>
      <c r="C31" s="10"/>
      <c r="D31" s="10"/>
      <c r="E31" s="10"/>
      <c r="F31" s="10">
        <v>1</v>
      </c>
      <c r="G31" s="10">
        <v>1</v>
      </c>
      <c r="H31" s="10"/>
      <c r="I31" s="10"/>
      <c r="J31" s="10"/>
      <c r="K31" s="10"/>
    </row>
    <row r="32" spans="1:11" s="2" customFormat="1" ht="24.75" customHeight="1" x14ac:dyDescent="0.2">
      <c r="A32" s="9">
        <f t="shared" si="0"/>
        <v>44801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s="2" customFormat="1" ht="24.75" customHeight="1" x14ac:dyDescent="0.2">
      <c r="A33" s="9">
        <f t="shared" si="0"/>
        <v>44802</v>
      </c>
      <c r="B33" s="10"/>
      <c r="C33" s="10"/>
      <c r="D33" s="10"/>
      <c r="E33" s="10"/>
      <c r="F33" s="10">
        <v>1</v>
      </c>
      <c r="G33" s="10"/>
      <c r="H33" s="10"/>
      <c r="I33" s="10"/>
      <c r="J33" s="10"/>
      <c r="K33" s="10"/>
    </row>
    <row r="34" spans="1:11" s="2" customFormat="1" ht="24.75" customHeight="1" x14ac:dyDescent="0.2">
      <c r="A34" s="9">
        <f t="shared" si="0"/>
        <v>44803</v>
      </c>
      <c r="B34" s="10">
        <v>3</v>
      </c>
      <c r="C34" s="10">
        <v>1</v>
      </c>
      <c r="D34" s="10"/>
      <c r="E34" s="10"/>
      <c r="F34" s="10"/>
      <c r="G34" s="10">
        <v>1</v>
      </c>
      <c r="H34" s="10"/>
      <c r="I34" s="10"/>
      <c r="J34" s="10"/>
      <c r="K34" s="10"/>
    </row>
    <row r="35" spans="1:11" s="2" customFormat="1" ht="24.75" customHeight="1" x14ac:dyDescent="0.2">
      <c r="A35" s="9">
        <f t="shared" si="0"/>
        <v>44804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30" customHeight="1" x14ac:dyDescent="0.25">
      <c r="A36" s="6" t="s">
        <v>38</v>
      </c>
      <c r="B36" s="5">
        <f>SUM(Table13456[TUGAS 1])</f>
        <v>46</v>
      </c>
      <c r="C36" s="5">
        <f>SUM(Table13456[TUGAS 2])</f>
        <v>1</v>
      </c>
      <c r="D36" s="5">
        <f>SUM(Table13456[TUGAS 3])</f>
        <v>81</v>
      </c>
      <c r="E36" s="5">
        <f>SUM(Table13456[TUGAS 4])</f>
        <v>3</v>
      </c>
      <c r="F36" s="5">
        <f>SUM(Table13456[TUGAS 5])</f>
        <v>12</v>
      </c>
      <c r="G36" s="5">
        <f>SUM(Table13456[TUGAS 6])</f>
        <v>12</v>
      </c>
      <c r="H36" s="5">
        <f>SUM(Table13456[TUGAS 7])</f>
        <v>28</v>
      </c>
      <c r="I36" s="5">
        <f>SUM(Table13456[TUGAS 8])</f>
        <v>0</v>
      </c>
      <c r="J36" s="5">
        <f>SUM(Table13456[TUGAS 9])</f>
        <v>0</v>
      </c>
      <c r="K36" s="5">
        <f>SUM(Table13456[TUGAS 10])</f>
        <v>0</v>
      </c>
    </row>
    <row r="37" spans="1:11" ht="30" customHeight="1" x14ac:dyDescent="0.25">
      <c r="A37" s="7" t="s">
        <v>39</v>
      </c>
      <c r="B37" s="108">
        <v>3.75</v>
      </c>
      <c r="C37" s="108">
        <v>3.75</v>
      </c>
      <c r="D37" s="108">
        <v>3.75</v>
      </c>
      <c r="E37" s="108">
        <v>3.75</v>
      </c>
      <c r="F37" s="108">
        <v>7.5</v>
      </c>
      <c r="G37" s="108">
        <v>15</v>
      </c>
      <c r="H37" s="108">
        <v>3.75</v>
      </c>
      <c r="I37" s="108">
        <v>0</v>
      </c>
      <c r="J37" s="108">
        <v>0</v>
      </c>
      <c r="K37" s="108">
        <v>0</v>
      </c>
    </row>
    <row r="38" spans="1:11" ht="30" customHeight="1" x14ac:dyDescent="0.25">
      <c r="A38" s="8" t="s">
        <v>40</v>
      </c>
      <c r="B38" s="109">
        <f>B37*B36</f>
        <v>172.5</v>
      </c>
      <c r="C38" s="109">
        <f t="shared" ref="C38:K38" si="1">C37*C36</f>
        <v>3.75</v>
      </c>
      <c r="D38" s="109">
        <f t="shared" si="1"/>
        <v>303.75</v>
      </c>
      <c r="E38" s="109">
        <f t="shared" si="1"/>
        <v>11.25</v>
      </c>
      <c r="F38" s="109">
        <f t="shared" si="1"/>
        <v>90</v>
      </c>
      <c r="G38" s="109">
        <f t="shared" si="1"/>
        <v>180</v>
      </c>
      <c r="H38" s="109">
        <f t="shared" si="1"/>
        <v>105</v>
      </c>
      <c r="I38" s="109">
        <f t="shared" si="1"/>
        <v>0</v>
      </c>
      <c r="J38" s="109">
        <f t="shared" si="1"/>
        <v>0</v>
      </c>
      <c r="K38" s="109">
        <f t="shared" si="1"/>
        <v>0</v>
      </c>
    </row>
  </sheetData>
  <mergeCells count="3">
    <mergeCell ref="A2:K2"/>
    <mergeCell ref="A1:K1"/>
    <mergeCell ref="A3:K3"/>
  </mergeCells>
  <phoneticPr fontId="41" type="noConversion"/>
  <conditionalFormatting sqref="B5:B35">
    <cfRule type="expression" dxfId="18" priority="8" stopIfTrue="1">
      <formula>($A5="√")</formula>
    </cfRule>
  </conditionalFormatting>
  <conditionalFormatting sqref="A5">
    <cfRule type="expression" dxfId="17" priority="7" stopIfTrue="1">
      <formula>($A5="√")</formula>
    </cfRule>
  </conditionalFormatting>
  <conditionalFormatting sqref="A6 A8 A10 A12 A14 A16 A18 A20 A22 A24 A26 A28 A30 A32 A34">
    <cfRule type="expression" dxfId="16" priority="6" stopIfTrue="1">
      <formula>($A6="√")</formula>
    </cfRule>
  </conditionalFormatting>
  <conditionalFormatting sqref="A7 A9 A11 A13 A15 A17 A19 A21 A23 A25 A27 A29 A31 A33 A35">
    <cfRule type="expression" dxfId="15" priority="3" stopIfTrue="1">
      <formula>($A7="√")</formula>
    </cfRule>
  </conditionalFormatting>
  <conditionalFormatting sqref="C5:K35">
    <cfRule type="expression" dxfId="14" priority="1" stopIfTrue="1">
      <formula>($A5="√")</formula>
    </cfRule>
  </conditionalFormatting>
  <pageMargins left="0.25" right="0" top="0.25" bottom="0" header="0.3" footer="0.3"/>
  <pageSetup fitToHeight="0" orientation="portrait" r:id="rId1"/>
  <headerFooter scaleWithDoc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Data Summary</vt:lpstr>
      <vt:lpstr>Task Checklist</vt:lpstr>
      <vt:lpstr>'Invoice Data Summary'!Print_Area</vt:lpstr>
      <vt:lpstr>'Task Checklist'!Print_Area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Task Checklist Template</dc:title>
  <dc:creator>Jamshaid Ali</dc:creator>
  <dc:description>(c) 2017 Vertex42 LLC. All Rights Reserved.</dc:description>
  <cp:lastModifiedBy>syaa</cp:lastModifiedBy>
  <cp:lastPrinted>2021-06-16T22:24:45Z</cp:lastPrinted>
  <dcterms:created xsi:type="dcterms:W3CDTF">2017-01-09T18:01:51Z</dcterms:created>
  <dcterms:modified xsi:type="dcterms:W3CDTF">2023-07-03T05:41:57Z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1.0.1</vt:lpwstr>
  </property>
</Properties>
</file>