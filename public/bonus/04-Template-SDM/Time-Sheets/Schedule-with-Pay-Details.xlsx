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T:\Virus Media Localize\ProFinance Premium\Time Sheets\"/>
    </mc:Choice>
  </mc:AlternateContent>
  <xr:revisionPtr revIDLastSave="0" documentId="13_ncr:1_{AB042689-1615-46B4-B34D-C990E563E5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5" r:id="rId1"/>
    <sheet name="Week No. 01" sheetId="4" r:id="rId2"/>
    <sheet name="Week No. 02" sheetId="6" r:id="rId3"/>
    <sheet name="Week No. 03" sheetId="7" r:id="rId4"/>
    <sheet name="Week No. 04" sheetId="8" r:id="rId5"/>
  </sheets>
  <definedNames>
    <definedName name="_xlnm.Print_Area" localSheetId="0">Summary!$A$1:$M$45</definedName>
    <definedName name="_xlnm.Print_Area" localSheetId="1">'Week No. 01'!$A$1:$AI$47</definedName>
    <definedName name="_xlnm.Print_Area" localSheetId="2">'Week No. 02'!$A$1:$AI$47</definedName>
    <definedName name="_xlnm.Print_Area" localSheetId="3">'Week No. 03'!$A$1:$AI$47</definedName>
    <definedName name="_xlnm.Print_Area" localSheetId="4">'Week No. 04'!$A$1:$AI$47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7" roundtripDataSignature="AMtx7mixvSgMf+zvetV0WYu7VSiK5a1C8g=="/>
    </ext>
  </extLst>
</workbook>
</file>

<file path=xl/calcChain.xml><?xml version="1.0" encoding="utf-8"?>
<calcChain xmlns="http://schemas.openxmlformats.org/spreadsheetml/2006/main">
  <c r="D22" i="5" l="1"/>
  <c r="C22" i="5"/>
  <c r="J8" i="5"/>
  <c r="J22" i="5" s="1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H8" i="5"/>
  <c r="H22" i="5" s="1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F8" i="5"/>
  <c r="F22" i="5" s="1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E8" i="5"/>
  <c r="E22" i="5" s="1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C8" i="5"/>
  <c r="C11" i="5"/>
  <c r="C12" i="5"/>
  <c r="K12" i="5" s="1"/>
  <c r="C13" i="5"/>
  <c r="C14" i="5"/>
  <c r="C15" i="5"/>
  <c r="C16" i="5"/>
  <c r="K16" i="5" s="1"/>
  <c r="C17" i="5"/>
  <c r="C18" i="5"/>
  <c r="C19" i="5"/>
  <c r="C20" i="5"/>
  <c r="K20" i="5" s="1"/>
  <c r="C21" i="5"/>
  <c r="AG23" i="8"/>
  <c r="AG22" i="8"/>
  <c r="AG21" i="8"/>
  <c r="AG20" i="8"/>
  <c r="AG19" i="8"/>
  <c r="AG18" i="8"/>
  <c r="AG17" i="8"/>
  <c r="AG16" i="8"/>
  <c r="AG15" i="8"/>
  <c r="AG14" i="8"/>
  <c r="AG13" i="8"/>
  <c r="AG12" i="8"/>
  <c r="AG11" i="8"/>
  <c r="AG10" i="8"/>
  <c r="I8" i="5" s="1"/>
  <c r="I22" i="5" s="1"/>
  <c r="AG23" i="7"/>
  <c r="AG22" i="7"/>
  <c r="AG21" i="7"/>
  <c r="AG20" i="7"/>
  <c r="AG19" i="7"/>
  <c r="AG18" i="7"/>
  <c r="AG17" i="7"/>
  <c r="AG16" i="7"/>
  <c r="AG15" i="7"/>
  <c r="AG14" i="7"/>
  <c r="AG13" i="7"/>
  <c r="AG12" i="7"/>
  <c r="AG11" i="7"/>
  <c r="AG10" i="7"/>
  <c r="G8" i="5" s="1"/>
  <c r="G22" i="5" s="1"/>
  <c r="AG23" i="6"/>
  <c r="AG22" i="6"/>
  <c r="AG21" i="6"/>
  <c r="AG20" i="6"/>
  <c r="AG19" i="6"/>
  <c r="AG18" i="6"/>
  <c r="AG17" i="6"/>
  <c r="AG16" i="6"/>
  <c r="AG15" i="6"/>
  <c r="AG14" i="6"/>
  <c r="AG13" i="6"/>
  <c r="AG12" i="6"/>
  <c r="AG11" i="6"/>
  <c r="AG10" i="6"/>
  <c r="E7" i="4"/>
  <c r="I7" i="4" s="1"/>
  <c r="I6" i="4" s="1"/>
  <c r="E6" i="4"/>
  <c r="AG12" i="4"/>
  <c r="C10" i="5" s="1"/>
  <c r="AG13" i="4"/>
  <c r="AG14" i="4"/>
  <c r="AG15" i="4"/>
  <c r="AG16" i="4"/>
  <c r="AG17" i="4"/>
  <c r="AG18" i="4"/>
  <c r="AG19" i="4"/>
  <c r="AG20" i="4"/>
  <c r="AG21" i="4"/>
  <c r="AG22" i="4"/>
  <c r="AG23" i="4"/>
  <c r="AG11" i="4"/>
  <c r="C9" i="5" s="1"/>
  <c r="AG10" i="4"/>
  <c r="K11" i="5" l="1"/>
  <c r="K18" i="5"/>
  <c r="K15" i="5"/>
  <c r="K14" i="5"/>
  <c r="K21" i="5"/>
  <c r="K13" i="5"/>
  <c r="L19" i="5"/>
  <c r="K19" i="5"/>
  <c r="K9" i="5"/>
  <c r="K17" i="5"/>
  <c r="L11" i="5"/>
  <c r="K10" i="5"/>
  <c r="L10" i="5"/>
  <c r="L18" i="5"/>
  <c r="L8" i="5"/>
  <c r="L12" i="5"/>
  <c r="L20" i="5"/>
  <c r="L16" i="5"/>
  <c r="L17" i="5"/>
  <c r="L14" i="5"/>
  <c r="K8" i="5"/>
  <c r="L21" i="5"/>
  <c r="L13" i="5"/>
  <c r="L9" i="5"/>
  <c r="L15" i="5"/>
  <c r="M7" i="4"/>
  <c r="M6" i="4" s="1"/>
  <c r="Q7" i="4"/>
  <c r="L22" i="5" l="1"/>
  <c r="K22" i="5"/>
  <c r="Q6" i="4"/>
  <c r="U7" i="4"/>
  <c r="Y7" i="4" l="1"/>
  <c r="U6" i="4"/>
  <c r="Y6" i="4" l="1"/>
  <c r="AC7" i="4"/>
  <c r="AC6" i="4" l="1"/>
  <c r="B4" i="6"/>
  <c r="E7" i="6" s="1"/>
  <c r="I7" i="6" l="1"/>
  <c r="E6" i="6"/>
  <c r="I6" i="6" l="1"/>
  <c r="M7" i="6"/>
  <c r="Q7" i="6" l="1"/>
  <c r="M6" i="6"/>
  <c r="U7" i="6" l="1"/>
  <c r="Q6" i="6"/>
  <c r="U6" i="6" l="1"/>
  <c r="Y7" i="6"/>
  <c r="AC7" i="6" l="1"/>
  <c r="Y6" i="6"/>
  <c r="AC6" i="6" l="1"/>
  <c r="B4" i="7"/>
  <c r="E7" i="7" s="1"/>
  <c r="I7" i="7" l="1"/>
  <c r="E6" i="7"/>
  <c r="M7" i="7" l="1"/>
  <c r="I6" i="7"/>
  <c r="M6" i="7" l="1"/>
  <c r="Q7" i="7"/>
  <c r="U7" i="7" l="1"/>
  <c r="Q6" i="7"/>
  <c r="Y7" i="7" l="1"/>
  <c r="U6" i="7"/>
  <c r="AC7" i="7" l="1"/>
  <c r="Y6" i="7"/>
  <c r="AC6" i="7" l="1"/>
  <c r="B4" i="8"/>
  <c r="E7" i="8" s="1"/>
  <c r="E6" i="8" l="1"/>
  <c r="I7" i="8"/>
  <c r="M7" i="8" l="1"/>
  <c r="I6" i="8"/>
  <c r="Q7" i="8" l="1"/>
  <c r="M6" i="8"/>
  <c r="U7" i="8" l="1"/>
  <c r="Q6" i="8"/>
  <c r="Y7" i="8" l="1"/>
  <c r="U6" i="8"/>
  <c r="AC7" i="8" l="1"/>
  <c r="AC6" i="8" s="1"/>
  <c r="Y6" i="8"/>
</calcChain>
</file>

<file path=xl/sharedStrings.xml><?xml version="1.0" encoding="utf-8"?>
<sst xmlns="http://schemas.openxmlformats.org/spreadsheetml/2006/main" count="323" uniqueCount="53">
  <si>
    <t>MICHELLE</t>
  </si>
  <si>
    <t>206 304 1211</t>
  </si>
  <si>
    <t>BRITTANY</t>
  </si>
  <si>
    <t>503 515 4795</t>
  </si>
  <si>
    <t>ANTONIO</t>
  </si>
  <si>
    <t>IGNACIO</t>
  </si>
  <si>
    <t>MADI</t>
  </si>
  <si>
    <t>425 306 6610</t>
  </si>
  <si>
    <t>CINDIE</t>
  </si>
  <si>
    <t>JAMES</t>
  </si>
  <si>
    <t>425 504 0873</t>
  </si>
  <si>
    <t>KATIE</t>
  </si>
  <si>
    <t>206 930 8136</t>
  </si>
  <si>
    <t>JASON</t>
  </si>
  <si>
    <t>425 480 2452</t>
  </si>
  <si>
    <t>DAWSYN</t>
  </si>
  <si>
    <t>505 414 3838</t>
  </si>
  <si>
    <t>BELLE</t>
  </si>
  <si>
    <t>443 789 3923</t>
  </si>
  <si>
    <t>PAUL</t>
  </si>
  <si>
    <t>206 948 9784</t>
  </si>
  <si>
    <t>YOVKA</t>
  </si>
  <si>
    <t>KATIE FITE</t>
  </si>
  <si>
    <t>LUNCH</t>
  </si>
  <si>
    <t>DINNER</t>
  </si>
  <si>
    <t>Dinning Room Staff</t>
  </si>
  <si>
    <t>Bar Staff</t>
  </si>
  <si>
    <t>Banquet Staff</t>
  </si>
  <si>
    <t>Snack Shack</t>
  </si>
  <si>
    <t>Overlake Cafe</t>
  </si>
  <si>
    <t xml:space="preserve">WEEKLY SCHEDULE </t>
  </si>
  <si>
    <t>Week Start Date</t>
  </si>
  <si>
    <t>Total of the Month</t>
  </si>
  <si>
    <t>JADWAL MINGGUAN</t>
  </si>
  <si>
    <t>Tanggal Mulai Minggu</t>
  </si>
  <si>
    <t>NAMA</t>
  </si>
  <si>
    <t>NOMOR HP</t>
  </si>
  <si>
    <t>BAGIAN TIM</t>
  </si>
  <si>
    <t>Mulai</t>
  </si>
  <si>
    <t>Selesai</t>
  </si>
  <si>
    <t>Total Jam</t>
  </si>
  <si>
    <t>Tarif per Jam</t>
  </si>
  <si>
    <t>Jumlah Pembayaran</t>
  </si>
  <si>
    <t>Tanggal Minggu Mulai</t>
  </si>
  <si>
    <t xml:space="preserve">Mulai </t>
  </si>
  <si>
    <t>RINGKASAN JADWAL MINGGUAN</t>
  </si>
  <si>
    <t>UNTUK BULAN MARET-2022
V</t>
  </si>
  <si>
    <t>Jam</t>
  </si>
  <si>
    <t>Minggu No.1</t>
  </si>
  <si>
    <t>Minggu No.2</t>
  </si>
  <si>
    <t>Minggu No.3</t>
  </si>
  <si>
    <t>Minggu No.4</t>
  </si>
  <si>
    <t>Pembayaran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</si>
</sst>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h:mm\ AM/PM;@"/>
    <numFmt numFmtId="165" formatCode="&quot;$&quot;#,##0.00"/>
    <numFmt numFmtId="166" formatCode="[$-409]d\-mmm\-yy;@"/>
    <numFmt numFmtId="167" formatCode="_([$IDR]\ * #,##0.00_);_([$IDR]\ * \(#,##0.00\);_([$IDR]\ * &quot;-&quot;??_);_(@_)"/>
  </numFmts>
  <fonts count="9" x14ac:knownFonts="1">
    <font>
      <sz val="12"/>
      <color theme="1"/>
      <name val="Calibri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8"/>
      <color theme="5" tint="-0.249977111117893"/>
      <name val="Times New Roman"/>
      <family val="1"/>
    </font>
    <font>
      <sz val="12"/>
      <color theme="5" tint="-0.249977111117893"/>
      <name val="Times New Roman"/>
      <family val="1"/>
    </font>
    <font>
      <sz val="14"/>
      <color theme="5" tint="-0.249977111117893"/>
      <name val="Times New Roman"/>
      <family val="1"/>
    </font>
    <font>
      <b/>
      <sz val="20"/>
      <color theme="5" tint="-0.249977111117893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theme="5" tint="0.59999389629810485"/>
        </stop>
        <stop position="1">
          <color theme="5" tint="0.40000610370189521"/>
        </stop>
      </gradient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5" tint="-0.249977111117893"/>
      </left>
      <right style="medium">
        <color theme="0"/>
      </right>
      <top style="medium">
        <color theme="5" tint="-0.249977111117893"/>
      </top>
      <bottom/>
      <diagonal/>
    </border>
    <border>
      <left style="medium">
        <color theme="0"/>
      </left>
      <right/>
      <top style="medium">
        <color theme="5" tint="-0.249977111117893"/>
      </top>
      <bottom style="thin">
        <color theme="0"/>
      </bottom>
      <diagonal/>
    </border>
    <border>
      <left/>
      <right style="thin">
        <color theme="0"/>
      </right>
      <top style="medium">
        <color theme="5" tint="-0.249977111117893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5" tint="-0.249977111117893"/>
      </top>
      <bottom/>
      <diagonal/>
    </border>
    <border>
      <left style="thin">
        <color theme="0"/>
      </left>
      <right style="medium">
        <color theme="5" tint="-0.249977111117893"/>
      </right>
      <top style="medium">
        <color theme="5" tint="-0.249977111117893"/>
      </top>
      <bottom/>
      <diagonal/>
    </border>
    <border>
      <left style="medium">
        <color theme="5" tint="-0.249977111117893"/>
      </left>
      <right style="medium">
        <color theme="0"/>
      </right>
      <top/>
      <bottom style="medium">
        <color theme="5" tint="-0.249977111117893"/>
      </bottom>
      <diagonal/>
    </border>
    <border>
      <left/>
      <right style="thin">
        <color theme="0"/>
      </right>
      <top style="thin">
        <color theme="0"/>
      </top>
      <bottom style="medium">
        <color theme="5" tint="-0.249977111117893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5" tint="-0.249977111117893"/>
      </bottom>
      <diagonal/>
    </border>
    <border>
      <left style="thin">
        <color theme="0"/>
      </left>
      <right style="thin">
        <color theme="0"/>
      </right>
      <top/>
      <bottom style="medium">
        <color theme="5" tint="-0.249977111117893"/>
      </bottom>
      <diagonal/>
    </border>
    <border>
      <left style="thin">
        <color theme="0"/>
      </left>
      <right style="medium">
        <color theme="5" tint="-0.249977111117893"/>
      </right>
      <top/>
      <bottom style="medium">
        <color theme="5" tint="-0.249977111117893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6" fontId="4" fillId="2" borderId="9" xfId="0" applyNumberFormat="1" applyFont="1" applyFill="1" applyBorder="1" applyAlignment="1">
      <alignment horizontal="center" vertical="center" wrapText="1"/>
    </xf>
    <xf numFmtId="166" fontId="4" fillId="2" borderId="10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2" fontId="2" fillId="0" borderId="0" xfId="0" applyNumberFormat="1" applyFont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6" fontId="4" fillId="2" borderId="2" xfId="0" applyNumberFormat="1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167" fontId="1" fillId="0" borderId="0" xfId="0" applyNumberFormat="1" applyFont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67" fontId="2" fillId="0" borderId="0" xfId="0" applyNumberFormat="1" applyFon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167"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left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67" formatCode="_([$IDR]\ * #,##0.00_);_([$IDR]\ * \(#,##0.00\);_([$IDR]\ 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7" formatCode="_([$IDR]\ * #,##0.00_);_([$IDR]\ * \(#,##0.00\);_([$IDR]\ * &quot;-&quot;??_);_(@_)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7" formatCode="_([$IDR]\ * #,##0.00_);_([$IDR]\ * \(#,##0.00\);_([$IDR]\ * &quot;-&quot;??_);_(@_)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7" formatCode="_([$IDR]\ * #,##0.00_);_([$IDR]\ * \(#,##0.00\);_([$IDR]\ * &quot;-&quot;??_);_(@_)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7" formatCode="_([$IDR]\ * #,##0.00_);_([$IDR]\ * \(#,##0.00\);_([$IDR]\ 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7" formatCode="_([$IDR]\ * #,##0.00_);_([$IDR]\ * \(#,##0.00\);_([$IDR]\ * &quot;-&quot;??_);_(@_)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7" formatCode="_([$IDR]\ * #,##0.00_);_([$IDR]\ * \(#,##0.00\);_([$IDR]\ 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7" formatCode="_([$IDR]\ * #,##0.00_);_([$IDR]\ * \(#,##0.00\);_([$IDR]\ * &quot;-&quot;??_);_(@_)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7" formatCode="_([$IDR]\ * #,##0.00_);_([$IDR]\ * \(#,##0.00\);_([$IDR]\ 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7" formatCode="_([$IDR]\ * #,##0.00_);_([$IDR]\ * \(#,##0.00\);_([$IDR]\ * &quot;-&quot;??_);_(@_)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7" formatCode="_([$IDR]\ * #,##0.00_);_([$IDR]\ * \(#,##0.00\);_([$IDR]\ * &quot;-&quot;??_);_(@_)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7" formatCode="_([$IDR]\ * #,##0.00_);_([$IDR]\ * \(#,##0.00\);_([$IDR]\ * &quot;-&quot;??_);_(@_)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5" formatCode="&quot;$&quot;#,##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5" formatCode="&quot;$&quot;#,##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Times New Roman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Times New Roman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5" formatCode="&quot;$&quot;#,##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5" formatCode="&quot;$&quot;#,##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Times New Roman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5" formatCode="&quot;$&quot;#,##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5" formatCode="&quot;$&quot;#,##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13" displayName="Table13" ref="B8:L22" headerRowCount="0" totalsRowCount="1" headerRowDxfId="166" dataDxfId="165">
  <tableColumns count="11">
    <tableColumn id="3" xr3:uid="{00000000-0010-0000-0000-000003000000}" name="Column3" totalsRowLabel="Total of the Month" dataDxfId="0"/>
    <tableColumn id="4" xr3:uid="{00000000-0010-0000-0000-000004000000}" name="Column4" totalsRowFunction="countNums" dataDxfId="20" totalsRowDxfId="2">
      <calculatedColumnFormula>SUMIF(Table1[[#All],[Column3]],Table13[[#This Row],[Column3]],Table1[[#All],[Column32]])</calculatedColumnFormula>
    </tableColumn>
    <tableColumn id="5" xr3:uid="{00000000-0010-0000-0000-000005000000}" name="Column5" totalsRowFunction="count" dataDxfId="19" totalsRowDxfId="1">
      <calculatedColumnFormula>SUMIF(Table1[[#All],[Column3]],Table13[[#This Row],[Column3]],Table1[[#All],[Column34]])</calculatedColumnFormula>
    </tableColumn>
    <tableColumn id="6" xr3:uid="{00000000-0010-0000-0000-000006000000}" name="Column6" totalsRowFunction="sum" dataDxfId="18" totalsRowDxfId="17">
      <calculatedColumnFormula>SUMIF(Table14[[#All],[Column3]],Table13[[#This Row],[Column3]],Table14[[#All],[Column32]])</calculatedColumnFormula>
    </tableColumn>
    <tableColumn id="7" xr3:uid="{00000000-0010-0000-0000-000007000000}" name="Column7" totalsRowFunction="sum" dataDxfId="16" totalsRowDxfId="15">
      <calculatedColumnFormula>SUMIF(Table14[[#All],[Column3]],Table13[[#This Row],[Column3]],Table14[[#All],[Column34]])</calculatedColumnFormula>
    </tableColumn>
    <tableColumn id="8" xr3:uid="{00000000-0010-0000-0000-000008000000}" name="Column8" totalsRowFunction="sum" dataDxfId="14" totalsRowDxfId="13">
      <calculatedColumnFormula>SUMIF(Table145[[#All],[Column3]],Table13[[#This Row],[Column3]],Table145[[#All],[Column32]])</calculatedColumnFormula>
    </tableColumn>
    <tableColumn id="9" xr3:uid="{00000000-0010-0000-0000-000009000000}" name="Column9" totalsRowFunction="sum" dataDxfId="12" totalsRowDxfId="11">
      <calculatedColumnFormula>SUMIF(Table145[[#All],[Column3]],Table13[[#This Row],[Column3]],Table145[[#All],[Column34]])</calculatedColumnFormula>
    </tableColumn>
    <tableColumn id="10" xr3:uid="{00000000-0010-0000-0000-00000A000000}" name="Column10" totalsRowFunction="sum" dataDxfId="10" totalsRowDxfId="9">
      <calculatedColumnFormula>SUMIF(Table1456[[#All],[Column3]],Table13[[#This Row],[Column3]],Table1456[[#All],[Column32]])</calculatedColumnFormula>
    </tableColumn>
    <tableColumn id="11" xr3:uid="{00000000-0010-0000-0000-00000B000000}" name="Column11" totalsRowFunction="sum" dataDxfId="8" totalsRowDxfId="7">
      <calculatedColumnFormula>SUMIF(Table1456[[#All],[Column3]],Table13[[#This Row],[Column3]],Table1456[[#All],[Column34]])</calculatedColumnFormula>
    </tableColumn>
    <tableColumn id="32" xr3:uid="{00000000-0010-0000-0000-000020000000}" name="Column32" totalsRowFunction="sum" dataDxfId="6" totalsRowDxfId="5">
      <calculatedColumnFormula>((D10-C10)+(F10-E10)+(H10-G10)+(J10-I10)+(#REF!-#REF!)+(#REF!-#REF!)+(#REF!-#REF!)+(#REF!-#REF!)+(#REF!-#REF!)+(#REF!-#REF!)+(#REF!-#REF!)+(#REF!-#REF!)+(#REF!-#REF!)+(#REF!-#REF!))*24</calculatedColumnFormula>
    </tableColumn>
    <tableColumn id="34" xr3:uid="{00000000-0010-0000-0000-000022000000}" name="Column34" totalsRowFunction="sum" dataDxfId="4" totalsRowDxfId="3">
      <calculatedColumnFormula>Table13[[#This Row],[Column11]]+Table13[[#This Row],[Column9]]+Table13[[#This Row],[Column7]]+Table13[[#This Row],[Column5]]</calculatedColumnFormula>
    </tableColumn>
  </tableColumns>
  <tableStyleInfo name="TableStyleLight1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B10:AI23" headerRowCount="0" totalsRowShown="0" headerRowDxfId="164" dataDxfId="163">
  <tableColumns count="34">
    <tableColumn id="1" xr3:uid="{00000000-0010-0000-0100-000001000000}" name="Column1" dataDxfId="162"/>
    <tableColumn id="2" xr3:uid="{00000000-0010-0000-0100-000002000000}" name="Column2" dataDxfId="161"/>
    <tableColumn id="3" xr3:uid="{00000000-0010-0000-0100-000003000000}" name="Column3" dataDxfId="160"/>
    <tableColumn id="4" xr3:uid="{00000000-0010-0000-0100-000004000000}" name="Column4" dataDxfId="159"/>
    <tableColumn id="5" xr3:uid="{00000000-0010-0000-0100-000005000000}" name="Column5" dataDxfId="158"/>
    <tableColumn id="6" xr3:uid="{00000000-0010-0000-0100-000006000000}" name="Column6" dataDxfId="157"/>
    <tableColumn id="7" xr3:uid="{00000000-0010-0000-0100-000007000000}" name="Column7" dataDxfId="156"/>
    <tableColumn id="8" xr3:uid="{00000000-0010-0000-0100-000008000000}" name="Column8" dataDxfId="155"/>
    <tableColumn id="9" xr3:uid="{00000000-0010-0000-0100-000009000000}" name="Column9" dataDxfId="154"/>
    <tableColumn id="10" xr3:uid="{00000000-0010-0000-0100-00000A000000}" name="Column10" dataDxfId="153"/>
    <tableColumn id="11" xr3:uid="{00000000-0010-0000-0100-00000B000000}" name="Column11" dataDxfId="152"/>
    <tableColumn id="12" xr3:uid="{00000000-0010-0000-0100-00000C000000}" name="Column12" dataDxfId="151"/>
    <tableColumn id="13" xr3:uid="{00000000-0010-0000-0100-00000D000000}" name="Column13" dataDxfId="150"/>
    <tableColumn id="14" xr3:uid="{00000000-0010-0000-0100-00000E000000}" name="Column14" dataDxfId="149"/>
    <tableColumn id="15" xr3:uid="{00000000-0010-0000-0100-00000F000000}" name="Column15" dataDxfId="148"/>
    <tableColumn id="16" xr3:uid="{00000000-0010-0000-0100-000010000000}" name="Column16" dataDxfId="147"/>
    <tableColumn id="17" xr3:uid="{00000000-0010-0000-0100-000011000000}" name="Column17" dataDxfId="146"/>
    <tableColumn id="18" xr3:uid="{00000000-0010-0000-0100-000012000000}" name="Column18" dataDxfId="145"/>
    <tableColumn id="19" xr3:uid="{00000000-0010-0000-0100-000013000000}" name="Column19" dataDxfId="144"/>
    <tableColumn id="20" xr3:uid="{00000000-0010-0000-0100-000014000000}" name="Column20" dataDxfId="143"/>
    <tableColumn id="21" xr3:uid="{00000000-0010-0000-0100-000015000000}" name="Column21" dataDxfId="142"/>
    <tableColumn id="22" xr3:uid="{00000000-0010-0000-0100-000016000000}" name="Column22" dataDxfId="141"/>
    <tableColumn id="23" xr3:uid="{00000000-0010-0000-0100-000017000000}" name="Column23" dataDxfId="140"/>
    <tableColumn id="24" xr3:uid="{00000000-0010-0000-0100-000018000000}" name="Column24" dataDxfId="139"/>
    <tableColumn id="25" xr3:uid="{00000000-0010-0000-0100-000019000000}" name="Column25" dataDxfId="138"/>
    <tableColumn id="26" xr3:uid="{00000000-0010-0000-0100-00001A000000}" name="Column26" dataDxfId="137"/>
    <tableColumn id="27" xr3:uid="{00000000-0010-0000-0100-00001B000000}" name="Column27" dataDxfId="136"/>
    <tableColumn id="28" xr3:uid="{00000000-0010-0000-0100-00001C000000}" name="Column28" dataDxfId="135"/>
    <tableColumn id="29" xr3:uid="{00000000-0010-0000-0100-00001D000000}" name="Column29" dataDxfId="134"/>
    <tableColumn id="30" xr3:uid="{00000000-0010-0000-0100-00001E000000}" name="Column30" dataDxfId="133"/>
    <tableColumn id="31" xr3:uid="{00000000-0010-0000-0100-00001F000000}" name="Column31" dataDxfId="132"/>
    <tableColumn id="32" xr3:uid="{00000000-0010-0000-0100-000020000000}" name="Column32" dataDxfId="131"/>
    <tableColumn id="33" xr3:uid="{00000000-0010-0000-0100-000021000000}" name="Column33" dataDxfId="130"/>
    <tableColumn id="34" xr3:uid="{00000000-0010-0000-0100-000022000000}" name="Column34" dataDxfId="129"/>
  </tableColumns>
  <tableStyleInfo name="TableStyleLight1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14" displayName="Table14" ref="B10:AI23" headerRowCount="0" totalsRowShown="0" headerRowDxfId="128" dataDxfId="127">
  <tableColumns count="34">
    <tableColumn id="1" xr3:uid="{00000000-0010-0000-0200-000001000000}" name="Column1" dataDxfId="126"/>
    <tableColumn id="2" xr3:uid="{00000000-0010-0000-0200-000002000000}" name="Column2" dataDxfId="125"/>
    <tableColumn id="3" xr3:uid="{00000000-0010-0000-0200-000003000000}" name="Column3" dataDxfId="124"/>
    <tableColumn id="4" xr3:uid="{00000000-0010-0000-0200-000004000000}" name="Column4" dataDxfId="123"/>
    <tableColumn id="5" xr3:uid="{00000000-0010-0000-0200-000005000000}" name="Column5" dataDxfId="122"/>
    <tableColumn id="6" xr3:uid="{00000000-0010-0000-0200-000006000000}" name="Column6" dataDxfId="121"/>
    <tableColumn id="7" xr3:uid="{00000000-0010-0000-0200-000007000000}" name="Column7" dataDxfId="120"/>
    <tableColumn id="8" xr3:uid="{00000000-0010-0000-0200-000008000000}" name="Column8" dataDxfId="119"/>
    <tableColumn id="9" xr3:uid="{00000000-0010-0000-0200-000009000000}" name="Column9" dataDxfId="118"/>
    <tableColumn id="10" xr3:uid="{00000000-0010-0000-0200-00000A000000}" name="Column10" dataDxfId="117"/>
    <tableColumn id="11" xr3:uid="{00000000-0010-0000-0200-00000B000000}" name="Column11" dataDxfId="116"/>
    <tableColumn id="12" xr3:uid="{00000000-0010-0000-0200-00000C000000}" name="Column12" dataDxfId="115"/>
    <tableColumn id="13" xr3:uid="{00000000-0010-0000-0200-00000D000000}" name="Column13" dataDxfId="114"/>
    <tableColumn id="14" xr3:uid="{00000000-0010-0000-0200-00000E000000}" name="Column14" dataDxfId="113"/>
    <tableColumn id="15" xr3:uid="{00000000-0010-0000-0200-00000F000000}" name="Column15" dataDxfId="112"/>
    <tableColumn id="16" xr3:uid="{00000000-0010-0000-0200-000010000000}" name="Column16" dataDxfId="111"/>
    <tableColumn id="17" xr3:uid="{00000000-0010-0000-0200-000011000000}" name="Column17" dataDxfId="110"/>
    <tableColumn id="18" xr3:uid="{00000000-0010-0000-0200-000012000000}" name="Column18" dataDxfId="109"/>
    <tableColumn id="19" xr3:uid="{00000000-0010-0000-0200-000013000000}" name="Column19" dataDxfId="108"/>
    <tableColumn id="20" xr3:uid="{00000000-0010-0000-0200-000014000000}" name="Column20" dataDxfId="107"/>
    <tableColumn id="21" xr3:uid="{00000000-0010-0000-0200-000015000000}" name="Column21" dataDxfId="106"/>
    <tableColumn id="22" xr3:uid="{00000000-0010-0000-0200-000016000000}" name="Column22" dataDxfId="105"/>
    <tableColumn id="23" xr3:uid="{00000000-0010-0000-0200-000017000000}" name="Column23" dataDxfId="104"/>
    <tableColumn id="24" xr3:uid="{00000000-0010-0000-0200-000018000000}" name="Column24" dataDxfId="103"/>
    <tableColumn id="25" xr3:uid="{00000000-0010-0000-0200-000019000000}" name="Column25" dataDxfId="102"/>
    <tableColumn id="26" xr3:uid="{00000000-0010-0000-0200-00001A000000}" name="Column26" dataDxfId="101"/>
    <tableColumn id="27" xr3:uid="{00000000-0010-0000-0200-00001B000000}" name="Column27" dataDxfId="100"/>
    <tableColumn id="28" xr3:uid="{00000000-0010-0000-0200-00001C000000}" name="Column28" dataDxfId="99"/>
    <tableColumn id="29" xr3:uid="{00000000-0010-0000-0200-00001D000000}" name="Column29" dataDxfId="98"/>
    <tableColumn id="30" xr3:uid="{00000000-0010-0000-0200-00001E000000}" name="Column30" dataDxfId="97"/>
    <tableColumn id="31" xr3:uid="{00000000-0010-0000-0200-00001F000000}" name="Column31" dataDxfId="96"/>
    <tableColumn id="32" xr3:uid="{00000000-0010-0000-0200-000020000000}" name="Column32" dataDxfId="95">
      <calculatedColumnFormula>((F10-E10)+(H10-G10)+(J10-I10)+(L10-K10)+(N10-M10)+(P10-O10)+(R10-Q10)+(T10-S10)+(V10-U10)+(X10-W10)+(Z10-Y10)+(AB10-AA10)+(AD10-AC10)+(AF10-AE10))*24</calculatedColumnFormula>
    </tableColumn>
    <tableColumn id="33" xr3:uid="{00000000-0010-0000-0200-000021000000}" name="Column33" dataDxfId="94"/>
    <tableColumn id="34" xr3:uid="{00000000-0010-0000-0200-000022000000}" name="Column34" dataDxfId="93"/>
  </tableColumns>
  <tableStyleInfo name="TableStyleLight1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145" displayName="Table145" ref="B10:AI23" headerRowCount="0" totalsRowShown="0" headerRowDxfId="92" dataDxfId="91">
  <tableColumns count="34">
    <tableColumn id="1" xr3:uid="{00000000-0010-0000-0300-000001000000}" name="Column1" dataDxfId="90"/>
    <tableColumn id="2" xr3:uid="{00000000-0010-0000-0300-000002000000}" name="Column2" dataDxfId="89"/>
    <tableColumn id="3" xr3:uid="{00000000-0010-0000-0300-000003000000}" name="Column3" dataDxfId="88"/>
    <tableColumn id="4" xr3:uid="{00000000-0010-0000-0300-000004000000}" name="Column4" dataDxfId="87"/>
    <tableColumn id="5" xr3:uid="{00000000-0010-0000-0300-000005000000}" name="Column5" dataDxfId="86"/>
    <tableColumn id="6" xr3:uid="{00000000-0010-0000-0300-000006000000}" name="Column6" dataDxfId="85"/>
    <tableColumn id="7" xr3:uid="{00000000-0010-0000-0300-000007000000}" name="Column7" dataDxfId="84"/>
    <tableColumn id="8" xr3:uid="{00000000-0010-0000-0300-000008000000}" name="Column8" dataDxfId="83"/>
    <tableColumn id="9" xr3:uid="{00000000-0010-0000-0300-000009000000}" name="Column9" dataDxfId="82"/>
    <tableColumn id="10" xr3:uid="{00000000-0010-0000-0300-00000A000000}" name="Column10" dataDxfId="81"/>
    <tableColumn id="11" xr3:uid="{00000000-0010-0000-0300-00000B000000}" name="Column11" dataDxfId="80"/>
    <tableColumn id="12" xr3:uid="{00000000-0010-0000-0300-00000C000000}" name="Column12" dataDxfId="79"/>
    <tableColumn id="13" xr3:uid="{00000000-0010-0000-0300-00000D000000}" name="Column13" dataDxfId="78"/>
    <tableColumn id="14" xr3:uid="{00000000-0010-0000-0300-00000E000000}" name="Column14" dataDxfId="77"/>
    <tableColumn id="15" xr3:uid="{00000000-0010-0000-0300-00000F000000}" name="Column15" dataDxfId="76"/>
    <tableColumn id="16" xr3:uid="{00000000-0010-0000-0300-000010000000}" name="Column16" dataDxfId="75"/>
    <tableColumn id="17" xr3:uid="{00000000-0010-0000-0300-000011000000}" name="Column17" dataDxfId="74"/>
    <tableColumn id="18" xr3:uid="{00000000-0010-0000-0300-000012000000}" name="Column18" dataDxfId="73"/>
    <tableColumn id="19" xr3:uid="{00000000-0010-0000-0300-000013000000}" name="Column19" dataDxfId="72"/>
    <tableColumn id="20" xr3:uid="{00000000-0010-0000-0300-000014000000}" name="Column20" dataDxfId="71"/>
    <tableColumn id="21" xr3:uid="{00000000-0010-0000-0300-000015000000}" name="Column21" dataDxfId="70"/>
    <tableColumn id="22" xr3:uid="{00000000-0010-0000-0300-000016000000}" name="Column22" dataDxfId="69"/>
    <tableColumn id="23" xr3:uid="{00000000-0010-0000-0300-000017000000}" name="Column23" dataDxfId="68"/>
    <tableColumn id="24" xr3:uid="{00000000-0010-0000-0300-000018000000}" name="Column24" dataDxfId="67"/>
    <tableColumn id="25" xr3:uid="{00000000-0010-0000-0300-000019000000}" name="Column25" dataDxfId="66"/>
    <tableColumn id="26" xr3:uid="{00000000-0010-0000-0300-00001A000000}" name="Column26" dataDxfId="65"/>
    <tableColumn id="27" xr3:uid="{00000000-0010-0000-0300-00001B000000}" name="Column27" dataDxfId="64"/>
    <tableColumn id="28" xr3:uid="{00000000-0010-0000-0300-00001C000000}" name="Column28" dataDxfId="63"/>
    <tableColumn id="29" xr3:uid="{00000000-0010-0000-0300-00001D000000}" name="Column29" dataDxfId="62"/>
    <tableColumn id="30" xr3:uid="{00000000-0010-0000-0300-00001E000000}" name="Column30" dataDxfId="61"/>
    <tableColumn id="31" xr3:uid="{00000000-0010-0000-0300-00001F000000}" name="Column31" dataDxfId="60"/>
    <tableColumn id="32" xr3:uid="{00000000-0010-0000-0300-000020000000}" name="Column32" dataDxfId="59">
      <calculatedColumnFormula>((F10-E10)+(H10-G10)+(J10-I10)+(L10-K10)+(N10-M10)+(P10-O10)+(R10-Q10)+(T10-S10)+(V10-U10)+(X10-W10)+(Z10-Y10)+(AB10-AA10)+(AD10-AC10)+(AF10-AE10))*24</calculatedColumnFormula>
    </tableColumn>
    <tableColumn id="33" xr3:uid="{00000000-0010-0000-0300-000021000000}" name="Column33" dataDxfId="22"/>
    <tableColumn id="34" xr3:uid="{00000000-0010-0000-0300-000022000000}" name="Column34" dataDxfId="21"/>
  </tableColumns>
  <tableStyleInfo name="TableStyleLight1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1456" displayName="Table1456" ref="B10:AI23" headerRowCount="0" totalsRowShown="0" headerRowDxfId="58" dataDxfId="57">
  <tableColumns count="34">
    <tableColumn id="1" xr3:uid="{00000000-0010-0000-0400-000001000000}" name="Column1" dataDxfId="56"/>
    <tableColumn id="2" xr3:uid="{00000000-0010-0000-0400-000002000000}" name="Column2" dataDxfId="55"/>
    <tableColumn id="3" xr3:uid="{00000000-0010-0000-0400-000003000000}" name="Column3" dataDxfId="54"/>
    <tableColumn id="4" xr3:uid="{00000000-0010-0000-0400-000004000000}" name="Column4" dataDxfId="53"/>
    <tableColumn id="5" xr3:uid="{00000000-0010-0000-0400-000005000000}" name="Column5" dataDxfId="52"/>
    <tableColumn id="6" xr3:uid="{00000000-0010-0000-0400-000006000000}" name="Column6" dataDxfId="51"/>
    <tableColumn id="7" xr3:uid="{00000000-0010-0000-0400-000007000000}" name="Column7" dataDxfId="50"/>
    <tableColumn id="8" xr3:uid="{00000000-0010-0000-0400-000008000000}" name="Column8" dataDxfId="49"/>
    <tableColumn id="9" xr3:uid="{00000000-0010-0000-0400-000009000000}" name="Column9" dataDxfId="48"/>
    <tableColumn id="10" xr3:uid="{00000000-0010-0000-0400-00000A000000}" name="Column10" dataDxfId="47"/>
    <tableColumn id="11" xr3:uid="{00000000-0010-0000-0400-00000B000000}" name="Column11" dataDxfId="46"/>
    <tableColumn id="12" xr3:uid="{00000000-0010-0000-0400-00000C000000}" name="Column12" dataDxfId="45"/>
    <tableColumn id="13" xr3:uid="{00000000-0010-0000-0400-00000D000000}" name="Column13" dataDxfId="44"/>
    <tableColumn id="14" xr3:uid="{00000000-0010-0000-0400-00000E000000}" name="Column14" dataDxfId="43"/>
    <tableColumn id="15" xr3:uid="{00000000-0010-0000-0400-00000F000000}" name="Column15" dataDxfId="42"/>
    <tableColumn id="16" xr3:uid="{00000000-0010-0000-0400-000010000000}" name="Column16" dataDxfId="41"/>
    <tableColumn id="17" xr3:uid="{00000000-0010-0000-0400-000011000000}" name="Column17" dataDxfId="40"/>
    <tableColumn id="18" xr3:uid="{00000000-0010-0000-0400-000012000000}" name="Column18" dataDxfId="39"/>
    <tableColumn id="19" xr3:uid="{00000000-0010-0000-0400-000013000000}" name="Column19" dataDxfId="38"/>
    <tableColumn id="20" xr3:uid="{00000000-0010-0000-0400-000014000000}" name="Column20" dataDxfId="37"/>
    <tableColumn id="21" xr3:uid="{00000000-0010-0000-0400-000015000000}" name="Column21" dataDxfId="36"/>
    <tableColumn id="22" xr3:uid="{00000000-0010-0000-0400-000016000000}" name="Column22" dataDxfId="35"/>
    <tableColumn id="23" xr3:uid="{00000000-0010-0000-0400-000017000000}" name="Column23" dataDxfId="34"/>
    <tableColumn id="24" xr3:uid="{00000000-0010-0000-0400-000018000000}" name="Column24" dataDxfId="33"/>
    <tableColumn id="25" xr3:uid="{00000000-0010-0000-0400-000019000000}" name="Column25" dataDxfId="32"/>
    <tableColumn id="26" xr3:uid="{00000000-0010-0000-0400-00001A000000}" name="Column26" dataDxfId="31"/>
    <tableColumn id="27" xr3:uid="{00000000-0010-0000-0400-00001B000000}" name="Column27" dataDxfId="30"/>
    <tableColumn id="28" xr3:uid="{00000000-0010-0000-0400-00001C000000}" name="Column28" dataDxfId="29"/>
    <tableColumn id="29" xr3:uid="{00000000-0010-0000-0400-00001D000000}" name="Column29" dataDxfId="28"/>
    <tableColumn id="30" xr3:uid="{00000000-0010-0000-0400-00001E000000}" name="Column30" dataDxfId="27"/>
    <tableColumn id="31" xr3:uid="{00000000-0010-0000-0400-00001F000000}" name="Column31" dataDxfId="26"/>
    <tableColumn id="32" xr3:uid="{00000000-0010-0000-0400-000020000000}" name="Column32" dataDxfId="25">
      <calculatedColumnFormula>((F10-E10)+(H10-G10)+(J10-I10)+(L10-K10)+(N10-M10)+(P10-O10)+(R10-Q10)+(T10-S10)+(V10-U10)+(X10-W10)+(Z10-Y10)+(AB10-AA10)+(AD10-AC10)+(AF10-AE10))*24</calculatedColumnFormula>
    </tableColumn>
    <tableColumn id="33" xr3:uid="{00000000-0010-0000-0400-000021000000}" name="Column33" dataDxfId="24"/>
    <tableColumn id="34" xr3:uid="{00000000-0010-0000-0400-000022000000}" name="Column34" dataDxfId="23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22"/>
  <sheetViews>
    <sheetView showGridLines="0" showRowColHeaders="0" tabSelected="1" zoomScaleNormal="100" zoomScaleSheetLayoutView="100" workbookViewId="0">
      <selection activeCell="K18" sqref="K18"/>
    </sheetView>
  </sheetViews>
  <sheetFormatPr defaultRowHeight="19.95" customHeight="1" x14ac:dyDescent="0.3"/>
  <cols>
    <col min="1" max="1" width="1" style="3" customWidth="1"/>
    <col min="2" max="2" width="18.8984375" style="11" bestFit="1" customWidth="1"/>
    <col min="3" max="3" width="9.796875" style="3" customWidth="1"/>
    <col min="4" max="4" width="13.296875" style="3" customWidth="1"/>
    <col min="5" max="5" width="9.796875" style="3" customWidth="1"/>
    <col min="6" max="6" width="12.19921875" style="3" customWidth="1"/>
    <col min="7" max="7" width="9.796875" style="3" customWidth="1"/>
    <col min="8" max="8" width="12.59765625" style="3" customWidth="1"/>
    <col min="9" max="10" width="10.796875" style="3" customWidth="1"/>
    <col min="11" max="11" width="7.5" style="5" customWidth="1"/>
    <col min="12" max="12" width="11.69921875" style="3" customWidth="1"/>
    <col min="13" max="13" width="1" style="3" customWidth="1"/>
    <col min="14" max="16384" width="8.796875" style="3"/>
  </cols>
  <sheetData>
    <row r="1" spans="2:12" ht="6" customHeight="1" x14ac:dyDescent="0.3"/>
    <row r="2" spans="2:12" ht="24.6" x14ac:dyDescent="0.3">
      <c r="B2" s="15" t="s">
        <v>45</v>
      </c>
      <c r="C2" s="15"/>
      <c r="D2" s="15"/>
      <c r="E2" s="15"/>
      <c r="F2" s="15"/>
      <c r="G2" s="15"/>
      <c r="H2" s="15"/>
      <c r="I2" s="15"/>
      <c r="J2" s="15"/>
      <c r="K2" s="15"/>
      <c r="L2" s="15"/>
    </row>
    <row r="3" spans="2:12" ht="18" x14ac:dyDescent="0.3">
      <c r="B3" s="33" t="s">
        <v>46</v>
      </c>
      <c r="C3" s="16"/>
      <c r="D3" s="16"/>
      <c r="E3" s="16"/>
      <c r="F3" s="16"/>
      <c r="G3" s="16"/>
      <c r="H3" s="16"/>
      <c r="I3" s="16"/>
      <c r="J3" s="16"/>
      <c r="K3" s="16"/>
      <c r="L3" s="16"/>
    </row>
    <row r="4" spans="2:12" ht="15.6" x14ac:dyDescent="0.3"/>
    <row r="5" spans="2:12" ht="16.2" thickBot="1" x14ac:dyDescent="0.35"/>
    <row r="6" spans="2:12" ht="21" customHeight="1" x14ac:dyDescent="0.3">
      <c r="B6" s="13" t="s">
        <v>37</v>
      </c>
      <c r="C6" s="21" t="s">
        <v>48</v>
      </c>
      <c r="D6" s="22"/>
      <c r="E6" s="21" t="s">
        <v>49</v>
      </c>
      <c r="F6" s="22"/>
      <c r="G6" s="21" t="s">
        <v>50</v>
      </c>
      <c r="H6" s="22"/>
      <c r="I6" s="21" t="s">
        <v>51</v>
      </c>
      <c r="J6" s="22"/>
      <c r="K6" s="19" t="s">
        <v>40</v>
      </c>
      <c r="L6" s="17" t="s">
        <v>42</v>
      </c>
    </row>
    <row r="7" spans="2:12" ht="21" customHeight="1" thickBot="1" x14ac:dyDescent="0.35">
      <c r="B7" s="14"/>
      <c r="C7" s="9" t="s">
        <v>47</v>
      </c>
      <c r="D7" s="10" t="s">
        <v>52</v>
      </c>
      <c r="E7" s="9" t="s">
        <v>47</v>
      </c>
      <c r="F7" s="10" t="s">
        <v>52</v>
      </c>
      <c r="G7" s="9" t="s">
        <v>47</v>
      </c>
      <c r="H7" s="10" t="s">
        <v>52</v>
      </c>
      <c r="I7" s="9" t="s">
        <v>47</v>
      </c>
      <c r="J7" s="10" t="s">
        <v>52</v>
      </c>
      <c r="K7" s="20"/>
      <c r="L7" s="18"/>
    </row>
    <row r="8" spans="2:12" ht="19.95" customHeight="1" x14ac:dyDescent="0.3">
      <c r="B8" s="2" t="s">
        <v>25</v>
      </c>
      <c r="C8" s="7">
        <f>SUMIF(Table1[[#All],[Column3]],Table13[[#This Row],[Column3]],Table1[[#All],[Column32]])</f>
        <v>112</v>
      </c>
      <c r="D8" s="32">
        <f>SUMIF(Table1[[#All],[Column3]],Table13[[#This Row],[Column3]],Table1[[#All],[Column34]])</f>
        <v>560</v>
      </c>
      <c r="E8" s="7">
        <f>SUMIF(Table14[[#All],[Column3]],Table13[[#This Row],[Column3]],Table14[[#All],[Column32]])</f>
        <v>112</v>
      </c>
      <c r="F8" s="32">
        <f>SUMIF(Table14[[#All],[Column3]],Table13[[#This Row],[Column3]],Table14[[#All],[Column34]])</f>
        <v>560</v>
      </c>
      <c r="G8" s="7">
        <f>SUMIF(Table145[[#All],[Column3]],Table13[[#This Row],[Column3]],Table145[[#All],[Column32]])</f>
        <v>112</v>
      </c>
      <c r="H8" s="32">
        <f>SUMIF(Table145[[#All],[Column3]],Table13[[#This Row],[Column3]],Table145[[#All],[Column34]])</f>
        <v>560</v>
      </c>
      <c r="I8" s="7">
        <f>SUMIF(Table1456[[#All],[Column3]],Table13[[#This Row],[Column3]],Table1456[[#All],[Column32]])</f>
        <v>112</v>
      </c>
      <c r="J8" s="32">
        <f>SUMIF(Table1456[[#All],[Column3]],Table13[[#This Row],[Column3]],Table1456[[#All],[Column34]])</f>
        <v>560</v>
      </c>
      <c r="K8" s="12">
        <f>Table13[[#This Row],[Column4]]+Table13[[#This Row],[Column6]]+Table13[[#This Row],[Column8]]+Table13[[#This Row],[Column10]]</f>
        <v>448</v>
      </c>
      <c r="L8" s="34">
        <f>Table13[[#This Row],[Column11]]+Table13[[#This Row],[Column9]]+Table13[[#This Row],[Column7]]+Table13[[#This Row],[Column5]]</f>
        <v>2240</v>
      </c>
    </row>
    <row r="9" spans="2:12" ht="19.95" customHeight="1" x14ac:dyDescent="0.3">
      <c r="B9" s="2" t="s">
        <v>26</v>
      </c>
      <c r="C9" s="7">
        <f>SUMIF(Table1[[#All],[Column3]],Table13[[#This Row],[Column3]],Table1[[#All],[Column32]])</f>
        <v>9.0000000000000018</v>
      </c>
      <c r="D9" s="32">
        <f>SUMIF(Table1[[#All],[Column3]],Table13[[#This Row],[Column3]],Table1[[#All],[Column34]])</f>
        <v>0</v>
      </c>
      <c r="E9" s="7">
        <f>SUMIF(Table14[[#All],[Column3]],Table13[[#This Row],[Column3]],Table14[[#All],[Column32]])</f>
        <v>0</v>
      </c>
      <c r="F9" s="32">
        <f>SUMIF(Table14[[#All],[Column3]],Table13[[#This Row],[Column3]],Table14[[#All],[Column34]])</f>
        <v>0</v>
      </c>
      <c r="G9" s="7">
        <f>SUMIF(Table145[[#All],[Column3]],Table13[[#This Row],[Column3]],Table145[[#All],[Column32]])</f>
        <v>0</v>
      </c>
      <c r="H9" s="32">
        <f>SUMIF(Table145[[#All],[Column3]],Table13[[#This Row],[Column3]],Table145[[#All],[Column34]])</f>
        <v>0</v>
      </c>
      <c r="I9" s="7">
        <f>SUMIF(Table1456[[#All],[Column3]],Table13[[#This Row],[Column3]],Table1456[[#All],[Column32]])</f>
        <v>0</v>
      </c>
      <c r="J9" s="32">
        <f>SUMIF(Table1456[[#All],[Column3]],Table13[[#This Row],[Column3]],Table1456[[#All],[Column34]])</f>
        <v>0</v>
      </c>
      <c r="K9" s="12">
        <f>Table13[[#This Row],[Column4]]+Table13[[#This Row],[Column6]]+Table13[[#This Row],[Column8]]+Table13[[#This Row],[Column10]]</f>
        <v>9.0000000000000018</v>
      </c>
      <c r="L9" s="34">
        <f>Table13[[#This Row],[Column11]]+Table13[[#This Row],[Column9]]+Table13[[#This Row],[Column7]]+Table13[[#This Row],[Column5]]</f>
        <v>0</v>
      </c>
    </row>
    <row r="10" spans="2:12" ht="19.95" customHeight="1" x14ac:dyDescent="0.3">
      <c r="B10" s="2" t="s">
        <v>27</v>
      </c>
      <c r="C10" s="7">
        <f>SUMIF(Table1[[#All],[Column3]],Table13[[#This Row],[Column3]],Table1[[#All],[Column32]])</f>
        <v>0</v>
      </c>
      <c r="D10" s="32">
        <f>SUMIF(Table1[[#All],[Column3]],Table13[[#This Row],[Column3]],Table1[[#All],[Column34]])</f>
        <v>0</v>
      </c>
      <c r="E10" s="7">
        <f>SUMIF(Table14[[#All],[Column3]],Table13[[#This Row],[Column3]],Table14[[#All],[Column32]])</f>
        <v>0</v>
      </c>
      <c r="F10" s="32">
        <f>SUMIF(Table14[[#All],[Column3]],Table13[[#This Row],[Column3]],Table14[[#All],[Column34]])</f>
        <v>0</v>
      </c>
      <c r="G10" s="7">
        <f>SUMIF(Table145[[#All],[Column3]],Table13[[#This Row],[Column3]],Table145[[#All],[Column32]])</f>
        <v>0</v>
      </c>
      <c r="H10" s="32">
        <f>SUMIF(Table145[[#All],[Column3]],Table13[[#This Row],[Column3]],Table145[[#All],[Column34]])</f>
        <v>0</v>
      </c>
      <c r="I10" s="7">
        <f>SUMIF(Table1456[[#All],[Column3]],Table13[[#This Row],[Column3]],Table1456[[#All],[Column32]])</f>
        <v>0</v>
      </c>
      <c r="J10" s="32">
        <f>SUMIF(Table1456[[#All],[Column3]],Table13[[#This Row],[Column3]],Table1456[[#All],[Column34]])</f>
        <v>0</v>
      </c>
      <c r="K10" s="12">
        <f>Table13[[#This Row],[Column4]]+Table13[[#This Row],[Column6]]+Table13[[#This Row],[Column8]]+Table13[[#This Row],[Column10]]</f>
        <v>0</v>
      </c>
      <c r="L10" s="34">
        <f>Table13[[#This Row],[Column11]]+Table13[[#This Row],[Column9]]+Table13[[#This Row],[Column7]]+Table13[[#This Row],[Column5]]</f>
        <v>0</v>
      </c>
    </row>
    <row r="11" spans="2:12" ht="19.95" customHeight="1" x14ac:dyDescent="0.3">
      <c r="B11" s="2" t="s">
        <v>28</v>
      </c>
      <c r="C11" s="7">
        <f>SUMIF(Table1[[#All],[Column3]],Table13[[#This Row],[Column3]],Table1[[#All],[Column32]])</f>
        <v>0</v>
      </c>
      <c r="D11" s="32">
        <f>SUMIF(Table1[[#All],[Column3]],Table13[[#This Row],[Column3]],Table1[[#All],[Column34]])</f>
        <v>0</v>
      </c>
      <c r="E11" s="7">
        <f>SUMIF(Table14[[#All],[Column3]],Table13[[#This Row],[Column3]],Table14[[#All],[Column32]])</f>
        <v>0</v>
      </c>
      <c r="F11" s="32">
        <f>SUMIF(Table14[[#All],[Column3]],Table13[[#This Row],[Column3]],Table14[[#All],[Column34]])</f>
        <v>0</v>
      </c>
      <c r="G11" s="7">
        <f>SUMIF(Table145[[#All],[Column3]],Table13[[#This Row],[Column3]],Table145[[#All],[Column32]])</f>
        <v>0</v>
      </c>
      <c r="H11" s="32">
        <f>SUMIF(Table145[[#All],[Column3]],Table13[[#This Row],[Column3]],Table145[[#All],[Column34]])</f>
        <v>0</v>
      </c>
      <c r="I11" s="7">
        <f>SUMIF(Table1456[[#All],[Column3]],Table13[[#This Row],[Column3]],Table1456[[#All],[Column32]])</f>
        <v>0</v>
      </c>
      <c r="J11" s="32">
        <f>SUMIF(Table1456[[#All],[Column3]],Table13[[#This Row],[Column3]],Table1456[[#All],[Column34]])</f>
        <v>0</v>
      </c>
      <c r="K11" s="12">
        <f>Table13[[#This Row],[Column4]]+Table13[[#This Row],[Column6]]+Table13[[#This Row],[Column8]]+Table13[[#This Row],[Column10]]</f>
        <v>0</v>
      </c>
      <c r="L11" s="34">
        <f>Table13[[#This Row],[Column11]]+Table13[[#This Row],[Column9]]+Table13[[#This Row],[Column7]]+Table13[[#This Row],[Column5]]</f>
        <v>0</v>
      </c>
    </row>
    <row r="12" spans="2:12" ht="19.95" customHeight="1" x14ac:dyDescent="0.3">
      <c r="B12" s="2" t="s">
        <v>29</v>
      </c>
      <c r="C12" s="7">
        <f>SUMIF(Table1[[#All],[Column3]],Table13[[#This Row],[Column3]],Table1[[#All],[Column32]])</f>
        <v>0</v>
      </c>
      <c r="D12" s="32">
        <f>SUMIF(Table1[[#All],[Column3]],Table13[[#This Row],[Column3]],Table1[[#All],[Column34]])</f>
        <v>0</v>
      </c>
      <c r="E12" s="7">
        <f>SUMIF(Table14[[#All],[Column3]],Table13[[#This Row],[Column3]],Table14[[#All],[Column32]])</f>
        <v>0</v>
      </c>
      <c r="F12" s="32">
        <f>SUMIF(Table14[[#All],[Column3]],Table13[[#This Row],[Column3]],Table14[[#All],[Column34]])</f>
        <v>0</v>
      </c>
      <c r="G12" s="7">
        <f>SUMIF(Table145[[#All],[Column3]],Table13[[#This Row],[Column3]],Table145[[#All],[Column32]])</f>
        <v>0</v>
      </c>
      <c r="H12" s="32">
        <f>SUMIF(Table145[[#All],[Column3]],Table13[[#This Row],[Column3]],Table145[[#All],[Column34]])</f>
        <v>0</v>
      </c>
      <c r="I12" s="7">
        <f>SUMIF(Table1456[[#All],[Column3]],Table13[[#This Row],[Column3]],Table1456[[#All],[Column32]])</f>
        <v>0</v>
      </c>
      <c r="J12" s="32">
        <f>SUMIF(Table1456[[#All],[Column3]],Table13[[#This Row],[Column3]],Table1456[[#All],[Column34]])</f>
        <v>0</v>
      </c>
      <c r="K12" s="12">
        <f>Table13[[#This Row],[Column4]]+Table13[[#This Row],[Column6]]+Table13[[#This Row],[Column8]]+Table13[[#This Row],[Column10]]</f>
        <v>0</v>
      </c>
      <c r="L12" s="34">
        <f>Table13[[#This Row],[Column11]]+Table13[[#This Row],[Column9]]+Table13[[#This Row],[Column7]]+Table13[[#This Row],[Column5]]</f>
        <v>0</v>
      </c>
    </row>
    <row r="13" spans="2:12" ht="19.95" customHeight="1" x14ac:dyDescent="0.3">
      <c r="B13" s="2"/>
      <c r="C13" s="7">
        <f>SUMIF(Table1[[#All],[Column3]],Table13[[#This Row],[Column3]],Table1[[#All],[Column32]])</f>
        <v>0</v>
      </c>
      <c r="D13" s="32">
        <f>SUMIF(Table1[[#All],[Column3]],Table13[[#This Row],[Column3]],Table1[[#All],[Column34]])</f>
        <v>0</v>
      </c>
      <c r="E13" s="7">
        <f>SUMIF(Table14[[#All],[Column3]],Table13[[#This Row],[Column3]],Table14[[#All],[Column32]])</f>
        <v>0</v>
      </c>
      <c r="F13" s="32">
        <f>SUMIF(Table14[[#All],[Column3]],Table13[[#This Row],[Column3]],Table14[[#All],[Column34]])</f>
        <v>0</v>
      </c>
      <c r="G13" s="7">
        <f>SUMIF(Table145[[#All],[Column3]],Table13[[#This Row],[Column3]],Table145[[#All],[Column32]])</f>
        <v>0</v>
      </c>
      <c r="H13" s="32">
        <f>SUMIF(Table145[[#All],[Column3]],Table13[[#This Row],[Column3]],Table145[[#All],[Column34]])</f>
        <v>0</v>
      </c>
      <c r="I13" s="7">
        <f>SUMIF(Table1456[[#All],[Column3]],Table13[[#This Row],[Column3]],Table1456[[#All],[Column32]])</f>
        <v>0</v>
      </c>
      <c r="J13" s="32">
        <f>SUMIF(Table1456[[#All],[Column3]],Table13[[#This Row],[Column3]],Table1456[[#All],[Column34]])</f>
        <v>0</v>
      </c>
      <c r="K13" s="12">
        <f>Table13[[#This Row],[Column4]]+Table13[[#This Row],[Column6]]+Table13[[#This Row],[Column8]]+Table13[[#This Row],[Column10]]</f>
        <v>0</v>
      </c>
      <c r="L13" s="34">
        <f>Table13[[#This Row],[Column11]]+Table13[[#This Row],[Column9]]+Table13[[#This Row],[Column7]]+Table13[[#This Row],[Column5]]</f>
        <v>0</v>
      </c>
    </row>
    <row r="14" spans="2:12" ht="19.95" customHeight="1" x14ac:dyDescent="0.3">
      <c r="B14" s="2"/>
      <c r="C14" s="7">
        <f>SUMIF(Table1[[#All],[Column3]],Table13[[#This Row],[Column3]],Table1[[#All],[Column32]])</f>
        <v>0</v>
      </c>
      <c r="D14" s="32">
        <f>SUMIF(Table1[[#All],[Column3]],Table13[[#This Row],[Column3]],Table1[[#All],[Column34]])</f>
        <v>0</v>
      </c>
      <c r="E14" s="7">
        <f>SUMIF(Table14[[#All],[Column3]],Table13[[#This Row],[Column3]],Table14[[#All],[Column32]])</f>
        <v>0</v>
      </c>
      <c r="F14" s="32">
        <f>SUMIF(Table14[[#All],[Column3]],Table13[[#This Row],[Column3]],Table14[[#All],[Column34]])</f>
        <v>0</v>
      </c>
      <c r="G14" s="7">
        <f>SUMIF(Table145[[#All],[Column3]],Table13[[#This Row],[Column3]],Table145[[#All],[Column32]])</f>
        <v>0</v>
      </c>
      <c r="H14" s="32">
        <f>SUMIF(Table145[[#All],[Column3]],Table13[[#This Row],[Column3]],Table145[[#All],[Column34]])</f>
        <v>0</v>
      </c>
      <c r="I14" s="7">
        <f>SUMIF(Table1456[[#All],[Column3]],Table13[[#This Row],[Column3]],Table1456[[#All],[Column32]])</f>
        <v>0</v>
      </c>
      <c r="J14" s="32">
        <f>SUMIF(Table1456[[#All],[Column3]],Table13[[#This Row],[Column3]],Table1456[[#All],[Column34]])</f>
        <v>0</v>
      </c>
      <c r="K14" s="12">
        <f>Table13[[#This Row],[Column4]]+Table13[[#This Row],[Column6]]+Table13[[#This Row],[Column8]]+Table13[[#This Row],[Column10]]</f>
        <v>0</v>
      </c>
      <c r="L14" s="34">
        <f>Table13[[#This Row],[Column11]]+Table13[[#This Row],[Column9]]+Table13[[#This Row],[Column7]]+Table13[[#This Row],[Column5]]</f>
        <v>0</v>
      </c>
    </row>
    <row r="15" spans="2:12" ht="19.95" customHeight="1" x14ac:dyDescent="0.3">
      <c r="B15" s="2"/>
      <c r="C15" s="7">
        <f>SUMIF(Table1[[#All],[Column3]],Table13[[#This Row],[Column3]],Table1[[#All],[Column32]])</f>
        <v>0</v>
      </c>
      <c r="D15" s="32">
        <f>SUMIF(Table1[[#All],[Column3]],Table13[[#This Row],[Column3]],Table1[[#All],[Column34]])</f>
        <v>0</v>
      </c>
      <c r="E15" s="7">
        <f>SUMIF(Table14[[#All],[Column3]],Table13[[#This Row],[Column3]],Table14[[#All],[Column32]])</f>
        <v>0</v>
      </c>
      <c r="F15" s="32">
        <f>SUMIF(Table14[[#All],[Column3]],Table13[[#This Row],[Column3]],Table14[[#All],[Column34]])</f>
        <v>0</v>
      </c>
      <c r="G15" s="7">
        <f>SUMIF(Table145[[#All],[Column3]],Table13[[#This Row],[Column3]],Table145[[#All],[Column32]])</f>
        <v>0</v>
      </c>
      <c r="H15" s="32">
        <f>SUMIF(Table145[[#All],[Column3]],Table13[[#This Row],[Column3]],Table145[[#All],[Column34]])</f>
        <v>0</v>
      </c>
      <c r="I15" s="7">
        <f>SUMIF(Table1456[[#All],[Column3]],Table13[[#This Row],[Column3]],Table1456[[#All],[Column32]])</f>
        <v>0</v>
      </c>
      <c r="J15" s="32">
        <f>SUMIF(Table1456[[#All],[Column3]],Table13[[#This Row],[Column3]],Table1456[[#All],[Column34]])</f>
        <v>0</v>
      </c>
      <c r="K15" s="12">
        <f>Table13[[#This Row],[Column4]]+Table13[[#This Row],[Column6]]+Table13[[#This Row],[Column8]]+Table13[[#This Row],[Column10]]</f>
        <v>0</v>
      </c>
      <c r="L15" s="34">
        <f>Table13[[#This Row],[Column11]]+Table13[[#This Row],[Column9]]+Table13[[#This Row],[Column7]]+Table13[[#This Row],[Column5]]</f>
        <v>0</v>
      </c>
    </row>
    <row r="16" spans="2:12" ht="19.95" customHeight="1" x14ac:dyDescent="0.3">
      <c r="B16" s="2"/>
      <c r="C16" s="7">
        <f>SUMIF(Table1[[#All],[Column3]],Table13[[#This Row],[Column3]],Table1[[#All],[Column32]])</f>
        <v>0</v>
      </c>
      <c r="D16" s="32">
        <f>SUMIF(Table1[[#All],[Column3]],Table13[[#This Row],[Column3]],Table1[[#All],[Column34]])</f>
        <v>0</v>
      </c>
      <c r="E16" s="7">
        <f>SUMIF(Table14[[#All],[Column3]],Table13[[#This Row],[Column3]],Table14[[#All],[Column32]])</f>
        <v>0</v>
      </c>
      <c r="F16" s="32">
        <f>SUMIF(Table14[[#All],[Column3]],Table13[[#This Row],[Column3]],Table14[[#All],[Column34]])</f>
        <v>0</v>
      </c>
      <c r="G16" s="7">
        <f>SUMIF(Table145[[#All],[Column3]],Table13[[#This Row],[Column3]],Table145[[#All],[Column32]])</f>
        <v>0</v>
      </c>
      <c r="H16" s="32">
        <f>SUMIF(Table145[[#All],[Column3]],Table13[[#This Row],[Column3]],Table145[[#All],[Column34]])</f>
        <v>0</v>
      </c>
      <c r="I16" s="7">
        <f>SUMIF(Table1456[[#All],[Column3]],Table13[[#This Row],[Column3]],Table1456[[#All],[Column32]])</f>
        <v>0</v>
      </c>
      <c r="J16" s="32">
        <f>SUMIF(Table1456[[#All],[Column3]],Table13[[#This Row],[Column3]],Table1456[[#All],[Column34]])</f>
        <v>0</v>
      </c>
      <c r="K16" s="12">
        <f>Table13[[#This Row],[Column4]]+Table13[[#This Row],[Column6]]+Table13[[#This Row],[Column8]]+Table13[[#This Row],[Column10]]</f>
        <v>0</v>
      </c>
      <c r="L16" s="34">
        <f>Table13[[#This Row],[Column11]]+Table13[[#This Row],[Column9]]+Table13[[#This Row],[Column7]]+Table13[[#This Row],[Column5]]</f>
        <v>0</v>
      </c>
    </row>
    <row r="17" spans="2:12" ht="19.95" customHeight="1" x14ac:dyDescent="0.3">
      <c r="B17" s="2"/>
      <c r="C17" s="7">
        <f>SUMIF(Table1[[#All],[Column3]],Table13[[#This Row],[Column3]],Table1[[#All],[Column32]])</f>
        <v>0</v>
      </c>
      <c r="D17" s="32">
        <f>SUMIF(Table1[[#All],[Column3]],Table13[[#This Row],[Column3]],Table1[[#All],[Column34]])</f>
        <v>0</v>
      </c>
      <c r="E17" s="7">
        <f>SUMIF(Table14[[#All],[Column3]],Table13[[#This Row],[Column3]],Table14[[#All],[Column32]])</f>
        <v>0</v>
      </c>
      <c r="F17" s="32">
        <f>SUMIF(Table14[[#All],[Column3]],Table13[[#This Row],[Column3]],Table14[[#All],[Column34]])</f>
        <v>0</v>
      </c>
      <c r="G17" s="7">
        <f>SUMIF(Table145[[#All],[Column3]],Table13[[#This Row],[Column3]],Table145[[#All],[Column32]])</f>
        <v>0</v>
      </c>
      <c r="H17" s="32">
        <f>SUMIF(Table145[[#All],[Column3]],Table13[[#This Row],[Column3]],Table145[[#All],[Column34]])</f>
        <v>0</v>
      </c>
      <c r="I17" s="7">
        <f>SUMIF(Table1456[[#All],[Column3]],Table13[[#This Row],[Column3]],Table1456[[#All],[Column32]])</f>
        <v>0</v>
      </c>
      <c r="J17" s="32">
        <f>SUMIF(Table1456[[#All],[Column3]],Table13[[#This Row],[Column3]],Table1456[[#All],[Column34]])</f>
        <v>0</v>
      </c>
      <c r="K17" s="12">
        <f>Table13[[#This Row],[Column4]]+Table13[[#This Row],[Column6]]+Table13[[#This Row],[Column8]]+Table13[[#This Row],[Column10]]</f>
        <v>0</v>
      </c>
      <c r="L17" s="34">
        <f>Table13[[#This Row],[Column11]]+Table13[[#This Row],[Column9]]+Table13[[#This Row],[Column7]]+Table13[[#This Row],[Column5]]</f>
        <v>0</v>
      </c>
    </row>
    <row r="18" spans="2:12" ht="19.95" customHeight="1" x14ac:dyDescent="0.3">
      <c r="B18" s="2"/>
      <c r="C18" s="7">
        <f>SUMIF(Table1[[#All],[Column3]],Table13[[#This Row],[Column3]],Table1[[#All],[Column32]])</f>
        <v>0</v>
      </c>
      <c r="D18" s="32">
        <f>SUMIF(Table1[[#All],[Column3]],Table13[[#This Row],[Column3]],Table1[[#All],[Column34]])</f>
        <v>0</v>
      </c>
      <c r="E18" s="7">
        <f>SUMIF(Table14[[#All],[Column3]],Table13[[#This Row],[Column3]],Table14[[#All],[Column32]])</f>
        <v>0</v>
      </c>
      <c r="F18" s="32">
        <f>SUMIF(Table14[[#All],[Column3]],Table13[[#This Row],[Column3]],Table14[[#All],[Column34]])</f>
        <v>0</v>
      </c>
      <c r="G18" s="7">
        <f>SUMIF(Table145[[#All],[Column3]],Table13[[#This Row],[Column3]],Table145[[#All],[Column32]])</f>
        <v>0</v>
      </c>
      <c r="H18" s="32">
        <f>SUMIF(Table145[[#All],[Column3]],Table13[[#This Row],[Column3]],Table145[[#All],[Column34]])</f>
        <v>0</v>
      </c>
      <c r="I18" s="7">
        <f>SUMIF(Table1456[[#All],[Column3]],Table13[[#This Row],[Column3]],Table1456[[#All],[Column32]])</f>
        <v>0</v>
      </c>
      <c r="J18" s="32">
        <f>SUMIF(Table1456[[#All],[Column3]],Table13[[#This Row],[Column3]],Table1456[[#All],[Column34]])</f>
        <v>0</v>
      </c>
      <c r="K18" s="12">
        <f>Table13[[#This Row],[Column4]]+Table13[[#This Row],[Column6]]+Table13[[#This Row],[Column8]]+Table13[[#This Row],[Column10]]</f>
        <v>0</v>
      </c>
      <c r="L18" s="34">
        <f>Table13[[#This Row],[Column11]]+Table13[[#This Row],[Column9]]+Table13[[#This Row],[Column7]]+Table13[[#This Row],[Column5]]</f>
        <v>0</v>
      </c>
    </row>
    <row r="19" spans="2:12" ht="19.95" customHeight="1" x14ac:dyDescent="0.3">
      <c r="B19" s="2"/>
      <c r="C19" s="7">
        <f>SUMIF(Table1[[#All],[Column3]],Table13[[#This Row],[Column3]],Table1[[#All],[Column32]])</f>
        <v>0</v>
      </c>
      <c r="D19" s="32">
        <f>SUMIF(Table1[[#All],[Column3]],Table13[[#This Row],[Column3]],Table1[[#All],[Column34]])</f>
        <v>0</v>
      </c>
      <c r="E19" s="7">
        <f>SUMIF(Table14[[#All],[Column3]],Table13[[#This Row],[Column3]],Table14[[#All],[Column32]])</f>
        <v>0</v>
      </c>
      <c r="F19" s="32">
        <f>SUMIF(Table14[[#All],[Column3]],Table13[[#This Row],[Column3]],Table14[[#All],[Column34]])</f>
        <v>0</v>
      </c>
      <c r="G19" s="7">
        <f>SUMIF(Table145[[#All],[Column3]],Table13[[#This Row],[Column3]],Table145[[#All],[Column32]])</f>
        <v>0</v>
      </c>
      <c r="H19" s="32">
        <f>SUMIF(Table145[[#All],[Column3]],Table13[[#This Row],[Column3]],Table145[[#All],[Column34]])</f>
        <v>0</v>
      </c>
      <c r="I19" s="7">
        <f>SUMIF(Table1456[[#All],[Column3]],Table13[[#This Row],[Column3]],Table1456[[#All],[Column32]])</f>
        <v>0</v>
      </c>
      <c r="J19" s="32">
        <f>SUMIF(Table1456[[#All],[Column3]],Table13[[#This Row],[Column3]],Table1456[[#All],[Column34]])</f>
        <v>0</v>
      </c>
      <c r="K19" s="12">
        <f>Table13[[#This Row],[Column4]]+Table13[[#This Row],[Column6]]+Table13[[#This Row],[Column8]]+Table13[[#This Row],[Column10]]</f>
        <v>0</v>
      </c>
      <c r="L19" s="34">
        <f>Table13[[#This Row],[Column11]]+Table13[[#This Row],[Column9]]+Table13[[#This Row],[Column7]]+Table13[[#This Row],[Column5]]</f>
        <v>0</v>
      </c>
    </row>
    <row r="20" spans="2:12" ht="19.95" customHeight="1" x14ac:dyDescent="0.3">
      <c r="B20" s="2"/>
      <c r="C20" s="7">
        <f>SUMIF(Table1[[#All],[Column3]],Table13[[#This Row],[Column3]],Table1[[#All],[Column32]])</f>
        <v>0</v>
      </c>
      <c r="D20" s="32">
        <f>SUMIF(Table1[[#All],[Column3]],Table13[[#This Row],[Column3]],Table1[[#All],[Column34]])</f>
        <v>0</v>
      </c>
      <c r="E20" s="7">
        <f>SUMIF(Table14[[#All],[Column3]],Table13[[#This Row],[Column3]],Table14[[#All],[Column32]])</f>
        <v>0</v>
      </c>
      <c r="F20" s="32">
        <f>SUMIF(Table14[[#All],[Column3]],Table13[[#This Row],[Column3]],Table14[[#All],[Column34]])</f>
        <v>0</v>
      </c>
      <c r="G20" s="7">
        <f>SUMIF(Table145[[#All],[Column3]],Table13[[#This Row],[Column3]],Table145[[#All],[Column32]])</f>
        <v>0</v>
      </c>
      <c r="H20" s="32">
        <f>SUMIF(Table145[[#All],[Column3]],Table13[[#This Row],[Column3]],Table145[[#All],[Column34]])</f>
        <v>0</v>
      </c>
      <c r="I20" s="7">
        <f>SUMIF(Table1456[[#All],[Column3]],Table13[[#This Row],[Column3]],Table1456[[#All],[Column32]])</f>
        <v>0</v>
      </c>
      <c r="J20" s="32">
        <f>SUMIF(Table1456[[#All],[Column3]],Table13[[#This Row],[Column3]],Table1456[[#All],[Column34]])</f>
        <v>0</v>
      </c>
      <c r="K20" s="12">
        <f>Table13[[#This Row],[Column4]]+Table13[[#This Row],[Column6]]+Table13[[#This Row],[Column8]]+Table13[[#This Row],[Column10]]</f>
        <v>0</v>
      </c>
      <c r="L20" s="34">
        <f>Table13[[#This Row],[Column11]]+Table13[[#This Row],[Column9]]+Table13[[#This Row],[Column7]]+Table13[[#This Row],[Column5]]</f>
        <v>0</v>
      </c>
    </row>
    <row r="21" spans="2:12" ht="19.95" customHeight="1" x14ac:dyDescent="0.3">
      <c r="B21" s="2"/>
      <c r="C21" s="7">
        <f>SUMIF(Table1[[#All],[Column3]],Table13[[#This Row],[Column3]],Table1[[#All],[Column32]])</f>
        <v>0</v>
      </c>
      <c r="D21" s="32">
        <f>SUMIF(Table1[[#All],[Column3]],Table13[[#This Row],[Column3]],Table1[[#All],[Column34]])</f>
        <v>0</v>
      </c>
      <c r="E21" s="7">
        <f>SUMIF(Table14[[#All],[Column3]],Table13[[#This Row],[Column3]],Table14[[#All],[Column32]])</f>
        <v>0</v>
      </c>
      <c r="F21" s="32">
        <f>SUMIF(Table14[[#All],[Column3]],Table13[[#This Row],[Column3]],Table14[[#All],[Column34]])</f>
        <v>0</v>
      </c>
      <c r="G21" s="7">
        <f>SUMIF(Table145[[#All],[Column3]],Table13[[#This Row],[Column3]],Table145[[#All],[Column32]])</f>
        <v>0</v>
      </c>
      <c r="H21" s="32">
        <f>SUMIF(Table145[[#All],[Column3]],Table13[[#This Row],[Column3]],Table145[[#All],[Column34]])</f>
        <v>0</v>
      </c>
      <c r="I21" s="7">
        <f>SUMIF(Table1456[[#All],[Column3]],Table13[[#This Row],[Column3]],Table1456[[#All],[Column32]])</f>
        <v>0</v>
      </c>
      <c r="J21" s="32">
        <f>SUMIF(Table1456[[#All],[Column3]],Table13[[#This Row],[Column3]],Table1456[[#All],[Column34]])</f>
        <v>0</v>
      </c>
      <c r="K21" s="12">
        <f>Table13[[#This Row],[Column4]]+Table13[[#This Row],[Column6]]+Table13[[#This Row],[Column8]]+Table13[[#This Row],[Column10]]</f>
        <v>0</v>
      </c>
      <c r="L21" s="34">
        <f>Table13[[#This Row],[Column11]]+Table13[[#This Row],[Column9]]+Table13[[#This Row],[Column7]]+Table13[[#This Row],[Column5]]</f>
        <v>0</v>
      </c>
    </row>
    <row r="22" spans="2:12" ht="19.95" customHeight="1" x14ac:dyDescent="0.3">
      <c r="B22" s="2" t="s">
        <v>32</v>
      </c>
      <c r="C22" s="7">
        <f>SUBTOTAL(102,Table13[Column4])</f>
        <v>14</v>
      </c>
      <c r="D22" s="35">
        <f>SUBTOTAL(103,Table13[Column5])</f>
        <v>14</v>
      </c>
      <c r="E22" s="7">
        <f>SUBTOTAL(109,Table13[Column6])</f>
        <v>112</v>
      </c>
      <c r="F22" s="32">
        <f>SUBTOTAL(109,Table13[Column7])</f>
        <v>560</v>
      </c>
      <c r="G22" s="7">
        <f>SUBTOTAL(109,Table13[Column8])</f>
        <v>112</v>
      </c>
      <c r="H22" s="32">
        <f>SUBTOTAL(109,Table13[Column9])</f>
        <v>560</v>
      </c>
      <c r="I22" s="7">
        <f>SUBTOTAL(109,Table13[Column10])</f>
        <v>112</v>
      </c>
      <c r="J22" s="32">
        <f>SUBTOTAL(109,Table13[Column11])</f>
        <v>560</v>
      </c>
      <c r="K22" s="12">
        <f>SUBTOTAL(109,Table13[Column32])</f>
        <v>457</v>
      </c>
      <c r="L22" s="34">
        <f>SUBTOTAL(109,Table13[Column34])</f>
        <v>2240</v>
      </c>
    </row>
  </sheetData>
  <mergeCells count="9">
    <mergeCell ref="B6:B7"/>
    <mergeCell ref="B2:L2"/>
    <mergeCell ref="B3:L3"/>
    <mergeCell ref="L6:L7"/>
    <mergeCell ref="K6:K7"/>
    <mergeCell ref="E6:F6"/>
    <mergeCell ref="C6:D6"/>
    <mergeCell ref="G6:H6"/>
    <mergeCell ref="I6:J6"/>
  </mergeCells>
  <dataValidations count="1">
    <dataValidation type="list" allowBlank="1" showInputMessage="1" showErrorMessage="1" sqref="B8:B21" xr:uid="{00000000-0002-0000-0000-000000000000}">
      <formula1>"Dinning Room Staff, Bar Staff, Banquet Staff, Snack Shack, Overlake Cafe"</formula1>
    </dataValidation>
  </dataValidations>
  <pageMargins left="0.7" right="0.7" top="0.75" bottom="0.75" header="0.3" footer="0.3"/>
  <pageSetup scale="22" orientation="portrait" r:id="rId1"/>
  <ignoredErrors>
    <ignoredError sqref="K8:K21" calculatedColumn="1"/>
  </ignoredError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I23"/>
  <sheetViews>
    <sheetView showGridLines="0" showRowColHeaders="0" zoomScaleNormal="100" zoomScaleSheetLayoutView="100" workbookViewId="0">
      <pane xSplit="4" ySplit="9" topLeftCell="E10" activePane="bottomRight" state="frozen"/>
      <selection activeCell="D11" sqref="D11"/>
      <selection pane="topRight" activeCell="D11" sqref="D11"/>
      <selection pane="bottomLeft" activeCell="D11" sqref="D11"/>
      <selection pane="bottomRight" activeCell="AG6" sqref="AG6:AH9"/>
    </sheetView>
  </sheetViews>
  <sheetFormatPr defaultRowHeight="19.95" customHeight="1" x14ac:dyDescent="0.3"/>
  <cols>
    <col min="1" max="1" width="1" style="3" customWidth="1"/>
    <col min="2" max="2" width="10.09765625" style="3" customWidth="1"/>
    <col min="3" max="3" width="15.3984375" style="3" bestFit="1" customWidth="1"/>
    <col min="4" max="4" width="18.8984375" style="3" bestFit="1" customWidth="1"/>
    <col min="5" max="10" width="9.796875" style="3" customWidth="1"/>
    <col min="11" max="32" width="10.796875" style="3" customWidth="1"/>
    <col min="33" max="33" width="7.5" style="5" customWidth="1"/>
    <col min="34" max="34" width="7.5" style="3" customWidth="1"/>
    <col min="35" max="35" width="9.09765625" style="3" customWidth="1"/>
    <col min="36" max="16384" width="8.796875" style="3"/>
  </cols>
  <sheetData>
    <row r="1" spans="2:35" ht="6" customHeight="1" x14ac:dyDescent="0.3"/>
    <row r="2" spans="2:35" ht="22.8" x14ac:dyDescent="0.3">
      <c r="B2" s="24" t="s">
        <v>30</v>
      </c>
      <c r="C2" s="24"/>
      <c r="D2" s="24"/>
    </row>
    <row r="3" spans="2:35" ht="18" x14ac:dyDescent="0.3">
      <c r="B3" s="25" t="s">
        <v>31</v>
      </c>
      <c r="C3" s="25"/>
    </row>
    <row r="4" spans="2:35" ht="15.6" x14ac:dyDescent="0.3">
      <c r="B4" s="26">
        <v>44621</v>
      </c>
      <c r="C4" s="27"/>
    </row>
    <row r="5" spans="2:35" ht="15.6" x14ac:dyDescent="0.3"/>
    <row r="6" spans="2:35" ht="21" customHeight="1" x14ac:dyDescent="0.3">
      <c r="B6" s="23" t="s">
        <v>35</v>
      </c>
      <c r="C6" s="23" t="s">
        <v>36</v>
      </c>
      <c r="D6" s="23" t="s">
        <v>37</v>
      </c>
      <c r="E6" s="23" t="str">
        <f>TEXT(E7,"dddd")</f>
        <v>Tuesday</v>
      </c>
      <c r="F6" s="23"/>
      <c r="G6" s="23"/>
      <c r="H6" s="23"/>
      <c r="I6" s="23" t="str">
        <f>TEXT(I7,"dddd")</f>
        <v>Wednesday</v>
      </c>
      <c r="J6" s="23"/>
      <c r="K6" s="23"/>
      <c r="L6" s="23"/>
      <c r="M6" s="23" t="str">
        <f>TEXT(M7,"dddd")</f>
        <v>Thursday</v>
      </c>
      <c r="N6" s="23"/>
      <c r="O6" s="23"/>
      <c r="P6" s="23"/>
      <c r="Q6" s="23" t="str">
        <f>TEXT(Q7,"dddd")</f>
        <v>Friday</v>
      </c>
      <c r="R6" s="23"/>
      <c r="S6" s="23"/>
      <c r="T6" s="23"/>
      <c r="U6" s="23" t="str">
        <f>TEXT(U7,"dddd")</f>
        <v>Saturday</v>
      </c>
      <c r="V6" s="23"/>
      <c r="W6" s="23"/>
      <c r="X6" s="23"/>
      <c r="Y6" s="23" t="str">
        <f>TEXT(Y7,"dddd")</f>
        <v>Sunday</v>
      </c>
      <c r="Z6" s="23"/>
      <c r="AA6" s="23"/>
      <c r="AB6" s="23"/>
      <c r="AC6" s="23" t="str">
        <f>TEXT(AC7,"dddd")</f>
        <v>Monday</v>
      </c>
      <c r="AD6" s="23"/>
      <c r="AE6" s="23"/>
      <c r="AF6" s="23"/>
      <c r="AG6" s="29" t="s">
        <v>40</v>
      </c>
      <c r="AH6" s="29" t="s">
        <v>41</v>
      </c>
      <c r="AI6" s="23" t="s">
        <v>42</v>
      </c>
    </row>
    <row r="7" spans="2:35" ht="21" customHeight="1" x14ac:dyDescent="0.3">
      <c r="B7" s="23"/>
      <c r="C7" s="23"/>
      <c r="D7" s="23"/>
      <c r="E7" s="28">
        <f>B4</f>
        <v>44621</v>
      </c>
      <c r="F7" s="28"/>
      <c r="G7" s="28"/>
      <c r="H7" s="28"/>
      <c r="I7" s="28">
        <f>E7+1</f>
        <v>44622</v>
      </c>
      <c r="J7" s="28"/>
      <c r="K7" s="28"/>
      <c r="L7" s="28"/>
      <c r="M7" s="28">
        <f>I7+1</f>
        <v>44623</v>
      </c>
      <c r="N7" s="28"/>
      <c r="O7" s="28"/>
      <c r="P7" s="28"/>
      <c r="Q7" s="28">
        <f>M7+1</f>
        <v>44624</v>
      </c>
      <c r="R7" s="28"/>
      <c r="S7" s="28"/>
      <c r="T7" s="28"/>
      <c r="U7" s="28">
        <f>Q7+1</f>
        <v>44625</v>
      </c>
      <c r="V7" s="28"/>
      <c r="W7" s="28"/>
      <c r="X7" s="28"/>
      <c r="Y7" s="28">
        <f>U7+1</f>
        <v>44626</v>
      </c>
      <c r="Z7" s="28"/>
      <c r="AA7" s="28"/>
      <c r="AB7" s="28"/>
      <c r="AC7" s="28">
        <f>Y7+1</f>
        <v>44627</v>
      </c>
      <c r="AD7" s="28"/>
      <c r="AE7" s="28"/>
      <c r="AF7" s="28"/>
      <c r="AG7" s="30"/>
      <c r="AH7" s="30"/>
      <c r="AI7" s="23"/>
    </row>
    <row r="8" spans="2:35" ht="21" customHeight="1" x14ac:dyDescent="0.3">
      <c r="B8" s="23"/>
      <c r="C8" s="23"/>
      <c r="D8" s="23"/>
      <c r="E8" s="23" t="s">
        <v>23</v>
      </c>
      <c r="F8" s="23"/>
      <c r="G8" s="23" t="s">
        <v>24</v>
      </c>
      <c r="H8" s="23"/>
      <c r="I8" s="23" t="s">
        <v>23</v>
      </c>
      <c r="J8" s="23"/>
      <c r="K8" s="23" t="s">
        <v>24</v>
      </c>
      <c r="L8" s="23"/>
      <c r="M8" s="23" t="s">
        <v>23</v>
      </c>
      <c r="N8" s="23"/>
      <c r="O8" s="23" t="s">
        <v>24</v>
      </c>
      <c r="P8" s="23"/>
      <c r="Q8" s="23" t="s">
        <v>23</v>
      </c>
      <c r="R8" s="23"/>
      <c r="S8" s="23" t="s">
        <v>24</v>
      </c>
      <c r="T8" s="23"/>
      <c r="U8" s="23" t="s">
        <v>23</v>
      </c>
      <c r="V8" s="23"/>
      <c r="W8" s="23" t="s">
        <v>24</v>
      </c>
      <c r="X8" s="23"/>
      <c r="Y8" s="23" t="s">
        <v>23</v>
      </c>
      <c r="Z8" s="23"/>
      <c r="AA8" s="23" t="s">
        <v>24</v>
      </c>
      <c r="AB8" s="23"/>
      <c r="AC8" s="23" t="s">
        <v>23</v>
      </c>
      <c r="AD8" s="23"/>
      <c r="AE8" s="23" t="s">
        <v>24</v>
      </c>
      <c r="AF8" s="23"/>
      <c r="AG8" s="30"/>
      <c r="AH8" s="30"/>
      <c r="AI8" s="23"/>
    </row>
    <row r="9" spans="2:35" ht="21" customHeight="1" x14ac:dyDescent="0.3">
      <c r="B9" s="23"/>
      <c r="C9" s="23"/>
      <c r="D9" s="23"/>
      <c r="E9" s="4" t="s">
        <v>44</v>
      </c>
      <c r="F9" s="4" t="s">
        <v>39</v>
      </c>
      <c r="G9" s="4" t="s">
        <v>44</v>
      </c>
      <c r="H9" s="4" t="s">
        <v>39</v>
      </c>
      <c r="I9" s="4" t="s">
        <v>44</v>
      </c>
      <c r="J9" s="4" t="s">
        <v>39</v>
      </c>
      <c r="K9" s="4" t="s">
        <v>44</v>
      </c>
      <c r="L9" s="4" t="s">
        <v>39</v>
      </c>
      <c r="M9" s="4" t="s">
        <v>44</v>
      </c>
      <c r="N9" s="4" t="s">
        <v>39</v>
      </c>
      <c r="O9" s="4" t="s">
        <v>44</v>
      </c>
      <c r="P9" s="4" t="s">
        <v>39</v>
      </c>
      <c r="Q9" s="4" t="s">
        <v>44</v>
      </c>
      <c r="R9" s="4" t="s">
        <v>39</v>
      </c>
      <c r="S9" s="4" t="s">
        <v>44</v>
      </c>
      <c r="T9" s="4" t="s">
        <v>39</v>
      </c>
      <c r="U9" s="4" t="s">
        <v>44</v>
      </c>
      <c r="V9" s="4" t="s">
        <v>39</v>
      </c>
      <c r="W9" s="4" t="s">
        <v>44</v>
      </c>
      <c r="X9" s="4" t="s">
        <v>39</v>
      </c>
      <c r="Y9" s="4" t="s">
        <v>44</v>
      </c>
      <c r="Z9" s="4" t="s">
        <v>39</v>
      </c>
      <c r="AA9" s="4" t="s">
        <v>44</v>
      </c>
      <c r="AB9" s="4" t="s">
        <v>39</v>
      </c>
      <c r="AC9" s="4" t="s">
        <v>44</v>
      </c>
      <c r="AD9" s="4" t="s">
        <v>39</v>
      </c>
      <c r="AE9" s="4" t="s">
        <v>44</v>
      </c>
      <c r="AF9" s="4" t="s">
        <v>39</v>
      </c>
      <c r="AG9" s="31"/>
      <c r="AH9" s="31"/>
      <c r="AI9" s="23"/>
    </row>
    <row r="10" spans="2:35" ht="19.95" customHeight="1" x14ac:dyDescent="0.3">
      <c r="B10" s="1" t="s">
        <v>0</v>
      </c>
      <c r="C10" s="1" t="s">
        <v>1</v>
      </c>
      <c r="D10" s="1" t="s">
        <v>25</v>
      </c>
      <c r="E10" s="6">
        <v>0.375</v>
      </c>
      <c r="F10" s="6">
        <v>0.70833333333333337</v>
      </c>
      <c r="G10" s="6">
        <v>0.375</v>
      </c>
      <c r="H10" s="6">
        <v>0.70833333333333337</v>
      </c>
      <c r="I10" s="6">
        <v>0.41666666666666669</v>
      </c>
      <c r="J10" s="6">
        <v>0.75</v>
      </c>
      <c r="K10" s="6">
        <v>0.41666666666666669</v>
      </c>
      <c r="L10" s="6">
        <v>0.75</v>
      </c>
      <c r="M10" s="6">
        <v>0.375</v>
      </c>
      <c r="N10" s="6">
        <v>0.70833333333333337</v>
      </c>
      <c r="O10" s="6">
        <v>0.375</v>
      </c>
      <c r="P10" s="6">
        <v>0.70833333333333337</v>
      </c>
      <c r="Q10" s="6">
        <v>0.375</v>
      </c>
      <c r="R10" s="6">
        <v>0.70833333333333337</v>
      </c>
      <c r="S10" s="6">
        <v>0.41666666666666669</v>
      </c>
      <c r="T10" s="6">
        <v>0.75</v>
      </c>
      <c r="U10" s="6">
        <v>0.41666666666666669</v>
      </c>
      <c r="V10" s="6">
        <v>0.75</v>
      </c>
      <c r="W10" s="6">
        <v>0.375</v>
      </c>
      <c r="X10" s="6">
        <v>0.70833333333333337</v>
      </c>
      <c r="Y10" s="6">
        <v>0.41666666666666669</v>
      </c>
      <c r="Z10" s="6">
        <v>0.75</v>
      </c>
      <c r="AA10" s="6">
        <v>0.375</v>
      </c>
      <c r="AB10" s="6">
        <v>0.70833333333333337</v>
      </c>
      <c r="AC10" s="6">
        <v>0.41666666666666669</v>
      </c>
      <c r="AD10" s="6">
        <v>0.75</v>
      </c>
      <c r="AE10" s="6">
        <v>0.375</v>
      </c>
      <c r="AF10" s="6">
        <v>0.70833333333333337</v>
      </c>
      <c r="AG10" s="7">
        <f>((F10-E10)+(H10-G10)+(J10-I10)+(L10-K10)+(N10-M10)+(P10-O10)+(R10-Q10)+(T10-S10)+(V10-U10)+(X10-W10)+(Z10-Y10)+(AB10-AA10)+(AD10-AC10)+(AF10-AE10))*24</f>
        <v>112</v>
      </c>
      <c r="AH10" s="8">
        <v>5</v>
      </c>
      <c r="AI10" s="8">
        <v>560</v>
      </c>
    </row>
    <row r="11" spans="2:35" ht="19.95" customHeight="1" x14ac:dyDescent="0.3">
      <c r="B11" s="1" t="s">
        <v>2</v>
      </c>
      <c r="C11" s="1" t="s">
        <v>3</v>
      </c>
      <c r="D11" s="1" t="s">
        <v>26</v>
      </c>
      <c r="E11" s="6">
        <v>0.33333333333333331</v>
      </c>
      <c r="F11" s="6">
        <v>0.70833333333333337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7">
        <f>((F11-E11)+(H11-G11)+(J11-I11)+(L11-K11)+(N11-M11)+(P11-O11)+(R11-Q11)+(T11-S11)+(V11-U11)+(X11-W11)+(Z11-Y11)+(AB11-AA11)+(AD11-AC11)+(AF11-AE11))*24</f>
        <v>9.0000000000000018</v>
      </c>
      <c r="AH11" s="8">
        <v>10</v>
      </c>
      <c r="AI11" s="8">
        <v>0</v>
      </c>
    </row>
    <row r="12" spans="2:35" ht="19.95" customHeight="1" x14ac:dyDescent="0.3">
      <c r="B12" s="1" t="s">
        <v>4</v>
      </c>
      <c r="C12" s="1"/>
      <c r="D12" s="1" t="s">
        <v>27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7">
        <f t="shared" ref="AG12:AG23" si="0">((F12-E12)+(H12-G12)+(J12-I12)+(L12-K12)+(N12-M12)+(P12-O12)+(R12-Q12)+(T12-S12)+(V12-U12)+(X12-W12)+(Z12-Y12)+(AB12-AA12)+(AD12-AC12)+(AF12-AE12))*24</f>
        <v>0</v>
      </c>
      <c r="AH12" s="8">
        <v>15</v>
      </c>
      <c r="AI12" s="8">
        <v>0</v>
      </c>
    </row>
    <row r="13" spans="2:35" ht="19.95" customHeight="1" x14ac:dyDescent="0.3">
      <c r="B13" s="1" t="s">
        <v>5</v>
      </c>
      <c r="C13" s="1"/>
      <c r="D13" s="1" t="s">
        <v>28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7">
        <f t="shared" si="0"/>
        <v>0</v>
      </c>
      <c r="AH13" s="8">
        <v>20</v>
      </c>
      <c r="AI13" s="8">
        <v>0</v>
      </c>
    </row>
    <row r="14" spans="2:35" ht="19.95" customHeight="1" x14ac:dyDescent="0.3">
      <c r="B14" s="1" t="s">
        <v>6</v>
      </c>
      <c r="C14" s="1" t="s">
        <v>7</v>
      </c>
      <c r="D14" s="1" t="s">
        <v>29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7">
        <f t="shared" si="0"/>
        <v>0</v>
      </c>
      <c r="AH14" s="8">
        <v>0</v>
      </c>
      <c r="AI14" s="8">
        <v>0</v>
      </c>
    </row>
    <row r="15" spans="2:35" ht="19.95" customHeight="1" x14ac:dyDescent="0.3">
      <c r="B15" s="1" t="s">
        <v>8</v>
      </c>
      <c r="C15" s="1"/>
      <c r="D15" s="1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7">
        <f t="shared" si="0"/>
        <v>0</v>
      </c>
      <c r="AH15" s="8">
        <v>0</v>
      </c>
      <c r="AI15" s="8">
        <v>0</v>
      </c>
    </row>
    <row r="16" spans="2:35" ht="19.95" customHeight="1" x14ac:dyDescent="0.3">
      <c r="B16" s="1" t="s">
        <v>9</v>
      </c>
      <c r="C16" s="1" t="s">
        <v>10</v>
      </c>
      <c r="D16" s="1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7">
        <f t="shared" si="0"/>
        <v>0</v>
      </c>
      <c r="AH16" s="8">
        <v>0</v>
      </c>
      <c r="AI16" s="8">
        <v>0</v>
      </c>
    </row>
    <row r="17" spans="2:35" ht="19.95" customHeight="1" x14ac:dyDescent="0.3">
      <c r="B17" s="1" t="s">
        <v>11</v>
      </c>
      <c r="C17" s="1" t="s">
        <v>12</v>
      </c>
      <c r="D17" s="1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7">
        <f t="shared" si="0"/>
        <v>0</v>
      </c>
      <c r="AH17" s="8">
        <v>0</v>
      </c>
      <c r="AI17" s="8">
        <v>0</v>
      </c>
    </row>
    <row r="18" spans="2:35" ht="19.95" customHeight="1" x14ac:dyDescent="0.3">
      <c r="B18" s="1" t="s">
        <v>13</v>
      </c>
      <c r="C18" s="1" t="s">
        <v>14</v>
      </c>
      <c r="D18" s="1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7">
        <f t="shared" si="0"/>
        <v>0</v>
      </c>
      <c r="AH18" s="8">
        <v>0</v>
      </c>
      <c r="AI18" s="8">
        <v>0</v>
      </c>
    </row>
    <row r="19" spans="2:35" ht="19.95" customHeight="1" x14ac:dyDescent="0.3">
      <c r="B19" s="1" t="s">
        <v>15</v>
      </c>
      <c r="C19" s="1" t="s">
        <v>16</v>
      </c>
      <c r="D19" s="1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7">
        <f t="shared" si="0"/>
        <v>0</v>
      </c>
      <c r="AH19" s="8">
        <v>0</v>
      </c>
      <c r="AI19" s="8">
        <v>0</v>
      </c>
    </row>
    <row r="20" spans="2:35" ht="19.95" customHeight="1" x14ac:dyDescent="0.3">
      <c r="B20" s="1" t="s">
        <v>17</v>
      </c>
      <c r="C20" s="1" t="s">
        <v>18</v>
      </c>
      <c r="D20" s="1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7">
        <f t="shared" si="0"/>
        <v>0</v>
      </c>
      <c r="AH20" s="8">
        <v>0</v>
      </c>
      <c r="AI20" s="8">
        <v>0</v>
      </c>
    </row>
    <row r="21" spans="2:35" ht="19.95" customHeight="1" x14ac:dyDescent="0.3">
      <c r="B21" s="1" t="s">
        <v>19</v>
      </c>
      <c r="C21" s="1" t="s">
        <v>20</v>
      </c>
      <c r="D21" s="1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7">
        <f t="shared" si="0"/>
        <v>0</v>
      </c>
      <c r="AH21" s="8">
        <v>0</v>
      </c>
      <c r="AI21" s="8">
        <v>0</v>
      </c>
    </row>
    <row r="22" spans="2:35" ht="19.95" customHeight="1" x14ac:dyDescent="0.3">
      <c r="B22" s="1" t="s">
        <v>21</v>
      </c>
      <c r="C22" s="1"/>
      <c r="D22" s="1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7">
        <f t="shared" si="0"/>
        <v>0</v>
      </c>
      <c r="AH22" s="8">
        <v>0</v>
      </c>
      <c r="AI22" s="8">
        <v>0</v>
      </c>
    </row>
    <row r="23" spans="2:35" ht="19.95" customHeight="1" x14ac:dyDescent="0.3">
      <c r="B23" s="1" t="s">
        <v>22</v>
      </c>
      <c r="C23" s="1"/>
      <c r="D23" s="1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7">
        <f t="shared" si="0"/>
        <v>0</v>
      </c>
      <c r="AH23" s="8">
        <v>0</v>
      </c>
      <c r="AI23" s="8">
        <v>0</v>
      </c>
    </row>
  </sheetData>
  <mergeCells count="37">
    <mergeCell ref="B6:B9"/>
    <mergeCell ref="C6:C9"/>
    <mergeCell ref="D6:D9"/>
    <mergeCell ref="E6:H6"/>
    <mergeCell ref="E7:H7"/>
    <mergeCell ref="E8:F8"/>
    <mergeCell ref="G8:H8"/>
    <mergeCell ref="I6:L6"/>
    <mergeCell ref="I7:L7"/>
    <mergeCell ref="I8:J8"/>
    <mergeCell ref="K8:L8"/>
    <mergeCell ref="M6:P6"/>
    <mergeCell ref="M7:P7"/>
    <mergeCell ref="M8:N8"/>
    <mergeCell ref="O8:P8"/>
    <mergeCell ref="Q8:R8"/>
    <mergeCell ref="S8:T8"/>
    <mergeCell ref="U6:X6"/>
    <mergeCell ref="U7:X7"/>
    <mergeCell ref="U8:V8"/>
    <mergeCell ref="W8:X8"/>
    <mergeCell ref="AG6:AG9"/>
    <mergeCell ref="AH6:AH9"/>
    <mergeCell ref="AI6:AI9"/>
    <mergeCell ref="B2:D2"/>
    <mergeCell ref="B3:C3"/>
    <mergeCell ref="B4:C4"/>
    <mergeCell ref="Y6:AB6"/>
    <mergeCell ref="Y7:AB7"/>
    <mergeCell ref="Y8:Z8"/>
    <mergeCell ref="AA8:AB8"/>
    <mergeCell ref="AC6:AF6"/>
    <mergeCell ref="AC7:AF7"/>
    <mergeCell ref="AC8:AD8"/>
    <mergeCell ref="AE8:AF8"/>
    <mergeCell ref="Q6:T6"/>
    <mergeCell ref="Q7:T7"/>
  </mergeCells>
  <dataValidations count="1">
    <dataValidation type="list" allowBlank="1" showInputMessage="1" showErrorMessage="1" sqref="D10:D23" xr:uid="{00000000-0002-0000-0100-000000000000}">
      <formula1>"Dinning Room Staff, Bar Staff, Banquet Staff, Snack Shack, Overlake Cafe"</formula1>
    </dataValidation>
  </dataValidations>
  <pageMargins left="0.7" right="0.7" top="0.75" bottom="0.75" header="0.3" footer="0.3"/>
  <pageSetup scale="22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I23"/>
  <sheetViews>
    <sheetView showGridLines="0" showRowColHeaders="0" zoomScaleNormal="100" zoomScaleSheetLayoutView="100" workbookViewId="0">
      <pane xSplit="4" ySplit="9" topLeftCell="E11" activePane="bottomRight" state="frozen"/>
      <selection activeCell="D11" sqref="D11"/>
      <selection pane="topRight" activeCell="D11" sqref="D11"/>
      <selection pane="bottomLeft" activeCell="D11" sqref="D11"/>
      <selection pane="bottomRight" activeCell="B6" sqref="B6:D9"/>
    </sheetView>
  </sheetViews>
  <sheetFormatPr defaultRowHeight="19.95" customHeight="1" x14ac:dyDescent="0.3"/>
  <cols>
    <col min="1" max="1" width="1" style="3" customWidth="1"/>
    <col min="2" max="2" width="10.09765625" style="3" customWidth="1"/>
    <col min="3" max="3" width="15.3984375" style="3" bestFit="1" customWidth="1"/>
    <col min="4" max="4" width="18.8984375" style="3" bestFit="1" customWidth="1"/>
    <col min="5" max="10" width="9.796875" style="3" customWidth="1"/>
    <col min="11" max="32" width="10.796875" style="3" customWidth="1"/>
    <col min="33" max="33" width="7.5" style="5" customWidth="1"/>
    <col min="34" max="34" width="7.5" style="3" customWidth="1"/>
    <col min="35" max="35" width="9.09765625" style="3" customWidth="1"/>
    <col min="36" max="16384" width="8.796875" style="3"/>
  </cols>
  <sheetData>
    <row r="1" spans="2:35" ht="6" customHeight="1" x14ac:dyDescent="0.3"/>
    <row r="2" spans="2:35" ht="22.8" x14ac:dyDescent="0.3">
      <c r="B2" s="24" t="s">
        <v>33</v>
      </c>
      <c r="C2" s="24"/>
      <c r="D2" s="24"/>
    </row>
    <row r="3" spans="2:35" ht="18" x14ac:dyDescent="0.3">
      <c r="B3" s="25" t="s">
        <v>43</v>
      </c>
      <c r="C3" s="25"/>
    </row>
    <row r="4" spans="2:35" ht="15.6" x14ac:dyDescent="0.3">
      <c r="B4" s="26">
        <f>'Week No. 01'!AC7+1</f>
        <v>44628</v>
      </c>
      <c r="C4" s="27"/>
    </row>
    <row r="5" spans="2:35" ht="15.6" x14ac:dyDescent="0.3"/>
    <row r="6" spans="2:35" ht="21" customHeight="1" x14ac:dyDescent="0.3">
      <c r="B6" s="23" t="s">
        <v>35</v>
      </c>
      <c r="C6" s="23" t="s">
        <v>36</v>
      </c>
      <c r="D6" s="23" t="s">
        <v>37</v>
      </c>
      <c r="E6" s="23" t="str">
        <f>TEXT(E7,"dddd")</f>
        <v>Tuesday</v>
      </c>
      <c r="F6" s="23"/>
      <c r="G6" s="23"/>
      <c r="H6" s="23"/>
      <c r="I6" s="23" t="str">
        <f>TEXT(I7,"dddd")</f>
        <v>Wednesday</v>
      </c>
      <c r="J6" s="23"/>
      <c r="K6" s="23"/>
      <c r="L6" s="23"/>
      <c r="M6" s="23" t="str">
        <f>TEXT(M7,"dddd")</f>
        <v>Thursday</v>
      </c>
      <c r="N6" s="23"/>
      <c r="O6" s="23"/>
      <c r="P6" s="23"/>
      <c r="Q6" s="23" t="str">
        <f>TEXT(Q7,"dddd")</f>
        <v>Friday</v>
      </c>
      <c r="R6" s="23"/>
      <c r="S6" s="23"/>
      <c r="T6" s="23"/>
      <c r="U6" s="23" t="str">
        <f>TEXT(U7,"dddd")</f>
        <v>Saturday</v>
      </c>
      <c r="V6" s="23"/>
      <c r="W6" s="23"/>
      <c r="X6" s="23"/>
      <c r="Y6" s="23" t="str">
        <f>TEXT(Y7,"dddd")</f>
        <v>Sunday</v>
      </c>
      <c r="Z6" s="23"/>
      <c r="AA6" s="23"/>
      <c r="AB6" s="23"/>
      <c r="AC6" s="23" t="str">
        <f>TEXT(AC7,"dddd")</f>
        <v>Monday</v>
      </c>
      <c r="AD6" s="23"/>
      <c r="AE6" s="23"/>
      <c r="AF6" s="23"/>
      <c r="AG6" s="29" t="s">
        <v>40</v>
      </c>
      <c r="AH6" s="29" t="s">
        <v>41</v>
      </c>
      <c r="AI6" s="23" t="s">
        <v>42</v>
      </c>
    </row>
    <row r="7" spans="2:35" ht="21" customHeight="1" x14ac:dyDescent="0.3">
      <c r="B7" s="23"/>
      <c r="C7" s="23"/>
      <c r="D7" s="23"/>
      <c r="E7" s="28">
        <f>B4</f>
        <v>44628</v>
      </c>
      <c r="F7" s="28"/>
      <c r="G7" s="28"/>
      <c r="H7" s="28"/>
      <c r="I7" s="28">
        <f>E7+1</f>
        <v>44629</v>
      </c>
      <c r="J7" s="28"/>
      <c r="K7" s="28"/>
      <c r="L7" s="28"/>
      <c r="M7" s="28">
        <f>I7+1</f>
        <v>44630</v>
      </c>
      <c r="N7" s="28"/>
      <c r="O7" s="28"/>
      <c r="P7" s="28"/>
      <c r="Q7" s="28">
        <f>M7+1</f>
        <v>44631</v>
      </c>
      <c r="R7" s="28"/>
      <c r="S7" s="28"/>
      <c r="T7" s="28"/>
      <c r="U7" s="28">
        <f>Q7+1</f>
        <v>44632</v>
      </c>
      <c r="V7" s="28"/>
      <c r="W7" s="28"/>
      <c r="X7" s="28"/>
      <c r="Y7" s="28">
        <f>U7+1</f>
        <v>44633</v>
      </c>
      <c r="Z7" s="28"/>
      <c r="AA7" s="28"/>
      <c r="AB7" s="28"/>
      <c r="AC7" s="28">
        <f>Y7+1</f>
        <v>44634</v>
      </c>
      <c r="AD7" s="28"/>
      <c r="AE7" s="28"/>
      <c r="AF7" s="28"/>
      <c r="AG7" s="30"/>
      <c r="AH7" s="30"/>
      <c r="AI7" s="23"/>
    </row>
    <row r="8" spans="2:35" ht="21" customHeight="1" x14ac:dyDescent="0.3">
      <c r="B8" s="23"/>
      <c r="C8" s="23"/>
      <c r="D8" s="23"/>
      <c r="E8" s="23" t="s">
        <v>23</v>
      </c>
      <c r="F8" s="23"/>
      <c r="G8" s="23" t="s">
        <v>24</v>
      </c>
      <c r="H8" s="23"/>
      <c r="I8" s="23" t="s">
        <v>23</v>
      </c>
      <c r="J8" s="23"/>
      <c r="K8" s="23" t="s">
        <v>24</v>
      </c>
      <c r="L8" s="23"/>
      <c r="M8" s="23" t="s">
        <v>23</v>
      </c>
      <c r="N8" s="23"/>
      <c r="O8" s="23" t="s">
        <v>24</v>
      </c>
      <c r="P8" s="23"/>
      <c r="Q8" s="23" t="s">
        <v>23</v>
      </c>
      <c r="R8" s="23"/>
      <c r="S8" s="23" t="s">
        <v>24</v>
      </c>
      <c r="T8" s="23"/>
      <c r="U8" s="23" t="s">
        <v>23</v>
      </c>
      <c r="V8" s="23"/>
      <c r="W8" s="23" t="s">
        <v>24</v>
      </c>
      <c r="X8" s="23"/>
      <c r="Y8" s="23" t="s">
        <v>23</v>
      </c>
      <c r="Z8" s="23"/>
      <c r="AA8" s="23" t="s">
        <v>24</v>
      </c>
      <c r="AB8" s="23"/>
      <c r="AC8" s="23" t="s">
        <v>23</v>
      </c>
      <c r="AD8" s="23"/>
      <c r="AE8" s="23" t="s">
        <v>24</v>
      </c>
      <c r="AF8" s="23"/>
      <c r="AG8" s="30"/>
      <c r="AH8" s="30"/>
      <c r="AI8" s="23"/>
    </row>
    <row r="9" spans="2:35" ht="21" customHeight="1" x14ac:dyDescent="0.3">
      <c r="B9" s="23"/>
      <c r="C9" s="23"/>
      <c r="D9" s="23"/>
      <c r="E9" s="4" t="s">
        <v>38</v>
      </c>
      <c r="F9" s="4" t="s">
        <v>39</v>
      </c>
      <c r="G9" s="4" t="s">
        <v>38</v>
      </c>
      <c r="H9" s="4" t="s">
        <v>39</v>
      </c>
      <c r="I9" s="4" t="s">
        <v>38</v>
      </c>
      <c r="J9" s="4" t="s">
        <v>39</v>
      </c>
      <c r="K9" s="4" t="s">
        <v>38</v>
      </c>
      <c r="L9" s="4" t="s">
        <v>39</v>
      </c>
      <c r="M9" s="4" t="s">
        <v>38</v>
      </c>
      <c r="N9" s="4" t="s">
        <v>39</v>
      </c>
      <c r="O9" s="4" t="s">
        <v>38</v>
      </c>
      <c r="P9" s="4" t="s">
        <v>39</v>
      </c>
      <c r="Q9" s="4" t="s">
        <v>38</v>
      </c>
      <c r="R9" s="4" t="s">
        <v>39</v>
      </c>
      <c r="S9" s="4" t="s">
        <v>38</v>
      </c>
      <c r="T9" s="4" t="s">
        <v>39</v>
      </c>
      <c r="U9" s="4" t="s">
        <v>38</v>
      </c>
      <c r="V9" s="4" t="s">
        <v>39</v>
      </c>
      <c r="W9" s="4" t="s">
        <v>38</v>
      </c>
      <c r="X9" s="4" t="s">
        <v>39</v>
      </c>
      <c r="Y9" s="4" t="s">
        <v>38</v>
      </c>
      <c r="Z9" s="4" t="s">
        <v>39</v>
      </c>
      <c r="AA9" s="4" t="s">
        <v>38</v>
      </c>
      <c r="AB9" s="4" t="s">
        <v>39</v>
      </c>
      <c r="AC9" s="4" t="s">
        <v>38</v>
      </c>
      <c r="AD9" s="4" t="s">
        <v>39</v>
      </c>
      <c r="AE9" s="4" t="s">
        <v>38</v>
      </c>
      <c r="AF9" s="4" t="s">
        <v>39</v>
      </c>
      <c r="AG9" s="31"/>
      <c r="AH9" s="31"/>
      <c r="AI9" s="23"/>
    </row>
    <row r="10" spans="2:35" ht="19.95" customHeight="1" x14ac:dyDescent="0.3">
      <c r="B10" s="1" t="s">
        <v>0</v>
      </c>
      <c r="C10" s="1" t="s">
        <v>1</v>
      </c>
      <c r="D10" s="1" t="s">
        <v>25</v>
      </c>
      <c r="E10" s="6">
        <v>0.375</v>
      </c>
      <c r="F10" s="6">
        <v>0.70833333333333337</v>
      </c>
      <c r="G10" s="6">
        <v>0.375</v>
      </c>
      <c r="H10" s="6">
        <v>0.70833333333333337</v>
      </c>
      <c r="I10" s="6">
        <v>0.41666666666666669</v>
      </c>
      <c r="J10" s="6">
        <v>0.75</v>
      </c>
      <c r="K10" s="6">
        <v>0.41666666666666669</v>
      </c>
      <c r="L10" s="6">
        <v>0.75</v>
      </c>
      <c r="M10" s="6">
        <v>0.375</v>
      </c>
      <c r="N10" s="6">
        <v>0.70833333333333337</v>
      </c>
      <c r="O10" s="6">
        <v>0.375</v>
      </c>
      <c r="P10" s="6">
        <v>0.70833333333333337</v>
      </c>
      <c r="Q10" s="6">
        <v>0.375</v>
      </c>
      <c r="R10" s="6">
        <v>0.70833333333333337</v>
      </c>
      <c r="S10" s="6">
        <v>0.41666666666666669</v>
      </c>
      <c r="T10" s="6">
        <v>0.75</v>
      </c>
      <c r="U10" s="6">
        <v>0.41666666666666669</v>
      </c>
      <c r="V10" s="6">
        <v>0.75</v>
      </c>
      <c r="W10" s="6">
        <v>0.375</v>
      </c>
      <c r="X10" s="6">
        <v>0.70833333333333337</v>
      </c>
      <c r="Y10" s="6">
        <v>0.41666666666666669</v>
      </c>
      <c r="Z10" s="6">
        <v>0.75</v>
      </c>
      <c r="AA10" s="6">
        <v>0.375</v>
      </c>
      <c r="AB10" s="6">
        <v>0.70833333333333337</v>
      </c>
      <c r="AC10" s="6">
        <v>0.41666666666666669</v>
      </c>
      <c r="AD10" s="6">
        <v>0.75</v>
      </c>
      <c r="AE10" s="6">
        <v>0.375</v>
      </c>
      <c r="AF10" s="6">
        <v>0.70833333333333337</v>
      </c>
      <c r="AG10" s="7">
        <f>((F10-E10)+(H10-G10)+(J10-I10)+(L10-K10)+(N10-M10)+(P10-O10)+(R10-Q10)+(T10-S10)+(V10-U10)+(X10-W10)+(Z10-Y10)+(AB10-AA10)+(AD10-AC10)+(AF10-AE10))*24</f>
        <v>112</v>
      </c>
      <c r="AH10" s="8">
        <v>5</v>
      </c>
      <c r="AI10" s="8">
        <v>560</v>
      </c>
    </row>
    <row r="11" spans="2:35" ht="19.95" customHeight="1" x14ac:dyDescent="0.3">
      <c r="B11" s="1" t="s">
        <v>2</v>
      </c>
      <c r="C11" s="1" t="s">
        <v>3</v>
      </c>
      <c r="D11" s="1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7">
        <f>((F11-E11)+(H11-G11)+(J11-I11)+(L11-K11)+(N11-M11)+(P11-O11)+(R11-Q11)+(T11-S11)+(V11-U11)+(X11-W11)+(Z11-Y11)+(AB11-AA11)+(AD11-AC11)+(AF11-AE11))*24</f>
        <v>0</v>
      </c>
      <c r="AH11" s="8">
        <v>10</v>
      </c>
      <c r="AI11" s="8">
        <v>0</v>
      </c>
    </row>
    <row r="12" spans="2:35" ht="19.95" customHeight="1" x14ac:dyDescent="0.3">
      <c r="B12" s="1" t="s">
        <v>4</v>
      </c>
      <c r="C12" s="1"/>
      <c r="D12" s="1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7">
        <f t="shared" ref="AG12:AG23" si="0">((F12-E12)+(H12-G12)+(J12-I12)+(L12-K12)+(N12-M12)+(P12-O12)+(R12-Q12)+(T12-S12)+(V12-U12)+(X12-W12)+(Z12-Y12)+(AB12-AA12)+(AD12-AC12)+(AF12-AE12))*24</f>
        <v>0</v>
      </c>
      <c r="AH12" s="8">
        <v>15</v>
      </c>
      <c r="AI12" s="8">
        <v>0</v>
      </c>
    </row>
    <row r="13" spans="2:35" ht="19.95" customHeight="1" x14ac:dyDescent="0.3">
      <c r="B13" s="1" t="s">
        <v>5</v>
      </c>
      <c r="C13" s="1"/>
      <c r="D13" s="1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7">
        <f t="shared" si="0"/>
        <v>0</v>
      </c>
      <c r="AH13" s="8">
        <v>20</v>
      </c>
      <c r="AI13" s="8">
        <v>0</v>
      </c>
    </row>
    <row r="14" spans="2:35" ht="19.95" customHeight="1" x14ac:dyDescent="0.3">
      <c r="B14" s="1" t="s">
        <v>6</v>
      </c>
      <c r="C14" s="1" t="s">
        <v>7</v>
      </c>
      <c r="D14" s="1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7">
        <f t="shared" si="0"/>
        <v>0</v>
      </c>
      <c r="AH14" s="8">
        <v>0</v>
      </c>
      <c r="AI14" s="8">
        <v>0</v>
      </c>
    </row>
    <row r="15" spans="2:35" ht="19.95" customHeight="1" x14ac:dyDescent="0.3">
      <c r="B15" s="1" t="s">
        <v>8</v>
      </c>
      <c r="C15" s="1"/>
      <c r="D15" s="1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7">
        <f t="shared" si="0"/>
        <v>0</v>
      </c>
      <c r="AH15" s="8">
        <v>0</v>
      </c>
      <c r="AI15" s="8">
        <v>0</v>
      </c>
    </row>
    <row r="16" spans="2:35" ht="19.95" customHeight="1" x14ac:dyDescent="0.3">
      <c r="B16" s="1" t="s">
        <v>9</v>
      </c>
      <c r="C16" s="1" t="s">
        <v>10</v>
      </c>
      <c r="D16" s="1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7">
        <f t="shared" si="0"/>
        <v>0</v>
      </c>
      <c r="AH16" s="8">
        <v>0</v>
      </c>
      <c r="AI16" s="8">
        <v>0</v>
      </c>
    </row>
    <row r="17" spans="2:35" ht="19.95" customHeight="1" x14ac:dyDescent="0.3">
      <c r="B17" s="1" t="s">
        <v>11</v>
      </c>
      <c r="C17" s="1" t="s">
        <v>12</v>
      </c>
      <c r="D17" s="1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7">
        <f t="shared" si="0"/>
        <v>0</v>
      </c>
      <c r="AH17" s="8">
        <v>0</v>
      </c>
      <c r="AI17" s="8">
        <v>0</v>
      </c>
    </row>
    <row r="18" spans="2:35" ht="19.95" customHeight="1" x14ac:dyDescent="0.3">
      <c r="B18" s="1" t="s">
        <v>13</v>
      </c>
      <c r="C18" s="1" t="s">
        <v>14</v>
      </c>
      <c r="D18" s="1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7">
        <f t="shared" si="0"/>
        <v>0</v>
      </c>
      <c r="AH18" s="8">
        <v>0</v>
      </c>
      <c r="AI18" s="8">
        <v>0</v>
      </c>
    </row>
    <row r="19" spans="2:35" ht="19.95" customHeight="1" x14ac:dyDescent="0.3">
      <c r="B19" s="1" t="s">
        <v>15</v>
      </c>
      <c r="C19" s="1" t="s">
        <v>16</v>
      </c>
      <c r="D19" s="1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7">
        <f t="shared" si="0"/>
        <v>0</v>
      </c>
      <c r="AH19" s="8">
        <v>0</v>
      </c>
      <c r="AI19" s="8">
        <v>0</v>
      </c>
    </row>
    <row r="20" spans="2:35" ht="19.95" customHeight="1" x14ac:dyDescent="0.3">
      <c r="B20" s="1" t="s">
        <v>17</v>
      </c>
      <c r="C20" s="1" t="s">
        <v>18</v>
      </c>
      <c r="D20" s="1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7">
        <f t="shared" si="0"/>
        <v>0</v>
      </c>
      <c r="AH20" s="8">
        <v>0</v>
      </c>
      <c r="AI20" s="8">
        <v>0</v>
      </c>
    </row>
    <row r="21" spans="2:35" ht="19.95" customHeight="1" x14ac:dyDescent="0.3">
      <c r="B21" s="1" t="s">
        <v>19</v>
      </c>
      <c r="C21" s="1" t="s">
        <v>20</v>
      </c>
      <c r="D21" s="1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7">
        <f t="shared" si="0"/>
        <v>0</v>
      </c>
      <c r="AH21" s="8">
        <v>0</v>
      </c>
      <c r="AI21" s="8">
        <v>0</v>
      </c>
    </row>
    <row r="22" spans="2:35" ht="19.95" customHeight="1" x14ac:dyDescent="0.3">
      <c r="B22" s="1" t="s">
        <v>21</v>
      </c>
      <c r="C22" s="1"/>
      <c r="D22" s="1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7">
        <f t="shared" si="0"/>
        <v>0</v>
      </c>
      <c r="AH22" s="8">
        <v>0</v>
      </c>
      <c r="AI22" s="8">
        <v>0</v>
      </c>
    </row>
    <row r="23" spans="2:35" ht="19.95" customHeight="1" x14ac:dyDescent="0.3">
      <c r="B23" s="1" t="s">
        <v>22</v>
      </c>
      <c r="C23" s="1"/>
      <c r="D23" s="1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7">
        <f t="shared" si="0"/>
        <v>0</v>
      </c>
      <c r="AH23" s="8">
        <v>0</v>
      </c>
      <c r="AI23" s="8">
        <v>0</v>
      </c>
    </row>
  </sheetData>
  <mergeCells count="37">
    <mergeCell ref="B2:D2"/>
    <mergeCell ref="B3:C3"/>
    <mergeCell ref="B4:C4"/>
    <mergeCell ref="B6:B9"/>
    <mergeCell ref="C6:C9"/>
    <mergeCell ref="D6:D9"/>
    <mergeCell ref="AC6:AF6"/>
    <mergeCell ref="AG6:AG9"/>
    <mergeCell ref="AH6:AH9"/>
    <mergeCell ref="AI6:AI9"/>
    <mergeCell ref="E7:H7"/>
    <mergeCell ref="I7:L7"/>
    <mergeCell ref="M7:P7"/>
    <mergeCell ref="Q7:T7"/>
    <mergeCell ref="U7:X7"/>
    <mergeCell ref="Y7:AB7"/>
    <mergeCell ref="E6:H6"/>
    <mergeCell ref="I6:L6"/>
    <mergeCell ref="M6:P6"/>
    <mergeCell ref="Q6:T6"/>
    <mergeCell ref="U6:X6"/>
    <mergeCell ref="Y6:AB6"/>
    <mergeCell ref="AC7:AF7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AC8:AD8"/>
    <mergeCell ref="AE8:AF8"/>
  </mergeCells>
  <dataValidations count="1">
    <dataValidation type="list" allowBlank="1" showInputMessage="1" showErrorMessage="1" sqref="D10:D23" xr:uid="{00000000-0002-0000-0200-000000000000}">
      <formula1>"Dinning Room Staff, Bar Staff, Banquet Staff, Snack Shack, Overlake Cafe"</formula1>
    </dataValidation>
  </dataValidations>
  <pageMargins left="0.7" right="0.7" top="0.75" bottom="0.75" header="0.3" footer="0.3"/>
  <pageSetup scale="22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I23"/>
  <sheetViews>
    <sheetView showGridLines="0" showRowColHeaders="0" zoomScaleNormal="100" zoomScaleSheetLayoutView="100" workbookViewId="0">
      <pane xSplit="4" ySplit="9" topLeftCell="AB10" activePane="bottomRight" state="frozen"/>
      <selection activeCell="D11" sqref="D11"/>
      <selection pane="topRight" activeCell="D11" sqref="D11"/>
      <selection pane="bottomLeft" activeCell="D11" sqref="D11"/>
      <selection pane="bottomRight" activeCell="AG6" sqref="AG6:AI9"/>
    </sheetView>
  </sheetViews>
  <sheetFormatPr defaultRowHeight="19.95" customHeight="1" x14ac:dyDescent="0.3"/>
  <cols>
    <col min="1" max="1" width="1" style="3" customWidth="1"/>
    <col min="2" max="2" width="10.09765625" style="3" customWidth="1"/>
    <col min="3" max="3" width="15.3984375" style="3" bestFit="1" customWidth="1"/>
    <col min="4" max="4" width="18.8984375" style="3" bestFit="1" customWidth="1"/>
    <col min="5" max="10" width="9.796875" style="3" customWidth="1"/>
    <col min="11" max="32" width="10.796875" style="3" customWidth="1"/>
    <col min="33" max="33" width="7.5" style="5" customWidth="1"/>
    <col min="34" max="34" width="14.8984375" style="3" customWidth="1"/>
    <col min="35" max="35" width="16.69921875" style="3" customWidth="1"/>
    <col min="36" max="16384" width="8.796875" style="3"/>
  </cols>
  <sheetData>
    <row r="1" spans="2:35" ht="6" customHeight="1" x14ac:dyDescent="0.3"/>
    <row r="2" spans="2:35" ht="22.8" x14ac:dyDescent="0.3">
      <c r="B2" s="24" t="s">
        <v>33</v>
      </c>
      <c r="C2" s="24"/>
      <c r="D2" s="24"/>
    </row>
    <row r="3" spans="2:35" ht="18" x14ac:dyDescent="0.3">
      <c r="B3" s="25" t="s">
        <v>34</v>
      </c>
      <c r="C3" s="25"/>
    </row>
    <row r="4" spans="2:35" ht="15.6" x14ac:dyDescent="0.3">
      <c r="B4" s="26">
        <f>'Week No. 02'!AC7+1</f>
        <v>44635</v>
      </c>
      <c r="C4" s="27"/>
    </row>
    <row r="5" spans="2:35" ht="15.6" x14ac:dyDescent="0.3"/>
    <row r="6" spans="2:35" ht="21" customHeight="1" x14ac:dyDescent="0.3">
      <c r="B6" s="23" t="s">
        <v>35</v>
      </c>
      <c r="C6" s="23" t="s">
        <v>36</v>
      </c>
      <c r="D6" s="23" t="s">
        <v>37</v>
      </c>
      <c r="E6" s="23" t="str">
        <f>TEXT(E7,"dddd")</f>
        <v>Tuesday</v>
      </c>
      <c r="F6" s="23"/>
      <c r="G6" s="23"/>
      <c r="H6" s="23"/>
      <c r="I6" s="23" t="str">
        <f>TEXT(I7,"dddd")</f>
        <v>Wednesday</v>
      </c>
      <c r="J6" s="23"/>
      <c r="K6" s="23"/>
      <c r="L6" s="23"/>
      <c r="M6" s="23" t="str">
        <f>TEXT(M7,"dddd")</f>
        <v>Thursday</v>
      </c>
      <c r="N6" s="23"/>
      <c r="O6" s="23"/>
      <c r="P6" s="23"/>
      <c r="Q6" s="23" t="str">
        <f>TEXT(Q7,"dddd")</f>
        <v>Friday</v>
      </c>
      <c r="R6" s="23"/>
      <c r="S6" s="23"/>
      <c r="T6" s="23"/>
      <c r="U6" s="23" t="str">
        <f>TEXT(U7,"dddd")</f>
        <v>Saturday</v>
      </c>
      <c r="V6" s="23"/>
      <c r="W6" s="23"/>
      <c r="X6" s="23"/>
      <c r="Y6" s="23" t="str">
        <f>TEXT(Y7,"dddd")</f>
        <v>Sunday</v>
      </c>
      <c r="Z6" s="23"/>
      <c r="AA6" s="23"/>
      <c r="AB6" s="23"/>
      <c r="AC6" s="23" t="str">
        <f>TEXT(AC7,"dddd")</f>
        <v>Monday</v>
      </c>
      <c r="AD6" s="23"/>
      <c r="AE6" s="23"/>
      <c r="AF6" s="23"/>
      <c r="AG6" s="29" t="s">
        <v>40</v>
      </c>
      <c r="AH6" s="29" t="s">
        <v>41</v>
      </c>
      <c r="AI6" s="23" t="s">
        <v>42</v>
      </c>
    </row>
    <row r="7" spans="2:35" ht="21" customHeight="1" x14ac:dyDescent="0.3">
      <c r="B7" s="23"/>
      <c r="C7" s="23"/>
      <c r="D7" s="23"/>
      <c r="E7" s="28">
        <f>B4</f>
        <v>44635</v>
      </c>
      <c r="F7" s="28"/>
      <c r="G7" s="28"/>
      <c r="H7" s="28"/>
      <c r="I7" s="28">
        <f>E7+1</f>
        <v>44636</v>
      </c>
      <c r="J7" s="28"/>
      <c r="K7" s="28"/>
      <c r="L7" s="28"/>
      <c r="M7" s="28">
        <f>I7+1</f>
        <v>44637</v>
      </c>
      <c r="N7" s="28"/>
      <c r="O7" s="28"/>
      <c r="P7" s="28"/>
      <c r="Q7" s="28">
        <f>M7+1</f>
        <v>44638</v>
      </c>
      <c r="R7" s="28"/>
      <c r="S7" s="28"/>
      <c r="T7" s="28"/>
      <c r="U7" s="28">
        <f>Q7+1</f>
        <v>44639</v>
      </c>
      <c r="V7" s="28"/>
      <c r="W7" s="28"/>
      <c r="X7" s="28"/>
      <c r="Y7" s="28">
        <f>U7+1</f>
        <v>44640</v>
      </c>
      <c r="Z7" s="28"/>
      <c r="AA7" s="28"/>
      <c r="AB7" s="28"/>
      <c r="AC7" s="28">
        <f>Y7+1</f>
        <v>44641</v>
      </c>
      <c r="AD7" s="28"/>
      <c r="AE7" s="28"/>
      <c r="AF7" s="28"/>
      <c r="AG7" s="30"/>
      <c r="AH7" s="30"/>
      <c r="AI7" s="23"/>
    </row>
    <row r="8" spans="2:35" ht="21" customHeight="1" x14ac:dyDescent="0.3">
      <c r="B8" s="23"/>
      <c r="C8" s="23"/>
      <c r="D8" s="23"/>
      <c r="E8" s="23" t="s">
        <v>23</v>
      </c>
      <c r="F8" s="23"/>
      <c r="G8" s="23" t="s">
        <v>24</v>
      </c>
      <c r="H8" s="23"/>
      <c r="I8" s="23" t="s">
        <v>23</v>
      </c>
      <c r="J8" s="23"/>
      <c r="K8" s="23" t="s">
        <v>24</v>
      </c>
      <c r="L8" s="23"/>
      <c r="M8" s="23" t="s">
        <v>23</v>
      </c>
      <c r="N8" s="23"/>
      <c r="O8" s="23" t="s">
        <v>24</v>
      </c>
      <c r="P8" s="23"/>
      <c r="Q8" s="23" t="s">
        <v>23</v>
      </c>
      <c r="R8" s="23"/>
      <c r="S8" s="23" t="s">
        <v>24</v>
      </c>
      <c r="T8" s="23"/>
      <c r="U8" s="23" t="s">
        <v>23</v>
      </c>
      <c r="V8" s="23"/>
      <c r="W8" s="23" t="s">
        <v>24</v>
      </c>
      <c r="X8" s="23"/>
      <c r="Y8" s="23" t="s">
        <v>23</v>
      </c>
      <c r="Z8" s="23"/>
      <c r="AA8" s="23" t="s">
        <v>24</v>
      </c>
      <c r="AB8" s="23"/>
      <c r="AC8" s="23" t="s">
        <v>23</v>
      </c>
      <c r="AD8" s="23"/>
      <c r="AE8" s="23" t="s">
        <v>24</v>
      </c>
      <c r="AF8" s="23"/>
      <c r="AG8" s="30"/>
      <c r="AH8" s="30"/>
      <c r="AI8" s="23"/>
    </row>
    <row r="9" spans="2:35" ht="21" customHeight="1" x14ac:dyDescent="0.3">
      <c r="B9" s="23"/>
      <c r="C9" s="23"/>
      <c r="D9" s="23"/>
      <c r="E9" s="4" t="s">
        <v>38</v>
      </c>
      <c r="F9" s="4" t="s">
        <v>39</v>
      </c>
      <c r="G9" s="4" t="s">
        <v>38</v>
      </c>
      <c r="H9" s="4" t="s">
        <v>39</v>
      </c>
      <c r="I9" s="4" t="s">
        <v>38</v>
      </c>
      <c r="J9" s="4" t="s">
        <v>39</v>
      </c>
      <c r="K9" s="4" t="s">
        <v>38</v>
      </c>
      <c r="L9" s="4" t="s">
        <v>39</v>
      </c>
      <c r="M9" s="4" t="s">
        <v>38</v>
      </c>
      <c r="N9" s="4" t="s">
        <v>39</v>
      </c>
      <c r="O9" s="4" t="s">
        <v>38</v>
      </c>
      <c r="P9" s="4" t="s">
        <v>39</v>
      </c>
      <c r="Q9" s="4" t="s">
        <v>38</v>
      </c>
      <c r="R9" s="4" t="s">
        <v>39</v>
      </c>
      <c r="S9" s="4" t="s">
        <v>38</v>
      </c>
      <c r="T9" s="4" t="s">
        <v>39</v>
      </c>
      <c r="U9" s="4" t="s">
        <v>38</v>
      </c>
      <c r="V9" s="4" t="s">
        <v>39</v>
      </c>
      <c r="W9" s="4" t="s">
        <v>38</v>
      </c>
      <c r="X9" s="4" t="s">
        <v>39</v>
      </c>
      <c r="Y9" s="4" t="s">
        <v>38</v>
      </c>
      <c r="Z9" s="4" t="s">
        <v>39</v>
      </c>
      <c r="AA9" s="4" t="s">
        <v>38</v>
      </c>
      <c r="AB9" s="4" t="s">
        <v>39</v>
      </c>
      <c r="AC9" s="4" t="s">
        <v>38</v>
      </c>
      <c r="AD9" s="4" t="s">
        <v>39</v>
      </c>
      <c r="AE9" s="4" t="s">
        <v>38</v>
      </c>
      <c r="AF9" s="4" t="s">
        <v>39</v>
      </c>
      <c r="AG9" s="31"/>
      <c r="AH9" s="31"/>
      <c r="AI9" s="23"/>
    </row>
    <row r="10" spans="2:35" ht="19.95" customHeight="1" x14ac:dyDescent="0.3">
      <c r="B10" s="1" t="s">
        <v>0</v>
      </c>
      <c r="C10" s="1" t="s">
        <v>1</v>
      </c>
      <c r="D10" s="1" t="s">
        <v>25</v>
      </c>
      <c r="E10" s="6">
        <v>0.375</v>
      </c>
      <c r="F10" s="6">
        <v>0.70833333333333337</v>
      </c>
      <c r="G10" s="6">
        <v>0.375</v>
      </c>
      <c r="H10" s="6">
        <v>0.70833333333333337</v>
      </c>
      <c r="I10" s="6">
        <v>0.41666666666666669</v>
      </c>
      <c r="J10" s="6">
        <v>0.75</v>
      </c>
      <c r="K10" s="6">
        <v>0.41666666666666669</v>
      </c>
      <c r="L10" s="6">
        <v>0.75</v>
      </c>
      <c r="M10" s="6">
        <v>0.375</v>
      </c>
      <c r="N10" s="6">
        <v>0.70833333333333337</v>
      </c>
      <c r="O10" s="6">
        <v>0.375</v>
      </c>
      <c r="P10" s="6">
        <v>0.70833333333333337</v>
      </c>
      <c r="Q10" s="6">
        <v>0.375</v>
      </c>
      <c r="R10" s="6">
        <v>0.70833333333333337</v>
      </c>
      <c r="S10" s="6">
        <v>0.41666666666666669</v>
      </c>
      <c r="T10" s="6">
        <v>0.75</v>
      </c>
      <c r="U10" s="6">
        <v>0.41666666666666669</v>
      </c>
      <c r="V10" s="6">
        <v>0.75</v>
      </c>
      <c r="W10" s="6">
        <v>0.375</v>
      </c>
      <c r="X10" s="6">
        <v>0.70833333333333337</v>
      </c>
      <c r="Y10" s="6">
        <v>0.41666666666666669</v>
      </c>
      <c r="Z10" s="6">
        <v>0.75</v>
      </c>
      <c r="AA10" s="6">
        <v>0.375</v>
      </c>
      <c r="AB10" s="6">
        <v>0.70833333333333337</v>
      </c>
      <c r="AC10" s="6">
        <v>0.41666666666666669</v>
      </c>
      <c r="AD10" s="6">
        <v>0.75</v>
      </c>
      <c r="AE10" s="6">
        <v>0.375</v>
      </c>
      <c r="AF10" s="6">
        <v>0.70833333333333337</v>
      </c>
      <c r="AG10" s="7">
        <f>((F10-E10)+(H10-G10)+(J10-I10)+(L10-K10)+(N10-M10)+(P10-O10)+(R10-Q10)+(T10-S10)+(V10-U10)+(X10-W10)+(Z10-Y10)+(AB10-AA10)+(AD10-AC10)+(AF10-AE10))*24</f>
        <v>112</v>
      </c>
      <c r="AH10" s="32">
        <v>5</v>
      </c>
      <c r="AI10" s="32">
        <v>560</v>
      </c>
    </row>
    <row r="11" spans="2:35" ht="19.95" customHeight="1" x14ac:dyDescent="0.3">
      <c r="B11" s="1" t="s">
        <v>2</v>
      </c>
      <c r="C11" s="1" t="s">
        <v>3</v>
      </c>
      <c r="D11" s="1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7">
        <f>((F11-E11)+(H11-G11)+(J11-I11)+(L11-K11)+(N11-M11)+(P11-O11)+(R11-Q11)+(T11-S11)+(V11-U11)+(X11-W11)+(Z11-Y11)+(AB11-AA11)+(AD11-AC11)+(AF11-AE11))*24</f>
        <v>0</v>
      </c>
      <c r="AH11" s="32">
        <v>10</v>
      </c>
      <c r="AI11" s="32">
        <v>0</v>
      </c>
    </row>
    <row r="12" spans="2:35" ht="19.95" customHeight="1" x14ac:dyDescent="0.3">
      <c r="B12" s="1" t="s">
        <v>4</v>
      </c>
      <c r="C12" s="1"/>
      <c r="D12" s="1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7">
        <f t="shared" ref="AG12:AG23" si="0">((F12-E12)+(H12-G12)+(J12-I12)+(L12-K12)+(N12-M12)+(P12-O12)+(R12-Q12)+(T12-S12)+(V12-U12)+(X12-W12)+(Z12-Y12)+(AB12-AA12)+(AD12-AC12)+(AF12-AE12))*24</f>
        <v>0</v>
      </c>
      <c r="AH12" s="32">
        <v>15</v>
      </c>
      <c r="AI12" s="32">
        <v>0</v>
      </c>
    </row>
    <row r="13" spans="2:35" ht="19.95" customHeight="1" x14ac:dyDescent="0.3">
      <c r="B13" s="1" t="s">
        <v>5</v>
      </c>
      <c r="C13" s="1"/>
      <c r="D13" s="1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7">
        <f t="shared" si="0"/>
        <v>0</v>
      </c>
      <c r="AH13" s="32">
        <v>20</v>
      </c>
      <c r="AI13" s="32">
        <v>0</v>
      </c>
    </row>
    <row r="14" spans="2:35" ht="19.95" customHeight="1" x14ac:dyDescent="0.3">
      <c r="B14" s="1" t="s">
        <v>6</v>
      </c>
      <c r="C14" s="1" t="s">
        <v>7</v>
      </c>
      <c r="D14" s="1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7">
        <f t="shared" si="0"/>
        <v>0</v>
      </c>
      <c r="AH14" s="32">
        <v>0</v>
      </c>
      <c r="AI14" s="32">
        <v>0</v>
      </c>
    </row>
    <row r="15" spans="2:35" ht="19.95" customHeight="1" x14ac:dyDescent="0.3">
      <c r="B15" s="1" t="s">
        <v>8</v>
      </c>
      <c r="C15" s="1"/>
      <c r="D15" s="1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7">
        <f t="shared" si="0"/>
        <v>0</v>
      </c>
      <c r="AH15" s="32">
        <v>0</v>
      </c>
      <c r="AI15" s="32">
        <v>0</v>
      </c>
    </row>
    <row r="16" spans="2:35" ht="19.95" customHeight="1" x14ac:dyDescent="0.3">
      <c r="B16" s="1" t="s">
        <v>9</v>
      </c>
      <c r="C16" s="1" t="s">
        <v>10</v>
      </c>
      <c r="D16" s="1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7">
        <f t="shared" si="0"/>
        <v>0</v>
      </c>
      <c r="AH16" s="32">
        <v>0</v>
      </c>
      <c r="AI16" s="32">
        <v>0</v>
      </c>
    </row>
    <row r="17" spans="2:35" ht="19.95" customHeight="1" x14ac:dyDescent="0.3">
      <c r="B17" s="1" t="s">
        <v>11</v>
      </c>
      <c r="C17" s="1" t="s">
        <v>12</v>
      </c>
      <c r="D17" s="1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7">
        <f t="shared" si="0"/>
        <v>0</v>
      </c>
      <c r="AH17" s="32">
        <v>0</v>
      </c>
      <c r="AI17" s="32">
        <v>0</v>
      </c>
    </row>
    <row r="18" spans="2:35" ht="19.95" customHeight="1" x14ac:dyDescent="0.3">
      <c r="B18" s="1" t="s">
        <v>13</v>
      </c>
      <c r="C18" s="1" t="s">
        <v>14</v>
      </c>
      <c r="D18" s="1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7">
        <f t="shared" si="0"/>
        <v>0</v>
      </c>
      <c r="AH18" s="32">
        <v>0</v>
      </c>
      <c r="AI18" s="32">
        <v>0</v>
      </c>
    </row>
    <row r="19" spans="2:35" ht="19.95" customHeight="1" x14ac:dyDescent="0.3">
      <c r="B19" s="1" t="s">
        <v>15</v>
      </c>
      <c r="C19" s="1" t="s">
        <v>16</v>
      </c>
      <c r="D19" s="1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7">
        <f t="shared" si="0"/>
        <v>0</v>
      </c>
      <c r="AH19" s="32">
        <v>0</v>
      </c>
      <c r="AI19" s="32">
        <v>0</v>
      </c>
    </row>
    <row r="20" spans="2:35" ht="19.95" customHeight="1" x14ac:dyDescent="0.3">
      <c r="B20" s="1" t="s">
        <v>17</v>
      </c>
      <c r="C20" s="1" t="s">
        <v>18</v>
      </c>
      <c r="D20" s="1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7">
        <f t="shared" si="0"/>
        <v>0</v>
      </c>
      <c r="AH20" s="32">
        <v>0</v>
      </c>
      <c r="AI20" s="32">
        <v>0</v>
      </c>
    </row>
    <row r="21" spans="2:35" ht="19.95" customHeight="1" x14ac:dyDescent="0.3">
      <c r="B21" s="1" t="s">
        <v>19</v>
      </c>
      <c r="C21" s="1" t="s">
        <v>20</v>
      </c>
      <c r="D21" s="1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7">
        <f t="shared" si="0"/>
        <v>0</v>
      </c>
      <c r="AH21" s="32">
        <v>0</v>
      </c>
      <c r="AI21" s="32">
        <v>0</v>
      </c>
    </row>
    <row r="22" spans="2:35" ht="19.95" customHeight="1" x14ac:dyDescent="0.3">
      <c r="B22" s="1" t="s">
        <v>21</v>
      </c>
      <c r="C22" s="1"/>
      <c r="D22" s="1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7">
        <f t="shared" si="0"/>
        <v>0</v>
      </c>
      <c r="AH22" s="32">
        <v>0</v>
      </c>
      <c r="AI22" s="32">
        <v>0</v>
      </c>
    </row>
    <row r="23" spans="2:35" ht="19.95" customHeight="1" x14ac:dyDescent="0.3">
      <c r="B23" s="1" t="s">
        <v>22</v>
      </c>
      <c r="C23" s="1"/>
      <c r="D23" s="1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7">
        <f t="shared" si="0"/>
        <v>0</v>
      </c>
      <c r="AH23" s="32">
        <v>0</v>
      </c>
      <c r="AI23" s="32">
        <v>0</v>
      </c>
    </row>
  </sheetData>
  <mergeCells count="37">
    <mergeCell ref="B2:D2"/>
    <mergeCell ref="B3:C3"/>
    <mergeCell ref="B4:C4"/>
    <mergeCell ref="B6:B9"/>
    <mergeCell ref="C6:C9"/>
    <mergeCell ref="D6:D9"/>
    <mergeCell ref="AC6:AF6"/>
    <mergeCell ref="AG6:AG9"/>
    <mergeCell ref="AH6:AH9"/>
    <mergeCell ref="AI6:AI9"/>
    <mergeCell ref="E7:H7"/>
    <mergeCell ref="I7:L7"/>
    <mergeCell ref="M7:P7"/>
    <mergeCell ref="Q7:T7"/>
    <mergeCell ref="U7:X7"/>
    <mergeCell ref="Y7:AB7"/>
    <mergeCell ref="E6:H6"/>
    <mergeCell ref="I6:L6"/>
    <mergeCell ref="M6:P6"/>
    <mergeCell ref="Q6:T6"/>
    <mergeCell ref="U6:X6"/>
    <mergeCell ref="Y6:AB6"/>
    <mergeCell ref="AC7:AF7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AC8:AD8"/>
    <mergeCell ref="AE8:AF8"/>
  </mergeCells>
  <dataValidations count="1">
    <dataValidation type="list" allowBlank="1" showInputMessage="1" showErrorMessage="1" sqref="D10:D23" xr:uid="{00000000-0002-0000-0300-000000000000}">
      <formula1>"Dinning Room Staff, Bar Staff, Banquet Staff, Snack Shack, Overlake Cafe"</formula1>
    </dataValidation>
  </dataValidations>
  <pageMargins left="0.7" right="0.7" top="0.75" bottom="0.75" header="0.3" footer="0.3"/>
  <pageSetup scale="22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I23"/>
  <sheetViews>
    <sheetView showGridLines="0" showRowColHeaders="0" zoomScaleNormal="100" zoomScaleSheetLayoutView="100" workbookViewId="0">
      <pane xSplit="4" ySplit="9" topLeftCell="E10" activePane="bottomRight" state="frozen"/>
      <selection activeCell="D11" sqref="D11"/>
      <selection pane="topRight" activeCell="D11" sqref="D11"/>
      <selection pane="bottomLeft" activeCell="D11" sqref="D11"/>
      <selection pane="bottomRight" activeCell="F20" sqref="F20"/>
    </sheetView>
  </sheetViews>
  <sheetFormatPr defaultRowHeight="19.95" customHeight="1" x14ac:dyDescent="0.3"/>
  <cols>
    <col min="1" max="1" width="1" style="3" customWidth="1"/>
    <col min="2" max="2" width="10.09765625" style="3" customWidth="1"/>
    <col min="3" max="3" width="15.3984375" style="3" bestFit="1" customWidth="1"/>
    <col min="4" max="4" width="18.8984375" style="3" bestFit="1" customWidth="1"/>
    <col min="5" max="10" width="9.796875" style="3" customWidth="1"/>
    <col min="11" max="32" width="10.796875" style="3" customWidth="1"/>
    <col min="33" max="33" width="7.5" style="5" customWidth="1"/>
    <col min="34" max="34" width="7.5" style="3" customWidth="1"/>
    <col min="35" max="35" width="9.09765625" style="3" customWidth="1"/>
    <col min="36" max="16384" width="8.796875" style="3"/>
  </cols>
  <sheetData>
    <row r="1" spans="2:35" ht="6" customHeight="1" x14ac:dyDescent="0.3"/>
    <row r="2" spans="2:35" ht="22.8" x14ac:dyDescent="0.3">
      <c r="B2" s="24" t="s">
        <v>33</v>
      </c>
      <c r="C2" s="24"/>
      <c r="D2" s="24"/>
    </row>
    <row r="3" spans="2:35" ht="18" x14ac:dyDescent="0.3">
      <c r="B3" s="25" t="s">
        <v>43</v>
      </c>
      <c r="C3" s="25"/>
    </row>
    <row r="4" spans="2:35" ht="15.6" x14ac:dyDescent="0.3">
      <c r="B4" s="26">
        <f>'Week No. 03'!AC7+1</f>
        <v>44642</v>
      </c>
      <c r="C4" s="27"/>
    </row>
    <row r="5" spans="2:35" ht="15.6" x14ac:dyDescent="0.3"/>
    <row r="6" spans="2:35" ht="21" customHeight="1" x14ac:dyDescent="0.3">
      <c r="B6" s="23" t="s">
        <v>35</v>
      </c>
      <c r="C6" s="23" t="s">
        <v>36</v>
      </c>
      <c r="D6" s="23" t="s">
        <v>37</v>
      </c>
      <c r="E6" s="23" t="str">
        <f>TEXT(E7,"dddd")</f>
        <v>Tuesday</v>
      </c>
      <c r="F6" s="23"/>
      <c r="G6" s="23"/>
      <c r="H6" s="23"/>
      <c r="I6" s="23" t="str">
        <f>TEXT(I7,"dddd")</f>
        <v>Wednesday</v>
      </c>
      <c r="J6" s="23"/>
      <c r="K6" s="23"/>
      <c r="L6" s="23"/>
      <c r="M6" s="23" t="str">
        <f>TEXT(M7,"dddd")</f>
        <v>Thursday</v>
      </c>
      <c r="N6" s="23"/>
      <c r="O6" s="23"/>
      <c r="P6" s="23"/>
      <c r="Q6" s="23" t="str">
        <f>TEXT(Q7,"dddd")</f>
        <v>Friday</v>
      </c>
      <c r="R6" s="23"/>
      <c r="S6" s="23"/>
      <c r="T6" s="23"/>
      <c r="U6" s="23" t="str">
        <f>TEXT(U7,"dddd")</f>
        <v>Saturday</v>
      </c>
      <c r="V6" s="23"/>
      <c r="W6" s="23"/>
      <c r="X6" s="23"/>
      <c r="Y6" s="23" t="str">
        <f>TEXT(Y7,"dddd")</f>
        <v>Sunday</v>
      </c>
      <c r="Z6" s="23"/>
      <c r="AA6" s="23"/>
      <c r="AB6" s="23"/>
      <c r="AC6" s="23" t="str">
        <f>TEXT(AC7,"dddd")</f>
        <v>Monday</v>
      </c>
      <c r="AD6" s="23"/>
      <c r="AE6" s="23"/>
      <c r="AF6" s="23"/>
      <c r="AG6" s="29" t="s">
        <v>40</v>
      </c>
      <c r="AH6" s="29" t="s">
        <v>41</v>
      </c>
      <c r="AI6" s="23" t="s">
        <v>42</v>
      </c>
    </row>
    <row r="7" spans="2:35" ht="21" customHeight="1" x14ac:dyDescent="0.3">
      <c r="B7" s="23"/>
      <c r="C7" s="23"/>
      <c r="D7" s="23"/>
      <c r="E7" s="28">
        <f>B4</f>
        <v>44642</v>
      </c>
      <c r="F7" s="28"/>
      <c r="G7" s="28"/>
      <c r="H7" s="28"/>
      <c r="I7" s="28">
        <f>E7+1</f>
        <v>44643</v>
      </c>
      <c r="J7" s="28"/>
      <c r="K7" s="28"/>
      <c r="L7" s="28"/>
      <c r="M7" s="28">
        <f>I7+1</f>
        <v>44644</v>
      </c>
      <c r="N7" s="28"/>
      <c r="O7" s="28"/>
      <c r="P7" s="28"/>
      <c r="Q7" s="28">
        <f>M7+1</f>
        <v>44645</v>
      </c>
      <c r="R7" s="28"/>
      <c r="S7" s="28"/>
      <c r="T7" s="28"/>
      <c r="U7" s="28">
        <f>Q7+1</f>
        <v>44646</v>
      </c>
      <c r="V7" s="28"/>
      <c r="W7" s="28"/>
      <c r="X7" s="28"/>
      <c r="Y7" s="28">
        <f>U7+1</f>
        <v>44647</v>
      </c>
      <c r="Z7" s="28"/>
      <c r="AA7" s="28"/>
      <c r="AB7" s="28"/>
      <c r="AC7" s="28">
        <f>Y7+1</f>
        <v>44648</v>
      </c>
      <c r="AD7" s="28"/>
      <c r="AE7" s="28"/>
      <c r="AF7" s="28"/>
      <c r="AG7" s="30"/>
      <c r="AH7" s="30"/>
      <c r="AI7" s="23"/>
    </row>
    <row r="8" spans="2:35" ht="21" customHeight="1" x14ac:dyDescent="0.3">
      <c r="B8" s="23"/>
      <c r="C8" s="23"/>
      <c r="D8" s="23"/>
      <c r="E8" s="23" t="s">
        <v>23</v>
      </c>
      <c r="F8" s="23"/>
      <c r="G8" s="23" t="s">
        <v>24</v>
      </c>
      <c r="H8" s="23"/>
      <c r="I8" s="23" t="s">
        <v>23</v>
      </c>
      <c r="J8" s="23"/>
      <c r="K8" s="23" t="s">
        <v>24</v>
      </c>
      <c r="L8" s="23"/>
      <c r="M8" s="23" t="s">
        <v>23</v>
      </c>
      <c r="N8" s="23"/>
      <c r="O8" s="23" t="s">
        <v>24</v>
      </c>
      <c r="P8" s="23"/>
      <c r="Q8" s="23" t="s">
        <v>23</v>
      </c>
      <c r="R8" s="23"/>
      <c r="S8" s="23" t="s">
        <v>24</v>
      </c>
      <c r="T8" s="23"/>
      <c r="U8" s="23" t="s">
        <v>23</v>
      </c>
      <c r="V8" s="23"/>
      <c r="W8" s="23" t="s">
        <v>24</v>
      </c>
      <c r="X8" s="23"/>
      <c r="Y8" s="23" t="s">
        <v>23</v>
      </c>
      <c r="Z8" s="23"/>
      <c r="AA8" s="23" t="s">
        <v>24</v>
      </c>
      <c r="AB8" s="23"/>
      <c r="AC8" s="23" t="s">
        <v>23</v>
      </c>
      <c r="AD8" s="23"/>
      <c r="AE8" s="23" t="s">
        <v>24</v>
      </c>
      <c r="AF8" s="23"/>
      <c r="AG8" s="30"/>
      <c r="AH8" s="30"/>
      <c r="AI8" s="23"/>
    </row>
    <row r="9" spans="2:35" ht="21" customHeight="1" x14ac:dyDescent="0.3">
      <c r="B9" s="23"/>
      <c r="C9" s="23"/>
      <c r="D9" s="23"/>
      <c r="E9" s="4" t="s">
        <v>38</v>
      </c>
      <c r="F9" s="4" t="s">
        <v>39</v>
      </c>
      <c r="G9" s="4" t="s">
        <v>38</v>
      </c>
      <c r="H9" s="4" t="s">
        <v>39</v>
      </c>
      <c r="I9" s="4" t="s">
        <v>38</v>
      </c>
      <c r="J9" s="4" t="s">
        <v>39</v>
      </c>
      <c r="K9" s="4" t="s">
        <v>38</v>
      </c>
      <c r="L9" s="4" t="s">
        <v>39</v>
      </c>
      <c r="M9" s="4" t="s">
        <v>38</v>
      </c>
      <c r="N9" s="4" t="s">
        <v>39</v>
      </c>
      <c r="O9" s="4" t="s">
        <v>38</v>
      </c>
      <c r="P9" s="4" t="s">
        <v>39</v>
      </c>
      <c r="Q9" s="4" t="s">
        <v>38</v>
      </c>
      <c r="R9" s="4" t="s">
        <v>39</v>
      </c>
      <c r="S9" s="4" t="s">
        <v>38</v>
      </c>
      <c r="T9" s="4" t="s">
        <v>39</v>
      </c>
      <c r="U9" s="4" t="s">
        <v>38</v>
      </c>
      <c r="V9" s="4" t="s">
        <v>39</v>
      </c>
      <c r="W9" s="4" t="s">
        <v>38</v>
      </c>
      <c r="X9" s="4" t="s">
        <v>39</v>
      </c>
      <c r="Y9" s="4" t="s">
        <v>38</v>
      </c>
      <c r="Z9" s="4" t="s">
        <v>39</v>
      </c>
      <c r="AA9" s="4" t="s">
        <v>38</v>
      </c>
      <c r="AB9" s="4" t="s">
        <v>39</v>
      </c>
      <c r="AC9" s="4" t="s">
        <v>38</v>
      </c>
      <c r="AD9" s="4" t="s">
        <v>39</v>
      </c>
      <c r="AE9" s="4" t="s">
        <v>38</v>
      </c>
      <c r="AF9" s="4" t="s">
        <v>39</v>
      </c>
      <c r="AG9" s="31"/>
      <c r="AH9" s="31"/>
      <c r="AI9" s="23"/>
    </row>
    <row r="10" spans="2:35" ht="19.95" customHeight="1" x14ac:dyDescent="0.3">
      <c r="B10" s="1" t="s">
        <v>0</v>
      </c>
      <c r="C10" s="1" t="s">
        <v>1</v>
      </c>
      <c r="D10" s="1" t="s">
        <v>25</v>
      </c>
      <c r="E10" s="6">
        <v>0.375</v>
      </c>
      <c r="F10" s="6">
        <v>0.70833333333333337</v>
      </c>
      <c r="G10" s="6">
        <v>0.375</v>
      </c>
      <c r="H10" s="6">
        <v>0.70833333333333337</v>
      </c>
      <c r="I10" s="6">
        <v>0.41666666666666669</v>
      </c>
      <c r="J10" s="6">
        <v>0.75</v>
      </c>
      <c r="K10" s="6">
        <v>0.41666666666666669</v>
      </c>
      <c r="L10" s="6">
        <v>0.75</v>
      </c>
      <c r="M10" s="6">
        <v>0.375</v>
      </c>
      <c r="N10" s="6">
        <v>0.70833333333333337</v>
      </c>
      <c r="O10" s="6">
        <v>0.375</v>
      </c>
      <c r="P10" s="6">
        <v>0.70833333333333337</v>
      </c>
      <c r="Q10" s="6">
        <v>0.375</v>
      </c>
      <c r="R10" s="6">
        <v>0.70833333333333337</v>
      </c>
      <c r="S10" s="6">
        <v>0.41666666666666669</v>
      </c>
      <c r="T10" s="6">
        <v>0.75</v>
      </c>
      <c r="U10" s="6">
        <v>0.41666666666666669</v>
      </c>
      <c r="V10" s="6">
        <v>0.75</v>
      </c>
      <c r="W10" s="6">
        <v>0.375</v>
      </c>
      <c r="X10" s="6">
        <v>0.70833333333333337</v>
      </c>
      <c r="Y10" s="6">
        <v>0.41666666666666669</v>
      </c>
      <c r="Z10" s="6">
        <v>0.75</v>
      </c>
      <c r="AA10" s="6">
        <v>0.375</v>
      </c>
      <c r="AB10" s="6">
        <v>0.70833333333333337</v>
      </c>
      <c r="AC10" s="6">
        <v>0.41666666666666669</v>
      </c>
      <c r="AD10" s="6">
        <v>0.75</v>
      </c>
      <c r="AE10" s="6">
        <v>0.375</v>
      </c>
      <c r="AF10" s="6">
        <v>0.70833333333333337</v>
      </c>
      <c r="AG10" s="7">
        <f>((F10-E10)+(H10-G10)+(J10-I10)+(L10-K10)+(N10-M10)+(P10-O10)+(R10-Q10)+(T10-S10)+(V10-U10)+(X10-W10)+(Z10-Y10)+(AB10-AA10)+(AD10-AC10)+(AF10-AE10))*24</f>
        <v>112</v>
      </c>
      <c r="AH10" s="8">
        <v>5</v>
      </c>
      <c r="AI10" s="8">
        <v>560</v>
      </c>
    </row>
    <row r="11" spans="2:35" ht="19.95" customHeight="1" x14ac:dyDescent="0.3">
      <c r="B11" s="1" t="s">
        <v>2</v>
      </c>
      <c r="C11" s="1" t="s">
        <v>3</v>
      </c>
      <c r="D11" s="1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7">
        <f>((F11-E11)+(H11-G11)+(J11-I11)+(L11-K11)+(N11-M11)+(P11-O11)+(R11-Q11)+(T11-S11)+(V11-U11)+(X11-W11)+(Z11-Y11)+(AB11-AA11)+(AD11-AC11)+(AF11-AE11))*24</f>
        <v>0</v>
      </c>
      <c r="AH11" s="8">
        <v>10</v>
      </c>
      <c r="AI11" s="8">
        <v>0</v>
      </c>
    </row>
    <row r="12" spans="2:35" ht="19.95" customHeight="1" x14ac:dyDescent="0.3">
      <c r="B12" s="1" t="s">
        <v>4</v>
      </c>
      <c r="C12" s="1"/>
      <c r="D12" s="1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7">
        <f t="shared" ref="AG12:AG23" si="0">((F12-E12)+(H12-G12)+(J12-I12)+(L12-K12)+(N12-M12)+(P12-O12)+(R12-Q12)+(T12-S12)+(V12-U12)+(X12-W12)+(Z12-Y12)+(AB12-AA12)+(AD12-AC12)+(AF12-AE12))*24</f>
        <v>0</v>
      </c>
      <c r="AH12" s="8">
        <v>15</v>
      </c>
      <c r="AI12" s="8">
        <v>0</v>
      </c>
    </row>
    <row r="13" spans="2:35" ht="19.95" customHeight="1" x14ac:dyDescent="0.3">
      <c r="B13" s="1" t="s">
        <v>5</v>
      </c>
      <c r="C13" s="1"/>
      <c r="D13" s="1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7">
        <f t="shared" si="0"/>
        <v>0</v>
      </c>
      <c r="AH13" s="8">
        <v>20</v>
      </c>
      <c r="AI13" s="8">
        <v>0</v>
      </c>
    </row>
    <row r="14" spans="2:35" ht="19.95" customHeight="1" x14ac:dyDescent="0.3">
      <c r="B14" s="1" t="s">
        <v>6</v>
      </c>
      <c r="C14" s="1" t="s">
        <v>7</v>
      </c>
      <c r="D14" s="1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7">
        <f t="shared" si="0"/>
        <v>0</v>
      </c>
      <c r="AH14" s="8">
        <v>0</v>
      </c>
      <c r="AI14" s="8">
        <v>0</v>
      </c>
    </row>
    <row r="15" spans="2:35" ht="19.95" customHeight="1" x14ac:dyDescent="0.3">
      <c r="B15" s="1" t="s">
        <v>8</v>
      </c>
      <c r="C15" s="1"/>
      <c r="D15" s="1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7">
        <f t="shared" si="0"/>
        <v>0</v>
      </c>
      <c r="AH15" s="8">
        <v>0</v>
      </c>
      <c r="AI15" s="8">
        <v>0</v>
      </c>
    </row>
    <row r="16" spans="2:35" ht="19.95" customHeight="1" x14ac:dyDescent="0.3">
      <c r="B16" s="1" t="s">
        <v>9</v>
      </c>
      <c r="C16" s="1" t="s">
        <v>10</v>
      </c>
      <c r="D16" s="1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7">
        <f t="shared" si="0"/>
        <v>0</v>
      </c>
      <c r="AH16" s="8">
        <v>0</v>
      </c>
      <c r="AI16" s="8">
        <v>0</v>
      </c>
    </row>
    <row r="17" spans="2:35" ht="19.95" customHeight="1" x14ac:dyDescent="0.3">
      <c r="B17" s="1" t="s">
        <v>11</v>
      </c>
      <c r="C17" s="1" t="s">
        <v>12</v>
      </c>
      <c r="D17" s="1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7">
        <f t="shared" si="0"/>
        <v>0</v>
      </c>
      <c r="AH17" s="8">
        <v>0</v>
      </c>
      <c r="AI17" s="8">
        <v>0</v>
      </c>
    </row>
    <row r="18" spans="2:35" ht="19.95" customHeight="1" x14ac:dyDescent="0.3">
      <c r="B18" s="1" t="s">
        <v>13</v>
      </c>
      <c r="C18" s="1" t="s">
        <v>14</v>
      </c>
      <c r="D18" s="1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7">
        <f t="shared" si="0"/>
        <v>0</v>
      </c>
      <c r="AH18" s="8">
        <v>0</v>
      </c>
      <c r="AI18" s="8">
        <v>0</v>
      </c>
    </row>
    <row r="19" spans="2:35" ht="19.95" customHeight="1" x14ac:dyDescent="0.3">
      <c r="B19" s="1" t="s">
        <v>15</v>
      </c>
      <c r="C19" s="1" t="s">
        <v>16</v>
      </c>
      <c r="D19" s="1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7">
        <f t="shared" si="0"/>
        <v>0</v>
      </c>
      <c r="AH19" s="8">
        <v>0</v>
      </c>
      <c r="AI19" s="8">
        <v>0</v>
      </c>
    </row>
    <row r="20" spans="2:35" ht="19.95" customHeight="1" x14ac:dyDescent="0.3">
      <c r="B20" s="1" t="s">
        <v>17</v>
      </c>
      <c r="C20" s="1" t="s">
        <v>18</v>
      </c>
      <c r="D20" s="1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7">
        <f t="shared" si="0"/>
        <v>0</v>
      </c>
      <c r="AH20" s="8">
        <v>0</v>
      </c>
      <c r="AI20" s="8">
        <v>0</v>
      </c>
    </row>
    <row r="21" spans="2:35" ht="19.95" customHeight="1" x14ac:dyDescent="0.3">
      <c r="B21" s="1" t="s">
        <v>19</v>
      </c>
      <c r="C21" s="1" t="s">
        <v>20</v>
      </c>
      <c r="D21" s="1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7">
        <f t="shared" si="0"/>
        <v>0</v>
      </c>
      <c r="AH21" s="8">
        <v>0</v>
      </c>
      <c r="AI21" s="8">
        <v>0</v>
      </c>
    </row>
    <row r="22" spans="2:35" ht="19.95" customHeight="1" x14ac:dyDescent="0.3">
      <c r="B22" s="1" t="s">
        <v>21</v>
      </c>
      <c r="C22" s="1"/>
      <c r="D22" s="1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7">
        <f t="shared" si="0"/>
        <v>0</v>
      </c>
      <c r="AH22" s="8">
        <v>0</v>
      </c>
      <c r="AI22" s="8">
        <v>0</v>
      </c>
    </row>
    <row r="23" spans="2:35" ht="19.95" customHeight="1" x14ac:dyDescent="0.3">
      <c r="B23" s="1" t="s">
        <v>22</v>
      </c>
      <c r="C23" s="1"/>
      <c r="D23" s="1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7">
        <f t="shared" si="0"/>
        <v>0</v>
      </c>
      <c r="AH23" s="8">
        <v>0</v>
      </c>
      <c r="AI23" s="8">
        <v>0</v>
      </c>
    </row>
  </sheetData>
  <mergeCells count="37">
    <mergeCell ref="B2:D2"/>
    <mergeCell ref="B3:C3"/>
    <mergeCell ref="B4:C4"/>
    <mergeCell ref="B6:B9"/>
    <mergeCell ref="C6:C9"/>
    <mergeCell ref="D6:D9"/>
    <mergeCell ref="AC6:AF6"/>
    <mergeCell ref="AG6:AG9"/>
    <mergeCell ref="AH6:AH9"/>
    <mergeCell ref="AI6:AI9"/>
    <mergeCell ref="E7:H7"/>
    <mergeCell ref="I7:L7"/>
    <mergeCell ref="M7:P7"/>
    <mergeCell ref="Q7:T7"/>
    <mergeCell ref="U7:X7"/>
    <mergeCell ref="Y7:AB7"/>
    <mergeCell ref="E6:H6"/>
    <mergeCell ref="I6:L6"/>
    <mergeCell ref="M6:P6"/>
    <mergeCell ref="Q6:T6"/>
    <mergeCell ref="U6:X6"/>
    <mergeCell ref="Y6:AB6"/>
    <mergeCell ref="AC7:AF7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AC8:AD8"/>
    <mergeCell ref="AE8:AF8"/>
  </mergeCells>
  <dataValidations count="1">
    <dataValidation type="list" allowBlank="1" showInputMessage="1" showErrorMessage="1" sqref="D10:D23" xr:uid="{00000000-0002-0000-0400-000000000000}">
      <formula1>"Dinning Room Staff, Bar Staff, Banquet Staff, Snack Shack, Overlake Cafe"</formula1>
    </dataValidation>
  </dataValidations>
  <pageMargins left="0.7" right="0.7" top="0.75" bottom="0.75" header="0.3" footer="0.3"/>
  <pageSetup scale="22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Summary</vt:lpstr>
      <vt:lpstr>Week No. 01</vt:lpstr>
      <vt:lpstr>Week No. 02</vt:lpstr>
      <vt:lpstr>Week No. 03</vt:lpstr>
      <vt:lpstr>Week No. 04</vt:lpstr>
      <vt:lpstr>Summary!Print_Area</vt:lpstr>
      <vt:lpstr>'Week No. 01'!Print_Area</vt:lpstr>
      <vt:lpstr>'Week No. 02'!Print_Area</vt:lpstr>
      <vt:lpstr>'Week No. 03'!Print_Area</vt:lpstr>
      <vt:lpstr>'Week No. 04'!Print_Area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tasya ramadhinta</cp:lastModifiedBy>
  <dcterms:created xsi:type="dcterms:W3CDTF">2016-10-26T07:50:23Z</dcterms:created>
  <dcterms:modified xsi:type="dcterms:W3CDTF">2023-07-10T04:37:31Z</dcterms:modified>
</cp:coreProperties>
</file>