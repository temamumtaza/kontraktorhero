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filterPrivacy="1"/>
  <xr:revisionPtr revIDLastSave="0" documentId="13_ncr:1_{D0A9A62E-9C63-40CA-84CA-D2C2074907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 1" sheetId="1" r:id="rId1"/>
    <sheet name="Week 2" sheetId="2" r:id="rId2"/>
    <sheet name="Week 3" sheetId="3" r:id="rId3"/>
    <sheet name="Week 4" sheetId="4" r:id="rId4"/>
  </sheets>
  <definedNames>
    <definedName name="_xlnm.Print_Area" localSheetId="0">'Week 1'!$A$1:$W$18</definedName>
    <definedName name="_xlnm.Print_Area" localSheetId="1">'Week 2'!$A$1:$W$18</definedName>
    <definedName name="_xlnm.Print_Area" localSheetId="2">'Week 3'!$A$1:$W$18</definedName>
    <definedName name="_xlnm.Print_Area" localSheetId="3">'Week 4'!$A$1:$W$18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7" i="4" l="1"/>
  <c r="S17" i="4"/>
  <c r="Q17" i="4"/>
  <c r="P17" i="4"/>
  <c r="N17" i="4"/>
  <c r="M17" i="4"/>
  <c r="K17" i="4"/>
  <c r="J17" i="4"/>
  <c r="H17" i="4"/>
  <c r="G17" i="4"/>
  <c r="E17" i="4"/>
  <c r="D17" i="4"/>
  <c r="R15" i="4"/>
  <c r="O15" i="4"/>
  <c r="L15" i="4"/>
  <c r="I15" i="4"/>
  <c r="F15" i="4"/>
  <c r="R14" i="4"/>
  <c r="O14" i="4"/>
  <c r="L14" i="4"/>
  <c r="V14" i="4" s="1"/>
  <c r="I14" i="4"/>
  <c r="F14" i="4"/>
  <c r="R13" i="4"/>
  <c r="O13" i="4"/>
  <c r="L13" i="4"/>
  <c r="I13" i="4"/>
  <c r="F13" i="4"/>
  <c r="R12" i="4"/>
  <c r="O12" i="4"/>
  <c r="L12" i="4"/>
  <c r="I12" i="4"/>
  <c r="F12" i="4"/>
  <c r="V12" i="4" s="1"/>
  <c r="R11" i="4"/>
  <c r="O11" i="4"/>
  <c r="L11" i="4"/>
  <c r="I11" i="4"/>
  <c r="F11" i="4"/>
  <c r="R10" i="4"/>
  <c r="O10" i="4"/>
  <c r="L10" i="4"/>
  <c r="I10" i="4"/>
  <c r="F10" i="4"/>
  <c r="R9" i="4"/>
  <c r="O9" i="4"/>
  <c r="L9" i="4"/>
  <c r="I9" i="4"/>
  <c r="F9" i="4"/>
  <c r="R8" i="4"/>
  <c r="O8" i="4"/>
  <c r="L8" i="4"/>
  <c r="I8" i="4"/>
  <c r="F8" i="4"/>
  <c r="R7" i="4"/>
  <c r="O7" i="4"/>
  <c r="L7" i="4"/>
  <c r="I7" i="4"/>
  <c r="F7" i="4"/>
  <c r="B7" i="4"/>
  <c r="B8" i="4" s="1"/>
  <c r="B9" i="4" s="1"/>
  <c r="B10" i="4" s="1"/>
  <c r="B11" i="4" s="1"/>
  <c r="B12" i="4" s="1"/>
  <c r="B13" i="4" s="1"/>
  <c r="B14" i="4" s="1"/>
  <c r="B15" i="4" s="1"/>
  <c r="R6" i="4"/>
  <c r="O6" i="4"/>
  <c r="L6" i="4"/>
  <c r="I6" i="4"/>
  <c r="F6" i="4"/>
  <c r="T17" i="3"/>
  <c r="S17" i="3"/>
  <c r="Q17" i="3"/>
  <c r="P17" i="3"/>
  <c r="N17" i="3"/>
  <c r="M17" i="3"/>
  <c r="K17" i="3"/>
  <c r="J17" i="3"/>
  <c r="H17" i="3"/>
  <c r="G17" i="3"/>
  <c r="E17" i="3"/>
  <c r="D17" i="3"/>
  <c r="R15" i="3"/>
  <c r="O15" i="3"/>
  <c r="L15" i="3"/>
  <c r="I15" i="3"/>
  <c r="F15" i="3"/>
  <c r="R14" i="3"/>
  <c r="O14" i="3"/>
  <c r="L14" i="3"/>
  <c r="I14" i="3"/>
  <c r="F14" i="3"/>
  <c r="R13" i="3"/>
  <c r="O13" i="3"/>
  <c r="L13" i="3"/>
  <c r="I13" i="3"/>
  <c r="F13" i="3"/>
  <c r="R12" i="3"/>
  <c r="O12" i="3"/>
  <c r="L12" i="3"/>
  <c r="I12" i="3"/>
  <c r="F12" i="3"/>
  <c r="R11" i="3"/>
  <c r="O11" i="3"/>
  <c r="L11" i="3"/>
  <c r="I11" i="3"/>
  <c r="F11" i="3"/>
  <c r="R10" i="3"/>
  <c r="O10" i="3"/>
  <c r="L10" i="3"/>
  <c r="I10" i="3"/>
  <c r="F10" i="3"/>
  <c r="R9" i="3"/>
  <c r="O9" i="3"/>
  <c r="L9" i="3"/>
  <c r="I9" i="3"/>
  <c r="F9" i="3"/>
  <c r="R8" i="3"/>
  <c r="O8" i="3"/>
  <c r="L8" i="3"/>
  <c r="I8" i="3"/>
  <c r="F8" i="3"/>
  <c r="R7" i="3"/>
  <c r="O7" i="3"/>
  <c r="L7" i="3"/>
  <c r="I7" i="3"/>
  <c r="F7" i="3"/>
  <c r="B7" i="3"/>
  <c r="B8" i="3" s="1"/>
  <c r="B9" i="3" s="1"/>
  <c r="B10" i="3" s="1"/>
  <c r="B11" i="3" s="1"/>
  <c r="B12" i="3" s="1"/>
  <c r="B13" i="3" s="1"/>
  <c r="B14" i="3" s="1"/>
  <c r="B15" i="3" s="1"/>
  <c r="R6" i="3"/>
  <c r="O6" i="3"/>
  <c r="L6" i="3"/>
  <c r="I6" i="3"/>
  <c r="F6" i="3"/>
  <c r="T17" i="2"/>
  <c r="S17" i="2"/>
  <c r="Q17" i="2"/>
  <c r="P17" i="2"/>
  <c r="N17" i="2"/>
  <c r="M17" i="2"/>
  <c r="K17" i="2"/>
  <c r="J17" i="2"/>
  <c r="H17" i="2"/>
  <c r="G17" i="2"/>
  <c r="E17" i="2"/>
  <c r="D17" i="2"/>
  <c r="R15" i="2"/>
  <c r="O15" i="2"/>
  <c r="L15" i="2"/>
  <c r="I15" i="2"/>
  <c r="F15" i="2"/>
  <c r="R14" i="2"/>
  <c r="O14" i="2"/>
  <c r="L14" i="2"/>
  <c r="I14" i="2"/>
  <c r="F14" i="2"/>
  <c r="R13" i="2"/>
  <c r="O13" i="2"/>
  <c r="L13" i="2"/>
  <c r="I13" i="2"/>
  <c r="F13" i="2"/>
  <c r="R12" i="2"/>
  <c r="O12" i="2"/>
  <c r="L12" i="2"/>
  <c r="I12" i="2"/>
  <c r="V12" i="2" s="1"/>
  <c r="F12" i="2"/>
  <c r="R11" i="2"/>
  <c r="O11" i="2"/>
  <c r="L11" i="2"/>
  <c r="I11" i="2"/>
  <c r="F11" i="2"/>
  <c r="R10" i="2"/>
  <c r="O10" i="2"/>
  <c r="V10" i="2" s="1"/>
  <c r="L10" i="2"/>
  <c r="I10" i="2"/>
  <c r="F10" i="2"/>
  <c r="R9" i="2"/>
  <c r="O9" i="2"/>
  <c r="L9" i="2"/>
  <c r="I9" i="2"/>
  <c r="F9" i="2"/>
  <c r="R8" i="2"/>
  <c r="O8" i="2"/>
  <c r="L8" i="2"/>
  <c r="I8" i="2"/>
  <c r="I17" i="2" s="1"/>
  <c r="F8" i="2"/>
  <c r="R7" i="2"/>
  <c r="O7" i="2"/>
  <c r="L7" i="2"/>
  <c r="I7" i="2"/>
  <c r="F7" i="2"/>
  <c r="B7" i="2"/>
  <c r="B8" i="2" s="1"/>
  <c r="B9" i="2" s="1"/>
  <c r="B10" i="2" s="1"/>
  <c r="B11" i="2" s="1"/>
  <c r="B12" i="2" s="1"/>
  <c r="B13" i="2" s="1"/>
  <c r="B14" i="2" s="1"/>
  <c r="B15" i="2" s="1"/>
  <c r="R6" i="2"/>
  <c r="R17" i="2" s="1"/>
  <c r="O6" i="2"/>
  <c r="L6" i="2"/>
  <c r="I6" i="2"/>
  <c r="F6" i="2"/>
  <c r="V6" i="2" s="1"/>
  <c r="Q17" i="1"/>
  <c r="N17" i="1"/>
  <c r="K17" i="1"/>
  <c r="H17" i="1"/>
  <c r="E17" i="1"/>
  <c r="P17" i="1"/>
  <c r="M17" i="1"/>
  <c r="J17" i="1"/>
  <c r="G17" i="1"/>
  <c r="D17" i="1"/>
  <c r="T17" i="1"/>
  <c r="S17" i="1"/>
  <c r="R15" i="1"/>
  <c r="R14" i="1"/>
  <c r="R13" i="1"/>
  <c r="R12" i="1"/>
  <c r="R11" i="1"/>
  <c r="R10" i="1"/>
  <c r="R9" i="1"/>
  <c r="R8" i="1"/>
  <c r="R7" i="1"/>
  <c r="R6" i="1"/>
  <c r="O15" i="1"/>
  <c r="O14" i="1"/>
  <c r="O13" i="1"/>
  <c r="O12" i="1"/>
  <c r="O11" i="1"/>
  <c r="O10" i="1"/>
  <c r="O9" i="1"/>
  <c r="O8" i="1"/>
  <c r="O7" i="1"/>
  <c r="O6" i="1"/>
  <c r="L15" i="1"/>
  <c r="L14" i="1"/>
  <c r="L13" i="1"/>
  <c r="L12" i="1"/>
  <c r="L11" i="1"/>
  <c r="L10" i="1"/>
  <c r="L9" i="1"/>
  <c r="L8" i="1"/>
  <c r="L7" i="1"/>
  <c r="L6" i="1"/>
  <c r="I15" i="1"/>
  <c r="I14" i="1"/>
  <c r="I13" i="1"/>
  <c r="I12" i="1"/>
  <c r="I11" i="1"/>
  <c r="I10" i="1"/>
  <c r="I9" i="1"/>
  <c r="I8" i="1"/>
  <c r="I7" i="1"/>
  <c r="I6" i="1"/>
  <c r="F7" i="1"/>
  <c r="F8" i="1"/>
  <c r="F9" i="1"/>
  <c r="F10" i="1"/>
  <c r="F11" i="1"/>
  <c r="F12" i="1"/>
  <c r="F13" i="1"/>
  <c r="F14" i="1"/>
  <c r="F15" i="1"/>
  <c r="F6" i="1"/>
  <c r="B7" i="1"/>
  <c r="B8" i="1" s="1"/>
  <c r="B9" i="1" s="1"/>
  <c r="B10" i="1" s="1"/>
  <c r="B11" i="1" s="1"/>
  <c r="B12" i="1" s="1"/>
  <c r="B13" i="1" s="1"/>
  <c r="B14" i="1" s="1"/>
  <c r="B15" i="1" s="1"/>
  <c r="V8" i="4" l="1"/>
  <c r="V12" i="3"/>
  <c r="F17" i="4"/>
  <c r="V7" i="3"/>
  <c r="V9" i="4"/>
  <c r="V10" i="3"/>
  <c r="V13" i="2"/>
  <c r="V6" i="3"/>
  <c r="V13" i="3"/>
  <c r="L17" i="2"/>
  <c r="V7" i="2"/>
  <c r="V9" i="2"/>
  <c r="V11" i="2"/>
  <c r="V14" i="2"/>
  <c r="L17" i="3"/>
  <c r="F17" i="3"/>
  <c r="R17" i="3"/>
  <c r="V9" i="3"/>
  <c r="L17" i="4"/>
  <c r="R17" i="4"/>
  <c r="V10" i="4"/>
  <c r="V13" i="4"/>
  <c r="V15" i="4"/>
  <c r="I17" i="4"/>
  <c r="V15" i="3"/>
  <c r="V7" i="4"/>
  <c r="O17" i="2"/>
  <c r="V15" i="2"/>
  <c r="O17" i="3"/>
  <c r="V8" i="3"/>
  <c r="V11" i="3"/>
  <c r="V14" i="3"/>
  <c r="O17" i="4"/>
  <c r="V11" i="4"/>
  <c r="I17" i="3"/>
  <c r="V6" i="4"/>
  <c r="F17" i="2"/>
  <c r="V8" i="2"/>
  <c r="R17" i="1"/>
  <c r="F17" i="1"/>
  <c r="L17" i="1"/>
  <c r="O17" i="1"/>
  <c r="V11" i="1"/>
  <c r="V8" i="1"/>
  <c r="V9" i="1"/>
  <c r="V12" i="1"/>
  <c r="V10" i="1"/>
  <c r="V13" i="1"/>
  <c r="V14" i="1"/>
  <c r="V7" i="1"/>
  <c r="V15" i="1"/>
  <c r="I17" i="1"/>
  <c r="V6" i="1"/>
  <c r="V17" i="3" l="1"/>
  <c r="V17" i="2"/>
  <c r="V17" i="4"/>
  <c r="V17" i="1"/>
</calcChain>
</file>

<file path=xl/sharedStrings.xml><?xml version="1.0" encoding="utf-8"?>
<sst xmlns="http://schemas.openxmlformats.org/spreadsheetml/2006/main" count="128" uniqueCount="22">
  <si>
    <t>S.No</t>
  </si>
  <si>
    <t>Juli</t>
  </si>
  <si>
    <t>Melissa</t>
  </si>
  <si>
    <t>Trina</t>
  </si>
  <si>
    <t>Stephanie</t>
  </si>
  <si>
    <t>Tammy</t>
  </si>
  <si>
    <t>Tips</t>
  </si>
  <si>
    <t>Gas</t>
  </si>
  <si>
    <t>Total</t>
  </si>
  <si>
    <t>Minggu ke-1</t>
  </si>
  <si>
    <t>Nama</t>
  </si>
  <si>
    <t>Senin</t>
  </si>
  <si>
    <t>Selasa</t>
  </si>
  <si>
    <t>Rabu</t>
  </si>
  <si>
    <t>Kamis</t>
  </si>
  <si>
    <t>Jumat</t>
  </si>
  <si>
    <t>Total Minggu Ini</t>
  </si>
  <si>
    <t>Jam</t>
  </si>
  <si>
    <t>IDR per Jam</t>
  </si>
  <si>
    <t>Minggu Kedua</t>
  </si>
  <si>
    <t>Minggu Ketiga</t>
  </si>
  <si>
    <t>Minggu Keempat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</si>
</sst>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-409]mmmm\-yy;@"/>
    <numFmt numFmtId="165" formatCode="&quot;$&quot;#,##0.00"/>
    <numFmt numFmtId="166" formatCode="[$IDR]\ #,##0.00"/>
    <numFmt numFmtId="167" formatCode="_([$IDR]\ * #,##0.00_);_([$IDR]\ * \(#,##0.00\);_([$IDR]\ 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20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1" fillId="3" borderId="0" xfId="0" applyFont="1" applyFill="1"/>
    <xf numFmtId="0" fontId="4" fillId="3" borderId="0" xfId="0" applyFont="1" applyFill="1"/>
    <xf numFmtId="0" fontId="2" fillId="3" borderId="0" xfId="0" applyFont="1" applyFill="1" applyAlignment="1">
      <alignment horizontal="center" vertical="center"/>
    </xf>
    <xf numFmtId="165" fontId="1" fillId="3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166" fontId="1" fillId="0" borderId="5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6" fontId="1" fillId="0" borderId="8" xfId="0" applyNumberFormat="1" applyFont="1" applyBorder="1" applyAlignment="1">
      <alignment horizontal="center" vertical="center"/>
    </xf>
    <xf numFmtId="166" fontId="1" fillId="0" borderId="0" xfId="0" applyNumberFormat="1" applyFont="1"/>
    <xf numFmtId="166" fontId="2" fillId="0" borderId="2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166" fontId="1" fillId="3" borderId="0" xfId="0" applyNumberFormat="1" applyFont="1" applyFill="1" applyAlignment="1">
      <alignment horizontal="center" vertical="center"/>
    </xf>
    <xf numFmtId="166" fontId="2" fillId="0" borderId="12" xfId="0" applyNumberFormat="1" applyFont="1" applyBorder="1" applyAlignment="1">
      <alignment horizontal="center" vertical="center"/>
    </xf>
    <xf numFmtId="166" fontId="1" fillId="0" borderId="11" xfId="0" applyNumberFormat="1" applyFont="1" applyBorder="1" applyAlignment="1">
      <alignment horizontal="center" vertical="center"/>
    </xf>
    <xf numFmtId="166" fontId="2" fillId="0" borderId="14" xfId="0" applyNumberFormat="1" applyFont="1" applyBorder="1" applyAlignment="1">
      <alignment horizontal="center" vertical="center"/>
    </xf>
    <xf numFmtId="166" fontId="1" fillId="0" borderId="9" xfId="0" applyNumberFormat="1" applyFont="1" applyBorder="1" applyAlignment="1">
      <alignment horizontal="center" vertical="center"/>
    </xf>
    <xf numFmtId="166" fontId="2" fillId="0" borderId="13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1" fillId="3" borderId="0" xfId="0" applyNumberFormat="1" applyFont="1" applyFill="1"/>
    <xf numFmtId="166" fontId="2" fillId="0" borderId="0" xfId="0" applyNumberFormat="1" applyFont="1" applyAlignment="1">
      <alignment horizontal="center" vertical="center"/>
    </xf>
    <xf numFmtId="166" fontId="2" fillId="3" borderId="0" xfId="0" applyNumberFormat="1" applyFont="1" applyFill="1" applyAlignment="1">
      <alignment horizontal="center" vertical="center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167" fontId="1" fillId="0" borderId="5" xfId="1" applyNumberFormat="1" applyFont="1" applyBorder="1" applyAlignment="1">
      <alignment horizontal="center" vertical="center"/>
    </xf>
    <xf numFmtId="167" fontId="1" fillId="0" borderId="1" xfId="1" applyNumberFormat="1" applyFont="1" applyBorder="1" applyAlignment="1">
      <alignment horizontal="center" vertical="center"/>
    </xf>
    <xf numFmtId="167" fontId="1" fillId="0" borderId="8" xfId="1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7" fontId="1" fillId="0" borderId="6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167" fontId="1" fillId="0" borderId="9" xfId="0" applyNumberFormat="1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7" fontId="2" fillId="0" borderId="14" xfId="0" applyNumberFormat="1" applyFont="1" applyBorder="1" applyAlignment="1">
      <alignment horizontal="center" vertical="center"/>
    </xf>
    <xf numFmtId="167" fontId="2" fillId="0" borderId="13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/>
    </xf>
    <xf numFmtId="167" fontId="2" fillId="3" borderId="0" xfId="0" applyNumberFormat="1" applyFont="1" applyFill="1" applyAlignment="1">
      <alignment horizontal="center" vertical="center"/>
    </xf>
    <xf numFmtId="167" fontId="1" fillId="0" borderId="0" xfId="0" applyNumberFormat="1" applyFont="1"/>
    <xf numFmtId="167" fontId="2" fillId="0" borderId="0" xfId="0" applyNumberFormat="1" applyFont="1" applyAlignment="1">
      <alignment horizontal="center" vertical="center"/>
    </xf>
    <xf numFmtId="167" fontId="1" fillId="3" borderId="0" xfId="0" applyNumberFormat="1" applyFont="1" applyFill="1" applyAlignment="1">
      <alignment horizontal="center" vertical="center"/>
    </xf>
    <xf numFmtId="167" fontId="1" fillId="3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18"/>
  <sheetViews>
    <sheetView showGridLines="0" showRowColHeaders="0" tabSelected="1" zoomScaleNormal="100" zoomScaleSheetLayoutView="100" workbookViewId="0">
      <selection activeCell="D4" sqref="D4:F4"/>
    </sheetView>
  </sheetViews>
  <sheetFormatPr defaultColWidth="8.88671875" defaultRowHeight="13.8" x14ac:dyDescent="0.25"/>
  <cols>
    <col min="1" max="1" width="1.109375" style="1" customWidth="1"/>
    <col min="2" max="2" width="6.33203125" style="2" customWidth="1"/>
    <col min="3" max="3" width="10" style="1" customWidth="1"/>
    <col min="4" max="4" width="8.33203125" style="20" customWidth="1"/>
    <col min="5" max="5" width="12.5546875" style="1" customWidth="1"/>
    <col min="6" max="6" width="14" style="1" customWidth="1"/>
    <col min="7" max="7" width="8.33203125" style="1" customWidth="1"/>
    <col min="8" max="8" width="13.6640625" style="1" customWidth="1"/>
    <col min="9" max="9" width="13.109375" style="1" customWidth="1"/>
    <col min="10" max="10" width="8.33203125" style="1" customWidth="1"/>
    <col min="11" max="11" width="14.5546875" style="1" customWidth="1"/>
    <col min="12" max="12" width="12.44140625" style="1" customWidth="1"/>
    <col min="13" max="13" width="8.33203125" style="1" customWidth="1"/>
    <col min="14" max="14" width="13.109375" style="1" customWidth="1"/>
    <col min="15" max="15" width="12.33203125" style="1" customWidth="1"/>
    <col min="16" max="16" width="8.33203125" style="1" customWidth="1"/>
    <col min="17" max="17" width="10.5546875" style="1" bestFit="1" customWidth="1"/>
    <col min="18" max="18" width="13" style="1" customWidth="1"/>
    <col min="19" max="19" width="15.5546875" style="1" customWidth="1"/>
    <col min="20" max="20" width="14.44140625" style="1" customWidth="1"/>
    <col min="21" max="21" width="0.88671875" style="6" customWidth="1"/>
    <col min="22" max="22" width="15.6640625" style="2" customWidth="1"/>
    <col min="23" max="23" width="1.109375" style="1" customWidth="1"/>
    <col min="24" max="16384" width="8.88671875" style="1"/>
  </cols>
  <sheetData>
    <row r="1" spans="2:22" ht="6" customHeight="1" x14ac:dyDescent="0.25"/>
    <row r="2" spans="2:22" s="5" customFormat="1" ht="25.2" x14ac:dyDescent="0.45">
      <c r="B2" s="46" t="s">
        <v>9</v>
      </c>
      <c r="C2" s="46"/>
      <c r="D2" s="45">
        <v>44562</v>
      </c>
      <c r="E2" s="45"/>
      <c r="U2" s="7"/>
      <c r="V2" s="10"/>
    </row>
    <row r="3" spans="2:22" ht="14.4" thickBot="1" x14ac:dyDescent="0.3"/>
    <row r="4" spans="2:22" s="4" customFormat="1" ht="30" customHeight="1" thickBot="1" x14ac:dyDescent="0.35">
      <c r="B4" s="51" t="s">
        <v>0</v>
      </c>
      <c r="C4" s="51" t="s">
        <v>10</v>
      </c>
      <c r="D4" s="47" t="s">
        <v>11</v>
      </c>
      <c r="E4" s="48"/>
      <c r="F4" s="49"/>
      <c r="G4" s="47" t="s">
        <v>12</v>
      </c>
      <c r="H4" s="48"/>
      <c r="I4" s="49"/>
      <c r="J4" s="47" t="s">
        <v>13</v>
      </c>
      <c r="K4" s="48"/>
      <c r="L4" s="49"/>
      <c r="M4" s="47" t="s">
        <v>14</v>
      </c>
      <c r="N4" s="48"/>
      <c r="O4" s="49"/>
      <c r="P4" s="47" t="s">
        <v>15</v>
      </c>
      <c r="Q4" s="48"/>
      <c r="R4" s="49"/>
      <c r="S4" s="51" t="s">
        <v>6</v>
      </c>
      <c r="T4" s="51" t="s">
        <v>7</v>
      </c>
      <c r="U4" s="8"/>
      <c r="V4" s="43" t="s">
        <v>16</v>
      </c>
    </row>
    <row r="5" spans="2:22" s="4" customFormat="1" ht="30" customHeight="1" thickBot="1" x14ac:dyDescent="0.35">
      <c r="B5" s="52"/>
      <c r="C5" s="52"/>
      <c r="D5" s="21" t="s">
        <v>17</v>
      </c>
      <c r="E5" s="19" t="s">
        <v>18</v>
      </c>
      <c r="F5" s="18" t="s">
        <v>8</v>
      </c>
      <c r="G5" s="21" t="s">
        <v>17</v>
      </c>
      <c r="H5" s="19" t="s">
        <v>18</v>
      </c>
      <c r="I5" s="18" t="s">
        <v>8</v>
      </c>
      <c r="J5" s="21" t="s">
        <v>17</v>
      </c>
      <c r="K5" s="19" t="s">
        <v>18</v>
      </c>
      <c r="L5" s="18" t="s">
        <v>8</v>
      </c>
      <c r="M5" s="21" t="s">
        <v>17</v>
      </c>
      <c r="N5" s="19" t="s">
        <v>18</v>
      </c>
      <c r="O5" s="18" t="s">
        <v>8</v>
      </c>
      <c r="P5" s="21" t="s">
        <v>17</v>
      </c>
      <c r="Q5" s="19" t="s">
        <v>18</v>
      </c>
      <c r="R5" s="18" t="s">
        <v>8</v>
      </c>
      <c r="S5" s="52"/>
      <c r="T5" s="52"/>
      <c r="U5" s="8"/>
      <c r="V5" s="44"/>
    </row>
    <row r="6" spans="2:22" s="3" customFormat="1" ht="27" customHeight="1" x14ac:dyDescent="0.3">
      <c r="B6" s="13">
        <v>1</v>
      </c>
      <c r="C6" s="14" t="s">
        <v>1</v>
      </c>
      <c r="D6" s="22">
        <v>6</v>
      </c>
      <c r="E6" s="27">
        <v>17</v>
      </c>
      <c r="F6" s="27">
        <f>D6*E6</f>
        <v>102</v>
      </c>
      <c r="G6" s="22">
        <v>5</v>
      </c>
      <c r="H6" s="27">
        <v>17</v>
      </c>
      <c r="I6" s="27">
        <f>G6*H6</f>
        <v>85</v>
      </c>
      <c r="J6" s="22"/>
      <c r="K6" s="27">
        <v>17</v>
      </c>
      <c r="L6" s="27">
        <f>J6*K6</f>
        <v>0</v>
      </c>
      <c r="M6" s="22"/>
      <c r="N6" s="27">
        <v>17</v>
      </c>
      <c r="O6" s="27">
        <f>M6*N6</f>
        <v>0</v>
      </c>
      <c r="P6" s="22">
        <v>10</v>
      </c>
      <c r="Q6" s="27">
        <v>17</v>
      </c>
      <c r="R6" s="27">
        <f>P6*Q6</f>
        <v>170</v>
      </c>
      <c r="S6" s="27">
        <v>40</v>
      </c>
      <c r="T6" s="32">
        <v>50</v>
      </c>
      <c r="U6" s="33"/>
      <c r="V6" s="34">
        <f>F6+I6+L6+O6+R6+S6+T6</f>
        <v>447</v>
      </c>
    </row>
    <row r="7" spans="2:22" s="3" customFormat="1" ht="27" customHeight="1" x14ac:dyDescent="0.3">
      <c r="B7" s="15">
        <f>B6+1</f>
        <v>2</v>
      </c>
      <c r="C7" s="12" t="s">
        <v>2</v>
      </c>
      <c r="D7" s="23">
        <v>2</v>
      </c>
      <c r="E7" s="28">
        <v>17</v>
      </c>
      <c r="F7" s="28">
        <f t="shared" ref="F7:F15" si="0">D7*E7</f>
        <v>34</v>
      </c>
      <c r="G7" s="23">
        <v>4</v>
      </c>
      <c r="H7" s="28">
        <v>17</v>
      </c>
      <c r="I7" s="28">
        <f t="shared" ref="I7:I15" si="1">G7*H7</f>
        <v>68</v>
      </c>
      <c r="J7" s="23">
        <v>8</v>
      </c>
      <c r="K7" s="28">
        <v>17</v>
      </c>
      <c r="L7" s="28">
        <f t="shared" ref="L7:L15" si="2">J7*K7</f>
        <v>136</v>
      </c>
      <c r="M7" s="23">
        <v>9</v>
      </c>
      <c r="N7" s="28">
        <v>17</v>
      </c>
      <c r="O7" s="28">
        <f t="shared" ref="O7:O15" si="3">M7*N7</f>
        <v>153</v>
      </c>
      <c r="P7" s="23"/>
      <c r="Q7" s="28">
        <v>17</v>
      </c>
      <c r="R7" s="28">
        <f t="shared" ref="R7:R15" si="4">P7*Q7</f>
        <v>0</v>
      </c>
      <c r="S7" s="28"/>
      <c r="T7" s="35"/>
      <c r="U7" s="33"/>
      <c r="V7" s="36">
        <f t="shared" ref="V7:V15" si="5">F7+I7+L7+O7+R7+S7+T7</f>
        <v>391</v>
      </c>
    </row>
    <row r="8" spans="2:22" s="3" customFormat="1" ht="27" customHeight="1" x14ac:dyDescent="0.3">
      <c r="B8" s="15">
        <f t="shared" ref="B8:B15" si="6">B7+1</f>
        <v>3</v>
      </c>
      <c r="C8" s="12" t="s">
        <v>3</v>
      </c>
      <c r="D8" s="23">
        <v>3</v>
      </c>
      <c r="E8" s="28">
        <v>17</v>
      </c>
      <c r="F8" s="28">
        <f t="shared" si="0"/>
        <v>51</v>
      </c>
      <c r="G8" s="23"/>
      <c r="H8" s="28">
        <v>17</v>
      </c>
      <c r="I8" s="28">
        <f t="shared" si="1"/>
        <v>0</v>
      </c>
      <c r="J8" s="23">
        <v>6</v>
      </c>
      <c r="K8" s="28">
        <v>17</v>
      </c>
      <c r="L8" s="28">
        <f t="shared" si="2"/>
        <v>102</v>
      </c>
      <c r="M8" s="23"/>
      <c r="N8" s="28">
        <v>17</v>
      </c>
      <c r="O8" s="28">
        <f t="shared" si="3"/>
        <v>0</v>
      </c>
      <c r="P8" s="23">
        <v>8.5</v>
      </c>
      <c r="Q8" s="28">
        <v>17</v>
      </c>
      <c r="R8" s="28">
        <f t="shared" si="4"/>
        <v>144.5</v>
      </c>
      <c r="S8" s="28">
        <v>15</v>
      </c>
      <c r="T8" s="35">
        <v>50</v>
      </c>
      <c r="U8" s="33"/>
      <c r="V8" s="36">
        <f t="shared" si="5"/>
        <v>362.5</v>
      </c>
    </row>
    <row r="9" spans="2:22" s="3" customFormat="1" ht="27" customHeight="1" x14ac:dyDescent="0.3">
      <c r="B9" s="15">
        <f t="shared" si="6"/>
        <v>4</v>
      </c>
      <c r="C9" s="12" t="s">
        <v>4</v>
      </c>
      <c r="D9" s="23">
        <v>4</v>
      </c>
      <c r="E9" s="28">
        <v>17</v>
      </c>
      <c r="F9" s="28">
        <f t="shared" si="0"/>
        <v>68</v>
      </c>
      <c r="G9" s="23"/>
      <c r="H9" s="28">
        <v>17</v>
      </c>
      <c r="I9" s="28">
        <f t="shared" si="1"/>
        <v>0</v>
      </c>
      <c r="J9" s="23"/>
      <c r="K9" s="28">
        <v>17</v>
      </c>
      <c r="L9" s="28">
        <f t="shared" si="2"/>
        <v>0</v>
      </c>
      <c r="M9" s="23"/>
      <c r="N9" s="28">
        <v>17</v>
      </c>
      <c r="O9" s="28">
        <f t="shared" si="3"/>
        <v>0</v>
      </c>
      <c r="P9" s="23"/>
      <c r="Q9" s="28">
        <v>17</v>
      </c>
      <c r="R9" s="28">
        <f t="shared" si="4"/>
        <v>0</v>
      </c>
      <c r="S9" s="28"/>
      <c r="T9" s="35"/>
      <c r="U9" s="33"/>
      <c r="V9" s="36">
        <f t="shared" si="5"/>
        <v>68</v>
      </c>
    </row>
    <row r="10" spans="2:22" s="3" customFormat="1" ht="27" customHeight="1" x14ac:dyDescent="0.3">
      <c r="B10" s="15">
        <f t="shared" si="6"/>
        <v>5</v>
      </c>
      <c r="C10" s="12" t="s">
        <v>5</v>
      </c>
      <c r="D10" s="23">
        <v>5</v>
      </c>
      <c r="E10" s="28">
        <v>17</v>
      </c>
      <c r="F10" s="28">
        <f t="shared" si="0"/>
        <v>85</v>
      </c>
      <c r="G10" s="23">
        <v>2</v>
      </c>
      <c r="H10" s="28">
        <v>17</v>
      </c>
      <c r="I10" s="28">
        <f t="shared" si="1"/>
        <v>34</v>
      </c>
      <c r="J10" s="23"/>
      <c r="K10" s="28">
        <v>17</v>
      </c>
      <c r="L10" s="28">
        <f t="shared" si="2"/>
        <v>0</v>
      </c>
      <c r="M10" s="23">
        <v>5</v>
      </c>
      <c r="N10" s="28">
        <v>17</v>
      </c>
      <c r="O10" s="28">
        <f t="shared" si="3"/>
        <v>85</v>
      </c>
      <c r="P10" s="23"/>
      <c r="Q10" s="28">
        <v>17</v>
      </c>
      <c r="R10" s="28">
        <f t="shared" si="4"/>
        <v>0</v>
      </c>
      <c r="S10" s="28"/>
      <c r="T10" s="35"/>
      <c r="U10" s="33"/>
      <c r="V10" s="36">
        <f t="shared" si="5"/>
        <v>204</v>
      </c>
    </row>
    <row r="11" spans="2:22" s="3" customFormat="1" ht="27" customHeight="1" x14ac:dyDescent="0.3">
      <c r="B11" s="15">
        <f t="shared" si="6"/>
        <v>6</v>
      </c>
      <c r="C11" s="12"/>
      <c r="D11" s="23"/>
      <c r="E11" s="28"/>
      <c r="F11" s="28">
        <f t="shared" si="0"/>
        <v>0</v>
      </c>
      <c r="G11" s="23"/>
      <c r="H11" s="28"/>
      <c r="I11" s="28">
        <f t="shared" si="1"/>
        <v>0</v>
      </c>
      <c r="J11" s="23"/>
      <c r="K11" s="28"/>
      <c r="L11" s="28">
        <f t="shared" si="2"/>
        <v>0</v>
      </c>
      <c r="M11" s="23"/>
      <c r="N11" s="28"/>
      <c r="O11" s="28">
        <f t="shared" si="3"/>
        <v>0</v>
      </c>
      <c r="P11" s="23"/>
      <c r="Q11" s="28"/>
      <c r="R11" s="28">
        <f t="shared" si="4"/>
        <v>0</v>
      </c>
      <c r="S11" s="28">
        <v>100</v>
      </c>
      <c r="T11" s="35"/>
      <c r="U11" s="33"/>
      <c r="V11" s="36">
        <f t="shared" si="5"/>
        <v>100</v>
      </c>
    </row>
    <row r="12" spans="2:22" s="3" customFormat="1" ht="27" customHeight="1" x14ac:dyDescent="0.3">
      <c r="B12" s="15">
        <f t="shared" si="6"/>
        <v>7</v>
      </c>
      <c r="C12" s="12"/>
      <c r="D12" s="23"/>
      <c r="E12" s="28"/>
      <c r="F12" s="28">
        <f t="shared" si="0"/>
        <v>0</v>
      </c>
      <c r="G12" s="23"/>
      <c r="H12" s="28"/>
      <c r="I12" s="28">
        <f t="shared" si="1"/>
        <v>0</v>
      </c>
      <c r="J12" s="23"/>
      <c r="K12" s="28"/>
      <c r="L12" s="28">
        <f t="shared" si="2"/>
        <v>0</v>
      </c>
      <c r="M12" s="23"/>
      <c r="N12" s="28"/>
      <c r="O12" s="28">
        <f t="shared" si="3"/>
        <v>0</v>
      </c>
      <c r="P12" s="23"/>
      <c r="Q12" s="28"/>
      <c r="R12" s="28">
        <f t="shared" si="4"/>
        <v>0</v>
      </c>
      <c r="S12" s="28"/>
      <c r="T12" s="35"/>
      <c r="U12" s="33"/>
      <c r="V12" s="36">
        <f t="shared" si="5"/>
        <v>0</v>
      </c>
    </row>
    <row r="13" spans="2:22" s="3" customFormat="1" ht="27" customHeight="1" x14ac:dyDescent="0.3">
      <c r="B13" s="15">
        <f t="shared" si="6"/>
        <v>8</v>
      </c>
      <c r="C13" s="12"/>
      <c r="D13" s="23"/>
      <c r="E13" s="28"/>
      <c r="F13" s="28">
        <f t="shared" si="0"/>
        <v>0</v>
      </c>
      <c r="G13" s="23"/>
      <c r="H13" s="28"/>
      <c r="I13" s="28">
        <f t="shared" si="1"/>
        <v>0</v>
      </c>
      <c r="J13" s="23"/>
      <c r="K13" s="28"/>
      <c r="L13" s="28">
        <f t="shared" si="2"/>
        <v>0</v>
      </c>
      <c r="M13" s="23"/>
      <c r="N13" s="28"/>
      <c r="O13" s="28">
        <f t="shared" si="3"/>
        <v>0</v>
      </c>
      <c r="P13" s="23"/>
      <c r="Q13" s="28"/>
      <c r="R13" s="28">
        <f t="shared" si="4"/>
        <v>0</v>
      </c>
      <c r="S13" s="28"/>
      <c r="T13" s="35"/>
      <c r="U13" s="33"/>
      <c r="V13" s="36">
        <f t="shared" si="5"/>
        <v>0</v>
      </c>
    </row>
    <row r="14" spans="2:22" s="3" customFormat="1" ht="27" customHeight="1" x14ac:dyDescent="0.3">
      <c r="B14" s="15">
        <f t="shared" si="6"/>
        <v>9</v>
      </c>
      <c r="C14" s="12"/>
      <c r="D14" s="23"/>
      <c r="E14" s="28"/>
      <c r="F14" s="28">
        <f t="shared" si="0"/>
        <v>0</v>
      </c>
      <c r="G14" s="23"/>
      <c r="H14" s="28"/>
      <c r="I14" s="28">
        <f t="shared" si="1"/>
        <v>0</v>
      </c>
      <c r="J14" s="23"/>
      <c r="K14" s="28"/>
      <c r="L14" s="28">
        <f t="shared" si="2"/>
        <v>0</v>
      </c>
      <c r="M14" s="23"/>
      <c r="N14" s="28"/>
      <c r="O14" s="28">
        <f t="shared" si="3"/>
        <v>0</v>
      </c>
      <c r="P14" s="23"/>
      <c r="Q14" s="28"/>
      <c r="R14" s="28">
        <f t="shared" si="4"/>
        <v>0</v>
      </c>
      <c r="S14" s="28"/>
      <c r="T14" s="35"/>
      <c r="U14" s="33"/>
      <c r="V14" s="36">
        <f t="shared" si="5"/>
        <v>0</v>
      </c>
    </row>
    <row r="15" spans="2:22" s="3" customFormat="1" ht="27" customHeight="1" thickBot="1" x14ac:dyDescent="0.35">
      <c r="B15" s="16">
        <f t="shared" si="6"/>
        <v>10</v>
      </c>
      <c r="C15" s="17"/>
      <c r="D15" s="24"/>
      <c r="E15" s="29"/>
      <c r="F15" s="29">
        <f t="shared" si="0"/>
        <v>0</v>
      </c>
      <c r="G15" s="24"/>
      <c r="H15" s="29"/>
      <c r="I15" s="29">
        <f t="shared" si="1"/>
        <v>0</v>
      </c>
      <c r="J15" s="24"/>
      <c r="K15" s="29"/>
      <c r="L15" s="29">
        <f t="shared" si="2"/>
        <v>0</v>
      </c>
      <c r="M15" s="24"/>
      <c r="N15" s="29"/>
      <c r="O15" s="29">
        <f t="shared" si="3"/>
        <v>0</v>
      </c>
      <c r="P15" s="24">
        <v>5</v>
      </c>
      <c r="Q15" s="29"/>
      <c r="R15" s="29">
        <f t="shared" si="4"/>
        <v>0</v>
      </c>
      <c r="S15" s="29"/>
      <c r="T15" s="37"/>
      <c r="U15" s="33"/>
      <c r="V15" s="38">
        <f t="shared" si="5"/>
        <v>0</v>
      </c>
    </row>
    <row r="16" spans="2:22" x14ac:dyDescent="0.25">
      <c r="E16" s="30"/>
      <c r="F16" s="30"/>
      <c r="G16" s="20"/>
      <c r="H16" s="30"/>
      <c r="I16" s="30"/>
      <c r="J16" s="20"/>
      <c r="K16" s="30"/>
      <c r="L16" s="30"/>
      <c r="M16" s="20"/>
      <c r="N16" s="30"/>
      <c r="O16" s="30"/>
      <c r="P16" s="20"/>
      <c r="Q16" s="39"/>
      <c r="R16" s="30"/>
      <c r="S16" s="30"/>
      <c r="T16" s="30"/>
      <c r="U16" s="40"/>
      <c r="V16" s="41"/>
    </row>
    <row r="17" spans="2:22" s="4" customFormat="1" ht="24" customHeight="1" thickBot="1" x14ac:dyDescent="0.35">
      <c r="B17" s="50" t="s">
        <v>8</v>
      </c>
      <c r="C17" s="50"/>
      <c r="D17" s="25">
        <f>SUM(D6:D15)</f>
        <v>20</v>
      </c>
      <c r="E17" s="31">
        <f>AVERAGE(E6:E15)</f>
        <v>17</v>
      </c>
      <c r="F17" s="31">
        <f>SUM(F6:F15)</f>
        <v>340</v>
      </c>
      <c r="G17" s="25">
        <f>SUM(G6:G15)</f>
        <v>11</v>
      </c>
      <c r="H17" s="31">
        <f>AVERAGE(H6:H15)</f>
        <v>17</v>
      </c>
      <c r="I17" s="31">
        <f>SUM(I6:I15)</f>
        <v>187</v>
      </c>
      <c r="J17" s="25">
        <f>SUM(J6:J15)</f>
        <v>14</v>
      </c>
      <c r="K17" s="31">
        <f>AVERAGE(K6:K15)</f>
        <v>17</v>
      </c>
      <c r="L17" s="31">
        <f>SUM(L6:L15)</f>
        <v>238</v>
      </c>
      <c r="M17" s="25">
        <f>SUM(M6:M15)</f>
        <v>14</v>
      </c>
      <c r="N17" s="31">
        <f>AVERAGE(N6:N15)</f>
        <v>17</v>
      </c>
      <c r="O17" s="31">
        <f>SUM(O6:O15)</f>
        <v>238</v>
      </c>
      <c r="P17" s="25">
        <f>SUM(P6:P15)</f>
        <v>23.5</v>
      </c>
      <c r="Q17" s="31">
        <f>AVERAGE(Q6:Q15)</f>
        <v>17</v>
      </c>
      <c r="R17" s="31">
        <f>SUM(R6:R15)</f>
        <v>314.5</v>
      </c>
      <c r="S17" s="31">
        <f>SUM(S6:S15)</f>
        <v>155</v>
      </c>
      <c r="T17" s="31">
        <f>SUM(T6:T15)</f>
        <v>100</v>
      </c>
      <c r="U17" s="42"/>
      <c r="V17" s="31">
        <f>SUM(V6:V15)</f>
        <v>1572.5</v>
      </c>
    </row>
    <row r="18" spans="2:22" ht="14.4" thickTop="1" x14ac:dyDescent="0.25"/>
  </sheetData>
  <mergeCells count="13">
    <mergeCell ref="B17:C17"/>
    <mergeCell ref="S4:S5"/>
    <mergeCell ref="T4:T5"/>
    <mergeCell ref="C4:C5"/>
    <mergeCell ref="B4:B5"/>
    <mergeCell ref="V4:V5"/>
    <mergeCell ref="D2:E2"/>
    <mergeCell ref="B2:C2"/>
    <mergeCell ref="G4:I4"/>
    <mergeCell ref="D4:F4"/>
    <mergeCell ref="J4:L4"/>
    <mergeCell ref="P4:R4"/>
    <mergeCell ref="M4:O4"/>
  </mergeCells>
  <printOptions horizontalCentered="1"/>
  <pageMargins left="0" right="0" top="0.5" bottom="0" header="0.3" footer="0.3"/>
  <pageSetup scale="71" orientation="landscape" r:id="rId1"/>
  <ignoredErrors>
    <ignoredError sqref="E17 K17 N17 Q17 H1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V18"/>
  <sheetViews>
    <sheetView showGridLines="0" showRowColHeaders="0" zoomScaleNormal="100" zoomScaleSheetLayoutView="100" workbookViewId="0">
      <selection activeCell="R17" sqref="R17:V17"/>
    </sheetView>
  </sheetViews>
  <sheetFormatPr defaultColWidth="8.88671875" defaultRowHeight="13.8" x14ac:dyDescent="0.25"/>
  <cols>
    <col min="1" max="1" width="1.109375" style="1" customWidth="1"/>
    <col min="2" max="2" width="6.33203125" style="2" customWidth="1"/>
    <col min="3" max="3" width="10" style="1" customWidth="1"/>
    <col min="4" max="4" width="8.33203125" style="20" customWidth="1"/>
    <col min="5" max="5" width="14.5546875" style="1" customWidth="1"/>
    <col min="6" max="6" width="13.6640625" style="1" customWidth="1"/>
    <col min="7" max="7" width="8.33203125" style="1" customWidth="1"/>
    <col min="8" max="8" width="13.44140625" style="1" customWidth="1"/>
    <col min="9" max="9" width="12.77734375" style="1" customWidth="1"/>
    <col min="10" max="10" width="8.33203125" style="1" customWidth="1"/>
    <col min="11" max="11" width="13.6640625" style="1" customWidth="1"/>
    <col min="12" max="12" width="12.77734375" style="1" customWidth="1"/>
    <col min="13" max="13" width="8.33203125" style="1" customWidth="1"/>
    <col min="14" max="14" width="14.33203125" style="1" customWidth="1"/>
    <col min="15" max="15" width="10" style="1" customWidth="1"/>
    <col min="16" max="16" width="8.33203125" style="1" customWidth="1"/>
    <col min="17" max="17" width="10.5546875" style="1" bestFit="1" customWidth="1"/>
    <col min="18" max="18" width="10" style="1" customWidth="1"/>
    <col min="19" max="19" width="12.6640625" style="1" customWidth="1"/>
    <col min="20" max="20" width="12.33203125" style="1" customWidth="1"/>
    <col min="21" max="21" width="0.88671875" style="6" customWidth="1"/>
    <col min="22" max="22" width="13.33203125" style="2" customWidth="1"/>
    <col min="23" max="23" width="1.109375" style="1" customWidth="1"/>
    <col min="24" max="16384" width="8.88671875" style="1"/>
  </cols>
  <sheetData>
    <row r="1" spans="2:22" ht="6" customHeight="1" x14ac:dyDescent="0.25"/>
    <row r="2" spans="2:22" s="5" customFormat="1" ht="25.2" x14ac:dyDescent="0.45">
      <c r="B2" s="46" t="s">
        <v>19</v>
      </c>
      <c r="C2" s="46"/>
      <c r="D2" s="45">
        <v>44562</v>
      </c>
      <c r="E2" s="45"/>
      <c r="U2" s="7"/>
      <c r="V2" s="10"/>
    </row>
    <row r="3" spans="2:22" ht="14.4" thickBot="1" x14ac:dyDescent="0.3"/>
    <row r="4" spans="2:22" s="4" customFormat="1" ht="30" customHeight="1" thickBot="1" x14ac:dyDescent="0.35">
      <c r="B4" s="51" t="s">
        <v>0</v>
      </c>
      <c r="C4" s="51" t="s">
        <v>10</v>
      </c>
      <c r="D4" s="47" t="s">
        <v>11</v>
      </c>
      <c r="E4" s="48"/>
      <c r="F4" s="49"/>
      <c r="G4" s="47" t="s">
        <v>12</v>
      </c>
      <c r="H4" s="48"/>
      <c r="I4" s="49"/>
      <c r="J4" s="47" t="s">
        <v>13</v>
      </c>
      <c r="K4" s="48"/>
      <c r="L4" s="49"/>
      <c r="M4" s="47" t="s">
        <v>14</v>
      </c>
      <c r="N4" s="48"/>
      <c r="O4" s="49"/>
      <c r="P4" s="47" t="s">
        <v>15</v>
      </c>
      <c r="Q4" s="48"/>
      <c r="R4" s="49"/>
      <c r="S4" s="51" t="s">
        <v>6</v>
      </c>
      <c r="T4" s="51" t="s">
        <v>7</v>
      </c>
      <c r="U4" s="8"/>
      <c r="V4" s="43" t="s">
        <v>16</v>
      </c>
    </row>
    <row r="5" spans="2:22" s="4" customFormat="1" ht="30" customHeight="1" thickBot="1" x14ac:dyDescent="0.35">
      <c r="B5" s="52"/>
      <c r="C5" s="52"/>
      <c r="D5" s="21" t="s">
        <v>17</v>
      </c>
      <c r="E5" s="19" t="s">
        <v>18</v>
      </c>
      <c r="F5" s="18" t="s">
        <v>8</v>
      </c>
      <c r="G5" s="21" t="s">
        <v>17</v>
      </c>
      <c r="H5" s="19" t="s">
        <v>18</v>
      </c>
      <c r="I5" s="18" t="s">
        <v>8</v>
      </c>
      <c r="J5" s="21" t="s">
        <v>17</v>
      </c>
      <c r="K5" s="19" t="s">
        <v>18</v>
      </c>
      <c r="L5" s="18" t="s">
        <v>8</v>
      </c>
      <c r="M5" s="21" t="s">
        <v>17</v>
      </c>
      <c r="N5" s="19" t="s">
        <v>18</v>
      </c>
      <c r="O5" s="18" t="s">
        <v>8</v>
      </c>
      <c r="P5" s="21" t="s">
        <v>17</v>
      </c>
      <c r="Q5" s="19" t="s">
        <v>18</v>
      </c>
      <c r="R5" s="18" t="s">
        <v>8</v>
      </c>
      <c r="S5" s="52"/>
      <c r="T5" s="52"/>
      <c r="U5" s="8"/>
      <c r="V5" s="44"/>
    </row>
    <row r="6" spans="2:22" s="3" customFormat="1" ht="27" customHeight="1" x14ac:dyDescent="0.3">
      <c r="B6" s="13">
        <v>1</v>
      </c>
      <c r="C6" s="14" t="s">
        <v>1</v>
      </c>
      <c r="D6" s="22">
        <v>5.2</v>
      </c>
      <c r="E6" s="53">
        <v>17</v>
      </c>
      <c r="F6" s="53">
        <f>D6*E6</f>
        <v>88.4</v>
      </c>
      <c r="G6" s="22"/>
      <c r="H6" s="56">
        <v>17</v>
      </c>
      <c r="I6" s="56">
        <f>G6*H6</f>
        <v>0</v>
      </c>
      <c r="J6" s="22"/>
      <c r="K6" s="56">
        <v>17</v>
      </c>
      <c r="L6" s="56">
        <f>J6*K6</f>
        <v>0</v>
      </c>
      <c r="M6" s="22"/>
      <c r="N6" s="56">
        <v>17</v>
      </c>
      <c r="O6" s="56">
        <f>M6*N6</f>
        <v>0</v>
      </c>
      <c r="P6" s="22"/>
      <c r="Q6" s="22">
        <v>17</v>
      </c>
      <c r="R6" s="56">
        <f>P6*Q6</f>
        <v>0</v>
      </c>
      <c r="S6" s="56">
        <v>40</v>
      </c>
      <c r="T6" s="59">
        <v>50</v>
      </c>
      <c r="U6" s="9"/>
      <c r="V6" s="62">
        <f>F6+I6+L6+O6+R6+S6+T6</f>
        <v>178.4</v>
      </c>
    </row>
    <row r="7" spans="2:22" s="3" customFormat="1" ht="27" customHeight="1" x14ac:dyDescent="0.3">
      <c r="B7" s="15">
        <f>B6+1</f>
        <v>2</v>
      </c>
      <c r="C7" s="12" t="s">
        <v>2</v>
      </c>
      <c r="D7" s="23">
        <v>8</v>
      </c>
      <c r="E7" s="54">
        <v>17</v>
      </c>
      <c r="F7" s="54">
        <f t="shared" ref="F7:F15" si="0">D7*E7</f>
        <v>136</v>
      </c>
      <c r="G7" s="23">
        <v>4</v>
      </c>
      <c r="H7" s="57">
        <v>17</v>
      </c>
      <c r="I7" s="57">
        <f t="shared" ref="I7:I15" si="1">G7*H7</f>
        <v>68</v>
      </c>
      <c r="J7" s="23"/>
      <c r="K7" s="57">
        <v>17</v>
      </c>
      <c r="L7" s="57">
        <f t="shared" ref="L7:L15" si="2">J7*K7</f>
        <v>0</v>
      </c>
      <c r="M7" s="23"/>
      <c r="N7" s="57">
        <v>17</v>
      </c>
      <c r="O7" s="57">
        <f t="shared" ref="O7:O15" si="3">M7*N7</f>
        <v>0</v>
      </c>
      <c r="P7" s="23"/>
      <c r="Q7" s="23">
        <v>17</v>
      </c>
      <c r="R7" s="57">
        <f t="shared" ref="R7:R15" si="4">P7*Q7</f>
        <v>0</v>
      </c>
      <c r="S7" s="57"/>
      <c r="T7" s="60"/>
      <c r="U7" s="9"/>
      <c r="V7" s="63">
        <f t="shared" ref="V7:V15" si="5">F7+I7+L7+O7+R7+S7+T7</f>
        <v>204</v>
      </c>
    </row>
    <row r="8" spans="2:22" s="3" customFormat="1" ht="27" customHeight="1" x14ac:dyDescent="0.3">
      <c r="B8" s="15">
        <f t="shared" ref="B8:B15" si="6">B7+1</f>
        <v>3</v>
      </c>
      <c r="C8" s="12" t="s">
        <v>3</v>
      </c>
      <c r="D8" s="23"/>
      <c r="E8" s="54">
        <v>17</v>
      </c>
      <c r="F8" s="54">
        <f t="shared" si="0"/>
        <v>0</v>
      </c>
      <c r="G8" s="23"/>
      <c r="H8" s="57">
        <v>17</v>
      </c>
      <c r="I8" s="57">
        <f t="shared" si="1"/>
        <v>0</v>
      </c>
      <c r="J8" s="23"/>
      <c r="K8" s="57">
        <v>17</v>
      </c>
      <c r="L8" s="57">
        <f t="shared" si="2"/>
        <v>0</v>
      </c>
      <c r="M8" s="23"/>
      <c r="N8" s="57">
        <v>17</v>
      </c>
      <c r="O8" s="57">
        <f t="shared" si="3"/>
        <v>0</v>
      </c>
      <c r="P8" s="23"/>
      <c r="Q8" s="23">
        <v>17</v>
      </c>
      <c r="R8" s="57">
        <f t="shared" si="4"/>
        <v>0</v>
      </c>
      <c r="S8" s="57">
        <v>80</v>
      </c>
      <c r="T8" s="60"/>
      <c r="U8" s="9"/>
      <c r="V8" s="63">
        <f t="shared" si="5"/>
        <v>80</v>
      </c>
    </row>
    <row r="9" spans="2:22" s="3" customFormat="1" ht="27" customHeight="1" x14ac:dyDescent="0.3">
      <c r="B9" s="15">
        <f t="shared" si="6"/>
        <v>4</v>
      </c>
      <c r="C9" s="12" t="s">
        <v>4</v>
      </c>
      <c r="D9" s="23"/>
      <c r="E9" s="54">
        <v>17</v>
      </c>
      <c r="F9" s="54">
        <f t="shared" si="0"/>
        <v>0</v>
      </c>
      <c r="G9" s="23"/>
      <c r="H9" s="57">
        <v>17</v>
      </c>
      <c r="I9" s="57">
        <f t="shared" si="1"/>
        <v>0</v>
      </c>
      <c r="J9" s="23"/>
      <c r="K9" s="57">
        <v>17</v>
      </c>
      <c r="L9" s="57">
        <f t="shared" si="2"/>
        <v>0</v>
      </c>
      <c r="M9" s="23"/>
      <c r="N9" s="57">
        <v>17</v>
      </c>
      <c r="O9" s="57">
        <f t="shared" si="3"/>
        <v>0</v>
      </c>
      <c r="P9" s="23"/>
      <c r="Q9" s="23">
        <v>17</v>
      </c>
      <c r="R9" s="57">
        <f t="shared" si="4"/>
        <v>0</v>
      </c>
      <c r="S9" s="57"/>
      <c r="T9" s="60"/>
      <c r="U9" s="9"/>
      <c r="V9" s="63">
        <f t="shared" si="5"/>
        <v>0</v>
      </c>
    </row>
    <row r="10" spans="2:22" s="3" customFormat="1" ht="27" customHeight="1" x14ac:dyDescent="0.3">
      <c r="B10" s="15">
        <f t="shared" si="6"/>
        <v>5</v>
      </c>
      <c r="C10" s="12" t="s">
        <v>5</v>
      </c>
      <c r="D10" s="23"/>
      <c r="E10" s="54">
        <v>17</v>
      </c>
      <c r="F10" s="54">
        <f t="shared" si="0"/>
        <v>0</v>
      </c>
      <c r="G10" s="23"/>
      <c r="H10" s="57">
        <v>17</v>
      </c>
      <c r="I10" s="57">
        <f t="shared" si="1"/>
        <v>0</v>
      </c>
      <c r="J10" s="23"/>
      <c r="K10" s="57">
        <v>17</v>
      </c>
      <c r="L10" s="57">
        <f t="shared" si="2"/>
        <v>0</v>
      </c>
      <c r="M10" s="23"/>
      <c r="N10" s="57">
        <v>17</v>
      </c>
      <c r="O10" s="57">
        <f t="shared" si="3"/>
        <v>0</v>
      </c>
      <c r="P10" s="23"/>
      <c r="Q10" s="23">
        <v>17</v>
      </c>
      <c r="R10" s="57">
        <f t="shared" si="4"/>
        <v>0</v>
      </c>
      <c r="S10" s="57"/>
      <c r="T10" s="60"/>
      <c r="U10" s="9"/>
      <c r="V10" s="63">
        <f t="shared" si="5"/>
        <v>0</v>
      </c>
    </row>
    <row r="11" spans="2:22" s="3" customFormat="1" ht="27" customHeight="1" x14ac:dyDescent="0.3">
      <c r="B11" s="15">
        <f t="shared" si="6"/>
        <v>6</v>
      </c>
      <c r="C11" s="12"/>
      <c r="D11" s="23"/>
      <c r="E11" s="54"/>
      <c r="F11" s="54">
        <f t="shared" si="0"/>
        <v>0</v>
      </c>
      <c r="G11" s="23"/>
      <c r="H11" s="57"/>
      <c r="I11" s="57">
        <f t="shared" si="1"/>
        <v>0</v>
      </c>
      <c r="J11" s="23"/>
      <c r="K11" s="57"/>
      <c r="L11" s="57">
        <f t="shared" si="2"/>
        <v>0</v>
      </c>
      <c r="M11" s="23"/>
      <c r="N11" s="57"/>
      <c r="O11" s="57">
        <f t="shared" si="3"/>
        <v>0</v>
      </c>
      <c r="P11" s="23"/>
      <c r="Q11" s="23"/>
      <c r="R11" s="57">
        <f t="shared" si="4"/>
        <v>0</v>
      </c>
      <c r="S11" s="57"/>
      <c r="T11" s="60"/>
      <c r="U11" s="9"/>
      <c r="V11" s="63">
        <f t="shared" si="5"/>
        <v>0</v>
      </c>
    </row>
    <row r="12" spans="2:22" s="3" customFormat="1" ht="27" customHeight="1" x14ac:dyDescent="0.3">
      <c r="B12" s="15">
        <f t="shared" si="6"/>
        <v>7</v>
      </c>
      <c r="C12" s="12"/>
      <c r="D12" s="23"/>
      <c r="E12" s="54"/>
      <c r="F12" s="54">
        <f t="shared" si="0"/>
        <v>0</v>
      </c>
      <c r="G12" s="23"/>
      <c r="H12" s="57"/>
      <c r="I12" s="57">
        <f t="shared" si="1"/>
        <v>0</v>
      </c>
      <c r="J12" s="23"/>
      <c r="K12" s="57"/>
      <c r="L12" s="57">
        <f t="shared" si="2"/>
        <v>0</v>
      </c>
      <c r="M12" s="23"/>
      <c r="N12" s="57"/>
      <c r="O12" s="57">
        <f t="shared" si="3"/>
        <v>0</v>
      </c>
      <c r="P12" s="23"/>
      <c r="Q12" s="23"/>
      <c r="R12" s="57">
        <f t="shared" si="4"/>
        <v>0</v>
      </c>
      <c r="S12" s="57"/>
      <c r="T12" s="60"/>
      <c r="U12" s="9"/>
      <c r="V12" s="63">
        <f t="shared" si="5"/>
        <v>0</v>
      </c>
    </row>
    <row r="13" spans="2:22" s="3" customFormat="1" ht="27" customHeight="1" x14ac:dyDescent="0.3">
      <c r="B13" s="15">
        <f t="shared" si="6"/>
        <v>8</v>
      </c>
      <c r="C13" s="12"/>
      <c r="D13" s="23"/>
      <c r="E13" s="54"/>
      <c r="F13" s="54">
        <f t="shared" si="0"/>
        <v>0</v>
      </c>
      <c r="G13" s="23"/>
      <c r="H13" s="57"/>
      <c r="I13" s="57">
        <f t="shared" si="1"/>
        <v>0</v>
      </c>
      <c r="J13" s="23"/>
      <c r="K13" s="57"/>
      <c r="L13" s="57">
        <f t="shared" si="2"/>
        <v>0</v>
      </c>
      <c r="M13" s="23"/>
      <c r="N13" s="57"/>
      <c r="O13" s="57">
        <f t="shared" si="3"/>
        <v>0</v>
      </c>
      <c r="P13" s="23"/>
      <c r="Q13" s="23"/>
      <c r="R13" s="57">
        <f t="shared" si="4"/>
        <v>0</v>
      </c>
      <c r="S13" s="57"/>
      <c r="T13" s="60"/>
      <c r="U13" s="9"/>
      <c r="V13" s="63">
        <f t="shared" si="5"/>
        <v>0</v>
      </c>
    </row>
    <row r="14" spans="2:22" s="3" customFormat="1" ht="27" customHeight="1" x14ac:dyDescent="0.3">
      <c r="B14" s="15">
        <f t="shared" si="6"/>
        <v>9</v>
      </c>
      <c r="C14" s="12"/>
      <c r="D14" s="23"/>
      <c r="E14" s="54"/>
      <c r="F14" s="54">
        <f t="shared" si="0"/>
        <v>0</v>
      </c>
      <c r="G14" s="23"/>
      <c r="H14" s="57"/>
      <c r="I14" s="57">
        <f t="shared" si="1"/>
        <v>0</v>
      </c>
      <c r="J14" s="23"/>
      <c r="K14" s="57"/>
      <c r="L14" s="57">
        <f t="shared" si="2"/>
        <v>0</v>
      </c>
      <c r="M14" s="23"/>
      <c r="N14" s="57"/>
      <c r="O14" s="57">
        <f t="shared" si="3"/>
        <v>0</v>
      </c>
      <c r="P14" s="23"/>
      <c r="Q14" s="23"/>
      <c r="R14" s="57">
        <f t="shared" si="4"/>
        <v>0</v>
      </c>
      <c r="S14" s="57"/>
      <c r="T14" s="60"/>
      <c r="U14" s="9"/>
      <c r="V14" s="63">
        <f t="shared" si="5"/>
        <v>0</v>
      </c>
    </row>
    <row r="15" spans="2:22" s="3" customFormat="1" ht="27" customHeight="1" thickBot="1" x14ac:dyDescent="0.35">
      <c r="B15" s="16">
        <f t="shared" si="6"/>
        <v>10</v>
      </c>
      <c r="C15" s="17"/>
      <c r="D15" s="24"/>
      <c r="E15" s="55"/>
      <c r="F15" s="55">
        <f t="shared" si="0"/>
        <v>0</v>
      </c>
      <c r="G15" s="24"/>
      <c r="H15" s="58"/>
      <c r="I15" s="58">
        <f t="shared" si="1"/>
        <v>0</v>
      </c>
      <c r="J15" s="24"/>
      <c r="K15" s="58"/>
      <c r="L15" s="58">
        <f t="shared" si="2"/>
        <v>0</v>
      </c>
      <c r="M15" s="24"/>
      <c r="N15" s="58"/>
      <c r="O15" s="58">
        <f t="shared" si="3"/>
        <v>0</v>
      </c>
      <c r="P15" s="24">
        <v>5</v>
      </c>
      <c r="Q15" s="24"/>
      <c r="R15" s="58">
        <f t="shared" si="4"/>
        <v>0</v>
      </c>
      <c r="S15" s="58"/>
      <c r="T15" s="61"/>
      <c r="U15" s="9"/>
      <c r="V15" s="64">
        <f t="shared" si="5"/>
        <v>0</v>
      </c>
    </row>
    <row r="16" spans="2:22" x14ac:dyDescent="0.25">
      <c r="G16" s="20"/>
      <c r="J16" s="20"/>
      <c r="M16" s="20"/>
      <c r="P16" s="20"/>
      <c r="Q16" s="20"/>
      <c r="V16" s="4"/>
    </row>
    <row r="17" spans="2:22" s="4" customFormat="1" ht="24" customHeight="1" thickBot="1" x14ac:dyDescent="0.35">
      <c r="B17" s="50" t="s">
        <v>8</v>
      </c>
      <c r="C17" s="50"/>
      <c r="D17" s="25">
        <f>SUM(D6:D15)</f>
        <v>13.2</v>
      </c>
      <c r="E17" s="65">
        <f>AVERAGE(E6:E15)</f>
        <v>17</v>
      </c>
      <c r="F17" s="65">
        <f>SUM(F6:F15)</f>
        <v>224.4</v>
      </c>
      <c r="G17" s="25">
        <f>SUM(G6:G15)</f>
        <v>4</v>
      </c>
      <c r="H17" s="65">
        <f>AVERAGE(H6:H15)</f>
        <v>17</v>
      </c>
      <c r="I17" s="65">
        <f>SUM(I6:I15)</f>
        <v>68</v>
      </c>
      <c r="J17" s="25">
        <f>SUM(J6:J15)</f>
        <v>0</v>
      </c>
      <c r="K17" s="65">
        <f>AVERAGE(K6:K15)</f>
        <v>17</v>
      </c>
      <c r="L17" s="65">
        <f>SUM(L6:L15)</f>
        <v>0</v>
      </c>
      <c r="M17" s="25">
        <f>SUM(M6:M15)</f>
        <v>0</v>
      </c>
      <c r="N17" s="65">
        <f>AVERAGE(N6:N15)</f>
        <v>17</v>
      </c>
      <c r="O17" s="65">
        <f>SUM(O6:O15)</f>
        <v>0</v>
      </c>
      <c r="P17" s="25">
        <f>SUM(P6:P15)</f>
        <v>5</v>
      </c>
      <c r="Q17" s="11">
        <f>AVERAGE(Q6:Q15)</f>
        <v>17</v>
      </c>
      <c r="R17" s="65">
        <f>SUM(R6:R15)</f>
        <v>0</v>
      </c>
      <c r="S17" s="65">
        <f>SUM(S6:S15)</f>
        <v>120</v>
      </c>
      <c r="T17" s="65">
        <f>SUM(T6:T15)</f>
        <v>50</v>
      </c>
      <c r="U17" s="66"/>
      <c r="V17" s="65">
        <f>SUM(V6:V15)</f>
        <v>462.4</v>
      </c>
    </row>
    <row r="18" spans="2:22" ht="14.4" thickTop="1" x14ac:dyDescent="0.25"/>
  </sheetData>
  <mergeCells count="13">
    <mergeCell ref="B17:C17"/>
    <mergeCell ref="J4:L4"/>
    <mergeCell ref="M4:O4"/>
    <mergeCell ref="P4:R4"/>
    <mergeCell ref="S4:S5"/>
    <mergeCell ref="T4:T5"/>
    <mergeCell ref="V4:V5"/>
    <mergeCell ref="B2:C2"/>
    <mergeCell ref="D2:E2"/>
    <mergeCell ref="B4:B5"/>
    <mergeCell ref="C4:C5"/>
    <mergeCell ref="D4:F4"/>
    <mergeCell ref="G4:I4"/>
  </mergeCells>
  <printOptions horizontalCentered="1"/>
  <pageMargins left="0" right="0" top="0.5" bottom="0" header="0.3" footer="0.3"/>
  <pageSetup scale="71" orientation="landscape" r:id="rId1"/>
  <ignoredErrors>
    <ignoredError sqref="E17 H17 K17 N17 Q1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18"/>
  <sheetViews>
    <sheetView showGridLines="0" showRowColHeaders="0" topLeftCell="A2" zoomScaleNormal="100" zoomScaleSheetLayoutView="100" workbookViewId="0">
      <selection activeCell="Y8" sqref="Y8"/>
    </sheetView>
  </sheetViews>
  <sheetFormatPr defaultColWidth="8.88671875" defaultRowHeight="13.8" x14ac:dyDescent="0.25"/>
  <cols>
    <col min="1" max="1" width="1.109375" style="1" customWidth="1"/>
    <col min="2" max="2" width="6.33203125" style="2" customWidth="1"/>
    <col min="3" max="3" width="10" style="1" customWidth="1"/>
    <col min="4" max="4" width="8.33203125" style="20" customWidth="1"/>
    <col min="5" max="5" width="16.5546875" style="1" customWidth="1"/>
    <col min="6" max="6" width="15.6640625" style="1" customWidth="1"/>
    <col min="7" max="7" width="8.33203125" style="1" customWidth="1"/>
    <col min="8" max="8" width="13.6640625" style="1" customWidth="1"/>
    <col min="9" max="9" width="12.88671875" style="1" customWidth="1"/>
    <col min="10" max="10" width="8.33203125" style="1" customWidth="1"/>
    <col min="11" max="11" width="15.109375" style="1" customWidth="1"/>
    <col min="12" max="12" width="18.5546875" style="1" customWidth="1"/>
    <col min="13" max="13" width="8.33203125" style="1" customWidth="1"/>
    <col min="14" max="14" width="13.44140625" style="1" customWidth="1"/>
    <col min="15" max="15" width="12.5546875" style="1" customWidth="1"/>
    <col min="16" max="16" width="8.33203125" style="1" customWidth="1"/>
    <col min="17" max="17" width="10.5546875" style="1" bestFit="1" customWidth="1"/>
    <col min="18" max="18" width="10" style="1" customWidth="1"/>
    <col min="19" max="19" width="21.88671875" style="1" customWidth="1"/>
    <col min="20" max="20" width="18.21875" style="1" customWidth="1"/>
    <col min="21" max="21" width="0.88671875" style="6" customWidth="1"/>
    <col min="22" max="22" width="14.109375" style="2" customWidth="1"/>
    <col min="23" max="23" width="1.109375" style="1" customWidth="1"/>
    <col min="24" max="16384" width="8.88671875" style="1"/>
  </cols>
  <sheetData>
    <row r="1" spans="2:22" ht="6" customHeight="1" x14ac:dyDescent="0.25"/>
    <row r="2" spans="2:22" s="5" customFormat="1" ht="25.2" x14ac:dyDescent="0.45">
      <c r="B2" s="46" t="s">
        <v>20</v>
      </c>
      <c r="C2" s="46"/>
      <c r="D2" s="45">
        <v>44562</v>
      </c>
      <c r="E2" s="45"/>
      <c r="U2" s="7"/>
      <c r="V2" s="10"/>
    </row>
    <row r="3" spans="2:22" ht="14.4" thickBot="1" x14ac:dyDescent="0.3"/>
    <row r="4" spans="2:22" s="4" customFormat="1" ht="30" customHeight="1" thickBot="1" x14ac:dyDescent="0.35">
      <c r="B4" s="51" t="s">
        <v>0</v>
      </c>
      <c r="C4" s="51" t="s">
        <v>10</v>
      </c>
      <c r="D4" s="47" t="s">
        <v>11</v>
      </c>
      <c r="E4" s="48"/>
      <c r="F4" s="49"/>
      <c r="G4" s="47" t="s">
        <v>12</v>
      </c>
      <c r="H4" s="48"/>
      <c r="I4" s="49"/>
      <c r="J4" s="47" t="s">
        <v>13</v>
      </c>
      <c r="K4" s="48"/>
      <c r="L4" s="49"/>
      <c r="M4" s="47" t="s">
        <v>14</v>
      </c>
      <c r="N4" s="48"/>
      <c r="O4" s="49"/>
      <c r="P4" s="47" t="s">
        <v>15</v>
      </c>
      <c r="Q4" s="48"/>
      <c r="R4" s="49"/>
      <c r="S4" s="51" t="s">
        <v>6</v>
      </c>
      <c r="T4" s="51" t="s">
        <v>7</v>
      </c>
      <c r="U4" s="8"/>
      <c r="V4" s="43" t="s">
        <v>16</v>
      </c>
    </row>
    <row r="5" spans="2:22" s="4" customFormat="1" ht="30" customHeight="1" thickBot="1" x14ac:dyDescent="0.35">
      <c r="B5" s="52"/>
      <c r="C5" s="52"/>
      <c r="D5" s="21" t="s">
        <v>17</v>
      </c>
      <c r="E5" s="19" t="s">
        <v>18</v>
      </c>
      <c r="F5" s="18" t="s">
        <v>8</v>
      </c>
      <c r="G5" s="21" t="s">
        <v>17</v>
      </c>
      <c r="H5" s="19" t="s">
        <v>18</v>
      </c>
      <c r="I5" s="18" t="s">
        <v>8</v>
      </c>
      <c r="J5" s="21" t="s">
        <v>17</v>
      </c>
      <c r="K5" s="19" t="s">
        <v>18</v>
      </c>
      <c r="L5" s="18" t="s">
        <v>8</v>
      </c>
      <c r="M5" s="21" t="s">
        <v>17</v>
      </c>
      <c r="N5" s="19" t="s">
        <v>18</v>
      </c>
      <c r="O5" s="18" t="s">
        <v>8</v>
      </c>
      <c r="P5" s="21" t="s">
        <v>17</v>
      </c>
      <c r="Q5" s="19" t="s">
        <v>18</v>
      </c>
      <c r="R5" s="18" t="s">
        <v>8</v>
      </c>
      <c r="S5" s="52"/>
      <c r="T5" s="52"/>
      <c r="U5" s="8"/>
      <c r="V5" s="44"/>
    </row>
    <row r="6" spans="2:22" s="3" customFormat="1" ht="27" customHeight="1" x14ac:dyDescent="0.3">
      <c r="B6" s="13">
        <v>1</v>
      </c>
      <c r="C6" s="14" t="s">
        <v>1</v>
      </c>
      <c r="D6" s="22">
        <v>5.2</v>
      </c>
      <c r="E6" s="56">
        <v>17</v>
      </c>
      <c r="F6" s="56">
        <f>D6*E6</f>
        <v>88.4</v>
      </c>
      <c r="G6" s="22"/>
      <c r="H6" s="56">
        <v>17</v>
      </c>
      <c r="I6" s="56">
        <f>G6*H6</f>
        <v>0</v>
      </c>
      <c r="J6" s="22"/>
      <c r="K6" s="56">
        <v>17</v>
      </c>
      <c r="L6" s="56">
        <f>J6*K6</f>
        <v>0</v>
      </c>
      <c r="M6" s="22"/>
      <c r="N6" s="56">
        <v>17</v>
      </c>
      <c r="O6" s="56">
        <f>M6*N6</f>
        <v>0</v>
      </c>
      <c r="P6" s="22"/>
      <c r="Q6" s="22">
        <v>17</v>
      </c>
      <c r="R6" s="56">
        <f>P6*Q6</f>
        <v>0</v>
      </c>
      <c r="S6" s="56">
        <v>40</v>
      </c>
      <c r="T6" s="59">
        <v>50</v>
      </c>
      <c r="U6" s="9"/>
      <c r="V6" s="62">
        <f>F6+I6+L6+O6+R6+S6+T6</f>
        <v>178.4</v>
      </c>
    </row>
    <row r="7" spans="2:22" s="3" customFormat="1" ht="27" customHeight="1" x14ac:dyDescent="0.3">
      <c r="B7" s="15">
        <f>B6+1</f>
        <v>2</v>
      </c>
      <c r="C7" s="12" t="s">
        <v>2</v>
      </c>
      <c r="D7" s="23"/>
      <c r="E7" s="57">
        <v>17</v>
      </c>
      <c r="F7" s="57">
        <f t="shared" ref="F7:F15" si="0">D7*E7</f>
        <v>0</v>
      </c>
      <c r="G7" s="23">
        <v>4</v>
      </c>
      <c r="H7" s="57">
        <v>17</v>
      </c>
      <c r="I7" s="57">
        <f t="shared" ref="I7:I15" si="1">G7*H7</f>
        <v>68</v>
      </c>
      <c r="J7" s="23"/>
      <c r="K7" s="57">
        <v>17</v>
      </c>
      <c r="L7" s="57">
        <f t="shared" ref="L7:L15" si="2">J7*K7</f>
        <v>0</v>
      </c>
      <c r="M7" s="23"/>
      <c r="N7" s="57">
        <v>17</v>
      </c>
      <c r="O7" s="57">
        <f t="shared" ref="O7:O15" si="3">M7*N7</f>
        <v>0</v>
      </c>
      <c r="P7" s="23"/>
      <c r="Q7" s="23">
        <v>17</v>
      </c>
      <c r="R7" s="57">
        <f t="shared" ref="R7:R15" si="4">P7*Q7</f>
        <v>0</v>
      </c>
      <c r="S7" s="57"/>
      <c r="T7" s="60"/>
      <c r="U7" s="9"/>
      <c r="V7" s="63">
        <f t="shared" ref="V7:V15" si="5">F7+I7+L7+O7+R7+S7+T7</f>
        <v>68</v>
      </c>
    </row>
    <row r="8" spans="2:22" s="3" customFormat="1" ht="27" customHeight="1" x14ac:dyDescent="0.3">
      <c r="B8" s="15">
        <f t="shared" ref="B8:B15" si="6">B7+1</f>
        <v>3</v>
      </c>
      <c r="C8" s="12" t="s">
        <v>3</v>
      </c>
      <c r="D8" s="23"/>
      <c r="E8" s="57">
        <v>17</v>
      </c>
      <c r="F8" s="57">
        <f t="shared" si="0"/>
        <v>0</v>
      </c>
      <c r="G8" s="23"/>
      <c r="H8" s="57">
        <v>17</v>
      </c>
      <c r="I8" s="57">
        <f t="shared" si="1"/>
        <v>0</v>
      </c>
      <c r="J8" s="23"/>
      <c r="K8" s="57">
        <v>17</v>
      </c>
      <c r="L8" s="57">
        <f t="shared" si="2"/>
        <v>0</v>
      </c>
      <c r="M8" s="23"/>
      <c r="N8" s="57">
        <v>17</v>
      </c>
      <c r="O8" s="57">
        <f t="shared" si="3"/>
        <v>0</v>
      </c>
      <c r="P8" s="23"/>
      <c r="Q8" s="23">
        <v>17</v>
      </c>
      <c r="R8" s="57">
        <f t="shared" si="4"/>
        <v>0</v>
      </c>
      <c r="S8" s="57"/>
      <c r="T8" s="60"/>
      <c r="U8" s="9"/>
      <c r="V8" s="63">
        <f t="shared" si="5"/>
        <v>0</v>
      </c>
    </row>
    <row r="9" spans="2:22" s="3" customFormat="1" ht="27" customHeight="1" x14ac:dyDescent="0.3">
      <c r="B9" s="15">
        <f t="shared" si="6"/>
        <v>4</v>
      </c>
      <c r="C9" s="12" t="s">
        <v>4</v>
      </c>
      <c r="D9" s="23"/>
      <c r="E9" s="57">
        <v>17</v>
      </c>
      <c r="F9" s="57">
        <f t="shared" si="0"/>
        <v>0</v>
      </c>
      <c r="G9" s="23"/>
      <c r="H9" s="57">
        <v>17</v>
      </c>
      <c r="I9" s="57">
        <f t="shared" si="1"/>
        <v>0</v>
      </c>
      <c r="J9" s="23"/>
      <c r="K9" s="57">
        <v>17</v>
      </c>
      <c r="L9" s="57">
        <f t="shared" si="2"/>
        <v>0</v>
      </c>
      <c r="M9" s="23"/>
      <c r="N9" s="57">
        <v>17</v>
      </c>
      <c r="O9" s="57">
        <f t="shared" si="3"/>
        <v>0</v>
      </c>
      <c r="P9" s="23"/>
      <c r="Q9" s="23">
        <v>17</v>
      </c>
      <c r="R9" s="57">
        <f t="shared" si="4"/>
        <v>0</v>
      </c>
      <c r="S9" s="57"/>
      <c r="T9" s="60"/>
      <c r="U9" s="9"/>
      <c r="V9" s="63">
        <f t="shared" si="5"/>
        <v>0</v>
      </c>
    </row>
    <row r="10" spans="2:22" s="3" customFormat="1" ht="27" customHeight="1" x14ac:dyDescent="0.3">
      <c r="B10" s="15">
        <f t="shared" si="6"/>
        <v>5</v>
      </c>
      <c r="C10" s="12" t="s">
        <v>5</v>
      </c>
      <c r="D10" s="23"/>
      <c r="E10" s="57">
        <v>17</v>
      </c>
      <c r="F10" s="57">
        <f t="shared" si="0"/>
        <v>0</v>
      </c>
      <c r="G10" s="23"/>
      <c r="H10" s="57">
        <v>17</v>
      </c>
      <c r="I10" s="57">
        <f t="shared" si="1"/>
        <v>0</v>
      </c>
      <c r="J10" s="23"/>
      <c r="K10" s="57">
        <v>17</v>
      </c>
      <c r="L10" s="57">
        <f t="shared" si="2"/>
        <v>0</v>
      </c>
      <c r="M10" s="23"/>
      <c r="N10" s="57">
        <v>17</v>
      </c>
      <c r="O10" s="57">
        <f t="shared" si="3"/>
        <v>0</v>
      </c>
      <c r="P10" s="23"/>
      <c r="Q10" s="23">
        <v>17</v>
      </c>
      <c r="R10" s="57">
        <f t="shared" si="4"/>
        <v>0</v>
      </c>
      <c r="S10" s="57"/>
      <c r="T10" s="60"/>
      <c r="U10" s="9"/>
      <c r="V10" s="63">
        <f t="shared" si="5"/>
        <v>0</v>
      </c>
    </row>
    <row r="11" spans="2:22" s="3" customFormat="1" ht="27" customHeight="1" x14ac:dyDescent="0.3">
      <c r="B11" s="15">
        <f t="shared" si="6"/>
        <v>6</v>
      </c>
      <c r="C11" s="12"/>
      <c r="D11" s="23"/>
      <c r="E11" s="57"/>
      <c r="F11" s="57">
        <f t="shared" si="0"/>
        <v>0</v>
      </c>
      <c r="G11" s="23"/>
      <c r="H11" s="57"/>
      <c r="I11" s="57">
        <f t="shared" si="1"/>
        <v>0</v>
      </c>
      <c r="J11" s="23"/>
      <c r="K11" s="57"/>
      <c r="L11" s="57">
        <f t="shared" si="2"/>
        <v>0</v>
      </c>
      <c r="M11" s="23"/>
      <c r="N11" s="57"/>
      <c r="O11" s="57">
        <f t="shared" si="3"/>
        <v>0</v>
      </c>
      <c r="P11" s="23"/>
      <c r="Q11" s="23"/>
      <c r="R11" s="57">
        <f t="shared" si="4"/>
        <v>0</v>
      </c>
      <c r="S11" s="57"/>
      <c r="T11" s="60"/>
      <c r="U11" s="9"/>
      <c r="V11" s="63">
        <f t="shared" si="5"/>
        <v>0</v>
      </c>
    </row>
    <row r="12" spans="2:22" s="3" customFormat="1" ht="27" customHeight="1" x14ac:dyDescent="0.3">
      <c r="B12" s="15">
        <f t="shared" si="6"/>
        <v>7</v>
      </c>
      <c r="C12" s="12"/>
      <c r="D12" s="23"/>
      <c r="E12" s="57"/>
      <c r="F12" s="57">
        <f t="shared" si="0"/>
        <v>0</v>
      </c>
      <c r="G12" s="23"/>
      <c r="H12" s="57"/>
      <c r="I12" s="57">
        <f t="shared" si="1"/>
        <v>0</v>
      </c>
      <c r="J12" s="23"/>
      <c r="K12" s="57"/>
      <c r="L12" s="57">
        <f t="shared" si="2"/>
        <v>0</v>
      </c>
      <c r="M12" s="23"/>
      <c r="N12" s="57"/>
      <c r="O12" s="57">
        <f t="shared" si="3"/>
        <v>0</v>
      </c>
      <c r="P12" s="23"/>
      <c r="Q12" s="23"/>
      <c r="R12" s="57">
        <f t="shared" si="4"/>
        <v>0</v>
      </c>
      <c r="S12" s="57"/>
      <c r="T12" s="60"/>
      <c r="U12" s="9"/>
      <c r="V12" s="63">
        <f t="shared" si="5"/>
        <v>0</v>
      </c>
    </row>
    <row r="13" spans="2:22" s="3" customFormat="1" ht="27" customHeight="1" x14ac:dyDescent="0.3">
      <c r="B13" s="15">
        <f t="shared" si="6"/>
        <v>8</v>
      </c>
      <c r="C13" s="12"/>
      <c r="D13" s="23"/>
      <c r="E13" s="57"/>
      <c r="F13" s="57">
        <f t="shared" si="0"/>
        <v>0</v>
      </c>
      <c r="G13" s="23"/>
      <c r="H13" s="57"/>
      <c r="I13" s="57">
        <f t="shared" si="1"/>
        <v>0</v>
      </c>
      <c r="J13" s="23"/>
      <c r="K13" s="57"/>
      <c r="L13" s="57">
        <f t="shared" si="2"/>
        <v>0</v>
      </c>
      <c r="M13" s="23"/>
      <c r="N13" s="57"/>
      <c r="O13" s="57">
        <f t="shared" si="3"/>
        <v>0</v>
      </c>
      <c r="P13" s="23"/>
      <c r="Q13" s="23"/>
      <c r="R13" s="57">
        <f t="shared" si="4"/>
        <v>0</v>
      </c>
      <c r="S13" s="57"/>
      <c r="T13" s="60"/>
      <c r="U13" s="9"/>
      <c r="V13" s="63">
        <f t="shared" si="5"/>
        <v>0</v>
      </c>
    </row>
    <row r="14" spans="2:22" s="3" customFormat="1" ht="27" customHeight="1" x14ac:dyDescent="0.3">
      <c r="B14" s="15">
        <f t="shared" si="6"/>
        <v>9</v>
      </c>
      <c r="C14" s="12"/>
      <c r="D14" s="23"/>
      <c r="E14" s="57"/>
      <c r="F14" s="57">
        <f t="shared" si="0"/>
        <v>0</v>
      </c>
      <c r="G14" s="23"/>
      <c r="H14" s="57"/>
      <c r="I14" s="57">
        <f t="shared" si="1"/>
        <v>0</v>
      </c>
      <c r="J14" s="23"/>
      <c r="K14" s="57"/>
      <c r="L14" s="57">
        <f t="shared" si="2"/>
        <v>0</v>
      </c>
      <c r="M14" s="23"/>
      <c r="N14" s="57"/>
      <c r="O14" s="57">
        <f t="shared" si="3"/>
        <v>0</v>
      </c>
      <c r="P14" s="23"/>
      <c r="Q14" s="23"/>
      <c r="R14" s="57">
        <f t="shared" si="4"/>
        <v>0</v>
      </c>
      <c r="S14" s="57"/>
      <c r="T14" s="60"/>
      <c r="U14" s="9"/>
      <c r="V14" s="63">
        <f t="shared" si="5"/>
        <v>0</v>
      </c>
    </row>
    <row r="15" spans="2:22" s="3" customFormat="1" ht="27" customHeight="1" thickBot="1" x14ac:dyDescent="0.35">
      <c r="B15" s="16">
        <f t="shared" si="6"/>
        <v>10</v>
      </c>
      <c r="C15" s="17"/>
      <c r="D15" s="24"/>
      <c r="E15" s="58"/>
      <c r="F15" s="58">
        <f t="shared" si="0"/>
        <v>0</v>
      </c>
      <c r="G15" s="24"/>
      <c r="H15" s="58"/>
      <c r="I15" s="58">
        <f t="shared" si="1"/>
        <v>0</v>
      </c>
      <c r="J15" s="24"/>
      <c r="K15" s="58"/>
      <c r="L15" s="58">
        <f t="shared" si="2"/>
        <v>0</v>
      </c>
      <c r="M15" s="24"/>
      <c r="N15" s="58"/>
      <c r="O15" s="58">
        <f t="shared" si="3"/>
        <v>0</v>
      </c>
      <c r="P15" s="24">
        <v>5</v>
      </c>
      <c r="Q15" s="24"/>
      <c r="R15" s="58">
        <f t="shared" si="4"/>
        <v>0</v>
      </c>
      <c r="S15" s="58"/>
      <c r="T15" s="61"/>
      <c r="U15" s="9"/>
      <c r="V15" s="64">
        <f t="shared" si="5"/>
        <v>0</v>
      </c>
    </row>
    <row r="16" spans="2:22" x14ac:dyDescent="0.25">
      <c r="E16" s="67"/>
      <c r="F16" s="67"/>
      <c r="G16" s="20"/>
      <c r="H16" s="67"/>
      <c r="I16" s="67"/>
      <c r="J16" s="20"/>
      <c r="K16" s="67"/>
      <c r="L16" s="67"/>
      <c r="M16" s="20"/>
      <c r="N16" s="67"/>
      <c r="O16" s="67"/>
      <c r="P16" s="20"/>
      <c r="Q16" s="20"/>
      <c r="R16" s="67"/>
      <c r="S16" s="67"/>
      <c r="T16" s="67"/>
      <c r="V16" s="68"/>
    </row>
    <row r="17" spans="2:22" s="4" customFormat="1" ht="24" customHeight="1" thickBot="1" x14ac:dyDescent="0.35">
      <c r="B17" s="50" t="s">
        <v>8</v>
      </c>
      <c r="C17" s="50"/>
      <c r="D17" s="25">
        <f>SUM(D6:D15)</f>
        <v>5.2</v>
      </c>
      <c r="E17" s="65">
        <f>AVERAGE(E6:E15)</f>
        <v>17</v>
      </c>
      <c r="F17" s="65">
        <f>SUM(F6:F15)</f>
        <v>88.4</v>
      </c>
      <c r="G17" s="25">
        <f>SUM(G6:G15)</f>
        <v>4</v>
      </c>
      <c r="H17" s="65">
        <f>AVERAGE(H6:H15)</f>
        <v>17</v>
      </c>
      <c r="I17" s="65">
        <f>SUM(I6:I15)</f>
        <v>68</v>
      </c>
      <c r="J17" s="25">
        <f>SUM(J6:J15)</f>
        <v>0</v>
      </c>
      <c r="K17" s="65">
        <f>AVERAGE(K6:K15)</f>
        <v>17</v>
      </c>
      <c r="L17" s="65">
        <f>SUM(L6:L15)</f>
        <v>0</v>
      </c>
      <c r="M17" s="25">
        <f>SUM(M6:M15)</f>
        <v>0</v>
      </c>
      <c r="N17" s="65">
        <f>AVERAGE(N6:N15)</f>
        <v>17</v>
      </c>
      <c r="O17" s="65">
        <f>SUM(O6:O15)</f>
        <v>0</v>
      </c>
      <c r="P17" s="25">
        <f>SUM(P6:P15)</f>
        <v>5</v>
      </c>
      <c r="Q17" s="11">
        <f>AVERAGE(Q6:Q15)</f>
        <v>17</v>
      </c>
      <c r="R17" s="65">
        <f>SUM(R6:R15)</f>
        <v>0</v>
      </c>
      <c r="S17" s="65">
        <f>SUM(S6:S15)</f>
        <v>40</v>
      </c>
      <c r="T17" s="65">
        <f>SUM(T6:T15)</f>
        <v>50</v>
      </c>
      <c r="U17" s="26"/>
      <c r="V17" s="65">
        <f>SUM(V6:V15)</f>
        <v>246.4</v>
      </c>
    </row>
    <row r="18" spans="2:22" ht="14.4" thickTop="1" x14ac:dyDescent="0.25"/>
  </sheetData>
  <mergeCells count="13">
    <mergeCell ref="B17:C17"/>
    <mergeCell ref="J4:L4"/>
    <mergeCell ref="M4:O4"/>
    <mergeCell ref="P4:R4"/>
    <mergeCell ref="S4:S5"/>
    <mergeCell ref="T4:T5"/>
    <mergeCell ref="V4:V5"/>
    <mergeCell ref="B2:C2"/>
    <mergeCell ref="D2:E2"/>
    <mergeCell ref="B4:B5"/>
    <mergeCell ref="C4:C5"/>
    <mergeCell ref="D4:F4"/>
    <mergeCell ref="G4:I4"/>
  </mergeCells>
  <printOptions horizontalCentered="1"/>
  <pageMargins left="0" right="0" top="0.5" bottom="0" header="0.3" footer="0.3"/>
  <pageSetup scale="71" orientation="landscape" r:id="rId1"/>
  <ignoredErrors>
    <ignoredError sqref="E17 H17 K17 N17 Q1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V18"/>
  <sheetViews>
    <sheetView showGridLines="0" showRowColHeaders="0" zoomScaleNormal="100" zoomScaleSheetLayoutView="100" workbookViewId="0">
      <selection activeCell="I2" sqref="I2"/>
    </sheetView>
  </sheetViews>
  <sheetFormatPr defaultColWidth="8.88671875" defaultRowHeight="13.8" x14ac:dyDescent="0.25"/>
  <cols>
    <col min="1" max="1" width="1.109375" style="1" customWidth="1"/>
    <col min="2" max="2" width="6.33203125" style="2" customWidth="1"/>
    <col min="3" max="3" width="10" style="1" customWidth="1"/>
    <col min="4" max="4" width="8.33203125" style="20" customWidth="1"/>
    <col min="5" max="5" width="13.88671875" style="1" customWidth="1"/>
    <col min="6" max="6" width="13.6640625" style="1" customWidth="1"/>
    <col min="7" max="7" width="8.33203125" style="1" customWidth="1"/>
    <col min="8" max="8" width="14.6640625" style="1" customWidth="1"/>
    <col min="9" max="9" width="15.21875" style="1" customWidth="1"/>
    <col min="10" max="10" width="8.33203125" style="1" customWidth="1"/>
    <col min="11" max="11" width="11.109375" style="1" bestFit="1" customWidth="1"/>
    <col min="12" max="12" width="10" style="1" customWidth="1"/>
    <col min="13" max="13" width="8.33203125" style="1" customWidth="1"/>
    <col min="14" max="14" width="11.109375" style="1" bestFit="1" customWidth="1"/>
    <col min="15" max="15" width="10" style="1" customWidth="1"/>
    <col min="16" max="16" width="8.33203125" style="1" customWidth="1"/>
    <col min="17" max="17" width="11.109375" style="1" bestFit="1" customWidth="1"/>
    <col min="18" max="18" width="10" style="1" customWidth="1"/>
    <col min="19" max="19" width="13.77734375" style="1" customWidth="1"/>
    <col min="20" max="20" width="13.33203125" style="1" customWidth="1"/>
    <col min="21" max="21" width="0.88671875" style="6" customWidth="1"/>
    <col min="22" max="22" width="14.77734375" style="2" customWidth="1"/>
    <col min="23" max="23" width="1.109375" style="1" customWidth="1"/>
    <col min="24" max="16384" width="8.88671875" style="1"/>
  </cols>
  <sheetData>
    <row r="1" spans="2:22" ht="6" customHeight="1" x14ac:dyDescent="0.25"/>
    <row r="2" spans="2:22" s="5" customFormat="1" ht="25.2" x14ac:dyDescent="0.45">
      <c r="B2" s="46" t="s">
        <v>21</v>
      </c>
      <c r="C2" s="46"/>
      <c r="D2" s="45">
        <v>44562</v>
      </c>
      <c r="E2" s="45"/>
      <c r="U2" s="7"/>
      <c r="V2" s="10"/>
    </row>
    <row r="3" spans="2:22" ht="14.4" thickBot="1" x14ac:dyDescent="0.3"/>
    <row r="4" spans="2:22" s="4" customFormat="1" ht="30" customHeight="1" thickBot="1" x14ac:dyDescent="0.35">
      <c r="B4" s="51" t="s">
        <v>0</v>
      </c>
      <c r="C4" s="51" t="s">
        <v>10</v>
      </c>
      <c r="D4" s="47" t="s">
        <v>11</v>
      </c>
      <c r="E4" s="48"/>
      <c r="F4" s="49"/>
      <c r="G4" s="47" t="s">
        <v>12</v>
      </c>
      <c r="H4" s="48"/>
      <c r="I4" s="49"/>
      <c r="J4" s="47" t="s">
        <v>13</v>
      </c>
      <c r="K4" s="48"/>
      <c r="L4" s="49"/>
      <c r="M4" s="47" t="s">
        <v>14</v>
      </c>
      <c r="N4" s="48"/>
      <c r="O4" s="49"/>
      <c r="P4" s="47" t="s">
        <v>15</v>
      </c>
      <c r="Q4" s="48"/>
      <c r="R4" s="49"/>
      <c r="S4" s="51" t="s">
        <v>6</v>
      </c>
      <c r="T4" s="51" t="s">
        <v>7</v>
      </c>
      <c r="U4" s="8"/>
      <c r="V4" s="43" t="s">
        <v>16</v>
      </c>
    </row>
    <row r="5" spans="2:22" s="4" customFormat="1" ht="30" customHeight="1" thickBot="1" x14ac:dyDescent="0.35">
      <c r="B5" s="52"/>
      <c r="C5" s="52"/>
      <c r="D5" s="21" t="s">
        <v>17</v>
      </c>
      <c r="E5" s="19" t="s">
        <v>18</v>
      </c>
      <c r="F5" s="18" t="s">
        <v>8</v>
      </c>
      <c r="G5" s="21" t="s">
        <v>17</v>
      </c>
      <c r="H5" s="19" t="s">
        <v>18</v>
      </c>
      <c r="I5" s="18" t="s">
        <v>8</v>
      </c>
      <c r="J5" s="21" t="s">
        <v>17</v>
      </c>
      <c r="K5" s="19" t="s">
        <v>18</v>
      </c>
      <c r="L5" s="18" t="s">
        <v>8</v>
      </c>
      <c r="M5" s="21" t="s">
        <v>17</v>
      </c>
      <c r="N5" s="19" t="s">
        <v>18</v>
      </c>
      <c r="O5" s="18" t="s">
        <v>8</v>
      </c>
      <c r="P5" s="21" t="s">
        <v>17</v>
      </c>
      <c r="Q5" s="19" t="s">
        <v>18</v>
      </c>
      <c r="R5" s="18" t="s">
        <v>8</v>
      </c>
      <c r="S5" s="52"/>
      <c r="T5" s="52"/>
      <c r="U5" s="8"/>
      <c r="V5" s="44"/>
    </row>
    <row r="6" spans="2:22" s="3" customFormat="1" ht="27" customHeight="1" x14ac:dyDescent="0.3">
      <c r="B6" s="13">
        <v>1</v>
      </c>
      <c r="C6" s="14" t="s">
        <v>1</v>
      </c>
      <c r="D6" s="22">
        <v>5.2</v>
      </c>
      <c r="E6" s="56">
        <v>17</v>
      </c>
      <c r="F6" s="56">
        <f>D6*E6</f>
        <v>88.4</v>
      </c>
      <c r="G6" s="22"/>
      <c r="H6" s="56">
        <v>17</v>
      </c>
      <c r="I6" s="56">
        <f>G6*H6</f>
        <v>0</v>
      </c>
      <c r="J6" s="22"/>
      <c r="K6" s="56">
        <v>17</v>
      </c>
      <c r="L6" s="56">
        <f>J6*K6</f>
        <v>0</v>
      </c>
      <c r="M6" s="22"/>
      <c r="N6" s="56">
        <v>17</v>
      </c>
      <c r="O6" s="56">
        <f>M6*N6</f>
        <v>0</v>
      </c>
      <c r="P6" s="22"/>
      <c r="Q6" s="22">
        <v>17</v>
      </c>
      <c r="R6" s="56">
        <f>P6*Q6</f>
        <v>0</v>
      </c>
      <c r="S6" s="56">
        <v>40</v>
      </c>
      <c r="T6" s="59">
        <v>50</v>
      </c>
      <c r="U6" s="69"/>
      <c r="V6" s="62">
        <f>F6+I6+L6+O6+R6+S6+T6</f>
        <v>178.4</v>
      </c>
    </row>
    <row r="7" spans="2:22" s="3" customFormat="1" ht="27" customHeight="1" x14ac:dyDescent="0.3">
      <c r="B7" s="15">
        <f>B6+1</f>
        <v>2</v>
      </c>
      <c r="C7" s="12" t="s">
        <v>2</v>
      </c>
      <c r="D7" s="23"/>
      <c r="E7" s="57">
        <v>17</v>
      </c>
      <c r="F7" s="57">
        <f t="shared" ref="F7:F15" si="0">D7*E7</f>
        <v>0</v>
      </c>
      <c r="G7" s="23">
        <v>4</v>
      </c>
      <c r="H7" s="57">
        <v>17</v>
      </c>
      <c r="I7" s="57">
        <f t="shared" ref="I7:I15" si="1">G7*H7</f>
        <v>68</v>
      </c>
      <c r="J7" s="23"/>
      <c r="K7" s="57">
        <v>17</v>
      </c>
      <c r="L7" s="57">
        <f t="shared" ref="L7:L15" si="2">J7*K7</f>
        <v>0</v>
      </c>
      <c r="M7" s="23"/>
      <c r="N7" s="57">
        <v>17</v>
      </c>
      <c r="O7" s="57">
        <f t="shared" ref="O7:O15" si="3">M7*N7</f>
        <v>0</v>
      </c>
      <c r="P7" s="23"/>
      <c r="Q7" s="23">
        <v>17</v>
      </c>
      <c r="R7" s="57">
        <f t="shared" ref="R7:R15" si="4">P7*Q7</f>
        <v>0</v>
      </c>
      <c r="S7" s="57"/>
      <c r="T7" s="60"/>
      <c r="U7" s="69"/>
      <c r="V7" s="63">
        <f t="shared" ref="V7:V15" si="5">F7+I7+L7+O7+R7+S7+T7</f>
        <v>68</v>
      </c>
    </row>
    <row r="8" spans="2:22" s="3" customFormat="1" ht="27" customHeight="1" x14ac:dyDescent="0.3">
      <c r="B8" s="15">
        <f t="shared" ref="B8:B15" si="6">B7+1</f>
        <v>3</v>
      </c>
      <c r="C8" s="12" t="s">
        <v>3</v>
      </c>
      <c r="D8" s="23"/>
      <c r="E8" s="57">
        <v>17</v>
      </c>
      <c r="F8" s="57">
        <f t="shared" si="0"/>
        <v>0</v>
      </c>
      <c r="G8" s="23"/>
      <c r="H8" s="57">
        <v>17</v>
      </c>
      <c r="I8" s="57">
        <f t="shared" si="1"/>
        <v>0</v>
      </c>
      <c r="J8" s="23"/>
      <c r="K8" s="57">
        <v>17</v>
      </c>
      <c r="L8" s="57">
        <f t="shared" si="2"/>
        <v>0</v>
      </c>
      <c r="M8" s="23"/>
      <c r="N8" s="57">
        <v>17</v>
      </c>
      <c r="O8" s="57">
        <f t="shared" si="3"/>
        <v>0</v>
      </c>
      <c r="P8" s="23"/>
      <c r="Q8" s="23">
        <v>17</v>
      </c>
      <c r="R8" s="57">
        <f t="shared" si="4"/>
        <v>0</v>
      </c>
      <c r="S8" s="57"/>
      <c r="T8" s="60"/>
      <c r="U8" s="69"/>
      <c r="V8" s="63">
        <f t="shared" si="5"/>
        <v>0</v>
      </c>
    </row>
    <row r="9" spans="2:22" s="3" customFormat="1" ht="27" customHeight="1" x14ac:dyDescent="0.3">
      <c r="B9" s="15">
        <f t="shared" si="6"/>
        <v>4</v>
      </c>
      <c r="C9" s="12" t="s">
        <v>4</v>
      </c>
      <c r="D9" s="23"/>
      <c r="E9" s="57">
        <v>17</v>
      </c>
      <c r="F9" s="57">
        <f t="shared" si="0"/>
        <v>0</v>
      </c>
      <c r="G9" s="23"/>
      <c r="H9" s="57">
        <v>17</v>
      </c>
      <c r="I9" s="57">
        <f t="shared" si="1"/>
        <v>0</v>
      </c>
      <c r="J9" s="23"/>
      <c r="K9" s="57">
        <v>17</v>
      </c>
      <c r="L9" s="57">
        <f t="shared" si="2"/>
        <v>0</v>
      </c>
      <c r="M9" s="23"/>
      <c r="N9" s="57">
        <v>17</v>
      </c>
      <c r="O9" s="57">
        <f t="shared" si="3"/>
        <v>0</v>
      </c>
      <c r="P9" s="23"/>
      <c r="Q9" s="23">
        <v>17</v>
      </c>
      <c r="R9" s="57">
        <f t="shared" si="4"/>
        <v>0</v>
      </c>
      <c r="S9" s="57"/>
      <c r="T9" s="60"/>
      <c r="U9" s="69"/>
      <c r="V9" s="63">
        <f t="shared" si="5"/>
        <v>0</v>
      </c>
    </row>
    <row r="10" spans="2:22" s="3" customFormat="1" ht="27" customHeight="1" x14ac:dyDescent="0.3">
      <c r="B10" s="15">
        <f t="shared" si="6"/>
        <v>5</v>
      </c>
      <c r="C10" s="12" t="s">
        <v>5</v>
      </c>
      <c r="D10" s="23"/>
      <c r="E10" s="57">
        <v>17</v>
      </c>
      <c r="F10" s="57">
        <f t="shared" si="0"/>
        <v>0</v>
      </c>
      <c r="G10" s="23"/>
      <c r="H10" s="57">
        <v>17</v>
      </c>
      <c r="I10" s="57">
        <f t="shared" si="1"/>
        <v>0</v>
      </c>
      <c r="J10" s="23"/>
      <c r="K10" s="57">
        <v>17</v>
      </c>
      <c r="L10" s="57">
        <f t="shared" si="2"/>
        <v>0</v>
      </c>
      <c r="M10" s="23"/>
      <c r="N10" s="57">
        <v>17</v>
      </c>
      <c r="O10" s="57">
        <f t="shared" si="3"/>
        <v>0</v>
      </c>
      <c r="P10" s="23"/>
      <c r="Q10" s="23">
        <v>17</v>
      </c>
      <c r="R10" s="57">
        <f t="shared" si="4"/>
        <v>0</v>
      </c>
      <c r="S10" s="57"/>
      <c r="T10" s="60"/>
      <c r="U10" s="69"/>
      <c r="V10" s="63">
        <f t="shared" si="5"/>
        <v>0</v>
      </c>
    </row>
    <row r="11" spans="2:22" s="3" customFormat="1" ht="27" customHeight="1" x14ac:dyDescent="0.3">
      <c r="B11" s="15">
        <f t="shared" si="6"/>
        <v>6</v>
      </c>
      <c r="C11" s="12"/>
      <c r="D11" s="23"/>
      <c r="E11" s="57"/>
      <c r="F11" s="57">
        <f t="shared" si="0"/>
        <v>0</v>
      </c>
      <c r="G11" s="23"/>
      <c r="H11" s="57"/>
      <c r="I11" s="57">
        <f t="shared" si="1"/>
        <v>0</v>
      </c>
      <c r="J11" s="23"/>
      <c r="K11" s="57"/>
      <c r="L11" s="57">
        <f t="shared" si="2"/>
        <v>0</v>
      </c>
      <c r="M11" s="23"/>
      <c r="N11" s="57"/>
      <c r="O11" s="57">
        <f t="shared" si="3"/>
        <v>0</v>
      </c>
      <c r="P11" s="23"/>
      <c r="Q11" s="23"/>
      <c r="R11" s="57">
        <f t="shared" si="4"/>
        <v>0</v>
      </c>
      <c r="S11" s="57"/>
      <c r="T11" s="60"/>
      <c r="U11" s="69"/>
      <c r="V11" s="63">
        <f t="shared" si="5"/>
        <v>0</v>
      </c>
    </row>
    <row r="12" spans="2:22" s="3" customFormat="1" ht="27" customHeight="1" x14ac:dyDescent="0.3">
      <c r="B12" s="15">
        <f t="shared" si="6"/>
        <v>7</v>
      </c>
      <c r="C12" s="12"/>
      <c r="D12" s="23"/>
      <c r="E12" s="57"/>
      <c r="F12" s="57">
        <f t="shared" si="0"/>
        <v>0</v>
      </c>
      <c r="G12" s="23"/>
      <c r="H12" s="57"/>
      <c r="I12" s="57">
        <f t="shared" si="1"/>
        <v>0</v>
      </c>
      <c r="J12" s="23"/>
      <c r="K12" s="57"/>
      <c r="L12" s="57">
        <f t="shared" si="2"/>
        <v>0</v>
      </c>
      <c r="M12" s="23"/>
      <c r="N12" s="57"/>
      <c r="O12" s="57">
        <f t="shared" si="3"/>
        <v>0</v>
      </c>
      <c r="P12" s="23"/>
      <c r="Q12" s="23"/>
      <c r="R12" s="57">
        <f t="shared" si="4"/>
        <v>0</v>
      </c>
      <c r="S12" s="57"/>
      <c r="T12" s="60"/>
      <c r="U12" s="69"/>
      <c r="V12" s="63">
        <f t="shared" si="5"/>
        <v>0</v>
      </c>
    </row>
    <row r="13" spans="2:22" s="3" customFormat="1" ht="27" customHeight="1" x14ac:dyDescent="0.3">
      <c r="B13" s="15">
        <f t="shared" si="6"/>
        <v>8</v>
      </c>
      <c r="C13" s="12"/>
      <c r="D13" s="23"/>
      <c r="E13" s="57"/>
      <c r="F13" s="57">
        <f t="shared" si="0"/>
        <v>0</v>
      </c>
      <c r="G13" s="23"/>
      <c r="H13" s="57"/>
      <c r="I13" s="57">
        <f t="shared" si="1"/>
        <v>0</v>
      </c>
      <c r="J13" s="23"/>
      <c r="K13" s="57"/>
      <c r="L13" s="57">
        <f t="shared" si="2"/>
        <v>0</v>
      </c>
      <c r="M13" s="23"/>
      <c r="N13" s="57"/>
      <c r="O13" s="57">
        <f t="shared" si="3"/>
        <v>0</v>
      </c>
      <c r="P13" s="23"/>
      <c r="Q13" s="23"/>
      <c r="R13" s="57">
        <f t="shared" si="4"/>
        <v>0</v>
      </c>
      <c r="S13" s="57"/>
      <c r="T13" s="60"/>
      <c r="U13" s="69"/>
      <c r="V13" s="63">
        <f t="shared" si="5"/>
        <v>0</v>
      </c>
    </row>
    <row r="14" spans="2:22" s="3" customFormat="1" ht="27" customHeight="1" x14ac:dyDescent="0.3">
      <c r="B14" s="15">
        <f t="shared" si="6"/>
        <v>9</v>
      </c>
      <c r="C14" s="12"/>
      <c r="D14" s="23"/>
      <c r="E14" s="57"/>
      <c r="F14" s="57">
        <f t="shared" si="0"/>
        <v>0</v>
      </c>
      <c r="G14" s="23"/>
      <c r="H14" s="57"/>
      <c r="I14" s="57">
        <f t="shared" si="1"/>
        <v>0</v>
      </c>
      <c r="J14" s="23"/>
      <c r="K14" s="57"/>
      <c r="L14" s="57">
        <f t="shared" si="2"/>
        <v>0</v>
      </c>
      <c r="M14" s="23"/>
      <c r="N14" s="57"/>
      <c r="O14" s="57">
        <f t="shared" si="3"/>
        <v>0</v>
      </c>
      <c r="P14" s="23"/>
      <c r="Q14" s="23"/>
      <c r="R14" s="57">
        <f t="shared" si="4"/>
        <v>0</v>
      </c>
      <c r="S14" s="57"/>
      <c r="T14" s="60"/>
      <c r="U14" s="69"/>
      <c r="V14" s="63">
        <f t="shared" si="5"/>
        <v>0</v>
      </c>
    </row>
    <row r="15" spans="2:22" s="3" customFormat="1" ht="27" customHeight="1" thickBot="1" x14ac:dyDescent="0.35">
      <c r="B15" s="16">
        <f t="shared" si="6"/>
        <v>10</v>
      </c>
      <c r="C15" s="17"/>
      <c r="D15" s="24"/>
      <c r="E15" s="58"/>
      <c r="F15" s="58">
        <f t="shared" si="0"/>
        <v>0</v>
      </c>
      <c r="G15" s="24"/>
      <c r="H15" s="58"/>
      <c r="I15" s="58">
        <f t="shared" si="1"/>
        <v>0</v>
      </c>
      <c r="J15" s="24"/>
      <c r="K15" s="58"/>
      <c r="L15" s="58">
        <f t="shared" si="2"/>
        <v>0</v>
      </c>
      <c r="M15" s="24"/>
      <c r="N15" s="58"/>
      <c r="O15" s="58">
        <f t="shared" si="3"/>
        <v>0</v>
      </c>
      <c r="P15" s="24">
        <v>5</v>
      </c>
      <c r="Q15" s="24"/>
      <c r="R15" s="58">
        <f t="shared" si="4"/>
        <v>0</v>
      </c>
      <c r="S15" s="58"/>
      <c r="T15" s="61"/>
      <c r="U15" s="69"/>
      <c r="V15" s="64">
        <f t="shared" si="5"/>
        <v>0</v>
      </c>
    </row>
    <row r="16" spans="2:22" x14ac:dyDescent="0.25">
      <c r="E16" s="67"/>
      <c r="F16" s="67"/>
      <c r="G16" s="20"/>
      <c r="H16" s="67"/>
      <c r="I16" s="67"/>
      <c r="J16" s="20"/>
      <c r="K16" s="67"/>
      <c r="L16" s="67"/>
      <c r="M16" s="20"/>
      <c r="N16" s="67"/>
      <c r="O16" s="67"/>
      <c r="P16" s="20"/>
      <c r="Q16" s="20"/>
      <c r="R16" s="67"/>
      <c r="S16" s="67"/>
      <c r="T16" s="67"/>
      <c r="U16" s="70"/>
      <c r="V16" s="68"/>
    </row>
    <row r="17" spans="2:22" s="4" customFormat="1" ht="24" customHeight="1" thickBot="1" x14ac:dyDescent="0.35">
      <c r="B17" s="50" t="s">
        <v>8</v>
      </c>
      <c r="C17" s="50"/>
      <c r="D17" s="25">
        <f>SUM(D6:D15)</f>
        <v>5.2</v>
      </c>
      <c r="E17" s="65">
        <f>AVERAGE(E6:E15)</f>
        <v>17</v>
      </c>
      <c r="F17" s="65">
        <f>SUM(F6:F15)</f>
        <v>88.4</v>
      </c>
      <c r="G17" s="25">
        <f>SUM(G6:G15)</f>
        <v>4</v>
      </c>
      <c r="H17" s="65">
        <f>AVERAGE(H6:H15)</f>
        <v>17</v>
      </c>
      <c r="I17" s="65">
        <f>SUM(I6:I15)</f>
        <v>68</v>
      </c>
      <c r="J17" s="25">
        <f>SUM(J6:J15)</f>
        <v>0</v>
      </c>
      <c r="K17" s="65">
        <f>AVERAGE(K6:K15)</f>
        <v>17</v>
      </c>
      <c r="L17" s="65">
        <f>SUM(L6:L15)</f>
        <v>0</v>
      </c>
      <c r="M17" s="25">
        <f>SUM(M6:M15)</f>
        <v>0</v>
      </c>
      <c r="N17" s="65">
        <f>AVERAGE(N6:N15)</f>
        <v>17</v>
      </c>
      <c r="O17" s="65">
        <f>SUM(O6:O15)</f>
        <v>0</v>
      </c>
      <c r="P17" s="25">
        <f>SUM(P6:P15)</f>
        <v>5</v>
      </c>
      <c r="Q17" s="65">
        <f>AVERAGE(Q6:Q15)</f>
        <v>17</v>
      </c>
      <c r="R17" s="65">
        <f>SUM(R6:R15)</f>
        <v>0</v>
      </c>
      <c r="S17" s="65">
        <f>SUM(S6:S15)</f>
        <v>40</v>
      </c>
      <c r="T17" s="65">
        <f>SUM(T6:T15)</f>
        <v>50</v>
      </c>
      <c r="U17" s="66"/>
      <c r="V17" s="65">
        <f>SUM(V6:V15)</f>
        <v>246.4</v>
      </c>
    </row>
    <row r="18" spans="2:22" ht="14.4" thickTop="1" x14ac:dyDescent="0.25"/>
  </sheetData>
  <mergeCells count="13">
    <mergeCell ref="B17:C17"/>
    <mergeCell ref="J4:L4"/>
    <mergeCell ref="M4:O4"/>
    <mergeCell ref="P4:R4"/>
    <mergeCell ref="S4:S5"/>
    <mergeCell ref="T4:T5"/>
    <mergeCell ref="V4:V5"/>
    <mergeCell ref="B2:C2"/>
    <mergeCell ref="D2:E2"/>
    <mergeCell ref="B4:B5"/>
    <mergeCell ref="C4:C5"/>
    <mergeCell ref="D4:F4"/>
    <mergeCell ref="G4:I4"/>
  </mergeCells>
  <printOptions horizontalCentered="1"/>
  <pageMargins left="0" right="0" top="0.5" bottom="0" header="0.3" footer="0.3"/>
  <pageSetup scale="71" orientation="landscape" r:id="rId1"/>
  <ignoredErrors>
    <ignoredError sqref="E17 H17 K17 N17 Q1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Week 1</vt:lpstr>
      <vt:lpstr>Week 2</vt:lpstr>
      <vt:lpstr>Week 3</vt:lpstr>
      <vt:lpstr>Week 4</vt:lpstr>
      <vt:lpstr>'Week 1'!Print_Area</vt:lpstr>
      <vt:lpstr>'Week 2'!Print_Area</vt:lpstr>
      <vt:lpstr>'Week 3'!Print_Area</vt:lpstr>
      <vt:lpstr>'Week 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2023-07-10T04:02:24Z</dcterms:modified>
</cp:coreProperties>
</file>