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E5F89B2B-7279-4669-8521-B32710103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9" r:id="rId1"/>
    <sheet name="Week 1" sheetId="1" r:id="rId2"/>
    <sheet name="Week 2" sheetId="5" r:id="rId3"/>
    <sheet name="Week 3" sheetId="6" r:id="rId4"/>
    <sheet name="Week 4" sheetId="7" r:id="rId5"/>
    <sheet name="Week 5" sheetId="8" r:id="rId6"/>
  </sheets>
  <definedNames>
    <definedName name="_xlnm.Print_Area" localSheetId="0">Summary!$A$1:$W$39</definedName>
    <definedName name="_xlnm.Print_Area" localSheetId="1">'Week 1'!$A$1:$V$39</definedName>
    <definedName name="_xlnm.Print_Area" localSheetId="2">'Week 2'!$A$1:$V$39</definedName>
    <definedName name="_xlnm.Print_Area" localSheetId="3">'Week 3'!$A$1:$V$39</definedName>
    <definedName name="_xlnm.Print_Area" localSheetId="4">'Week 4'!$A$1:$V$39</definedName>
    <definedName name="_xlnm.Print_Area" localSheetId="5">'Week 5'!$A$1:$V$39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" i="9" l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T35" i="9" s="1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U32" i="9" s="1"/>
  <c r="D32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U31" i="9" s="1"/>
  <c r="D31" i="9"/>
  <c r="R30" i="9"/>
  <c r="Q30" i="9"/>
  <c r="P30" i="9"/>
  <c r="O30" i="9"/>
  <c r="N30" i="9"/>
  <c r="M30" i="9"/>
  <c r="L30" i="9"/>
  <c r="K30" i="9"/>
  <c r="J30" i="9"/>
  <c r="I30" i="9"/>
  <c r="H30" i="9"/>
  <c r="U30" i="9" s="1"/>
  <c r="G30" i="9"/>
  <c r="F30" i="9"/>
  <c r="E30" i="9"/>
  <c r="D30" i="9"/>
  <c r="T30" i="9" s="1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R28" i="9"/>
  <c r="Q28" i="9"/>
  <c r="P28" i="9"/>
  <c r="O28" i="9"/>
  <c r="N28" i="9"/>
  <c r="M28" i="9"/>
  <c r="L28" i="9"/>
  <c r="K28" i="9"/>
  <c r="U28" i="9" s="1"/>
  <c r="J28" i="9"/>
  <c r="I28" i="9"/>
  <c r="H28" i="9"/>
  <c r="G28" i="9"/>
  <c r="F28" i="9"/>
  <c r="E28" i="9"/>
  <c r="D28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R25" i="9"/>
  <c r="Q25" i="9"/>
  <c r="P25" i="9"/>
  <c r="O25" i="9"/>
  <c r="N25" i="9"/>
  <c r="M25" i="9"/>
  <c r="L25" i="9"/>
  <c r="K25" i="9"/>
  <c r="J25" i="9"/>
  <c r="I25" i="9"/>
  <c r="H25" i="9"/>
  <c r="U25" i="9" s="1"/>
  <c r="G25" i="9"/>
  <c r="F25" i="9"/>
  <c r="E25" i="9"/>
  <c r="D25" i="9"/>
  <c r="T25" i="9" s="1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U24" i="9" s="1"/>
  <c r="D24" i="9"/>
  <c r="T24" i="9" s="1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T36" i="5"/>
  <c r="S36" i="5"/>
  <c r="T35" i="5"/>
  <c r="U35" i="5" s="1"/>
  <c r="S35" i="5"/>
  <c r="T34" i="5"/>
  <c r="U34" i="5" s="1"/>
  <c r="S34" i="5"/>
  <c r="T33" i="5"/>
  <c r="S33" i="5"/>
  <c r="T32" i="5"/>
  <c r="U32" i="5" s="1"/>
  <c r="S32" i="5"/>
  <c r="T31" i="5"/>
  <c r="U31" i="5" s="1"/>
  <c r="S31" i="5"/>
  <c r="T30" i="5"/>
  <c r="U30" i="5" s="1"/>
  <c r="S30" i="5"/>
  <c r="T29" i="5"/>
  <c r="S29" i="5"/>
  <c r="T28" i="5"/>
  <c r="U28" i="5" s="1"/>
  <c r="S28" i="5"/>
  <c r="T27" i="5"/>
  <c r="S27" i="5"/>
  <c r="U26" i="5"/>
  <c r="T26" i="5"/>
  <c r="S26" i="5"/>
  <c r="T25" i="5"/>
  <c r="U25" i="5" s="1"/>
  <c r="S25" i="5"/>
  <c r="T24" i="5"/>
  <c r="S24" i="5"/>
  <c r="T23" i="5"/>
  <c r="S23" i="5"/>
  <c r="T22" i="5"/>
  <c r="S22" i="5"/>
  <c r="T21" i="5"/>
  <c r="U21" i="5" s="1"/>
  <c r="S21" i="5"/>
  <c r="T20" i="5"/>
  <c r="S20" i="5"/>
  <c r="T36" i="6"/>
  <c r="S36" i="6"/>
  <c r="T35" i="6"/>
  <c r="U35" i="6" s="1"/>
  <c r="S35" i="6"/>
  <c r="T34" i="6"/>
  <c r="U34" i="6" s="1"/>
  <c r="S34" i="6"/>
  <c r="T33" i="6"/>
  <c r="S33" i="6"/>
  <c r="T32" i="6"/>
  <c r="S32" i="6"/>
  <c r="T31" i="6"/>
  <c r="S31" i="6"/>
  <c r="T30" i="6"/>
  <c r="U30" i="6" s="1"/>
  <c r="S30" i="6"/>
  <c r="T29" i="6"/>
  <c r="S29" i="6"/>
  <c r="T28" i="6"/>
  <c r="U28" i="6" s="1"/>
  <c r="S28" i="6"/>
  <c r="T27" i="6"/>
  <c r="U27" i="6" s="1"/>
  <c r="S27" i="6"/>
  <c r="T26" i="6"/>
  <c r="S26" i="6"/>
  <c r="U26" i="6" s="1"/>
  <c r="T25" i="6"/>
  <c r="S25" i="6"/>
  <c r="T24" i="6"/>
  <c r="S24" i="6"/>
  <c r="U24" i="6" s="1"/>
  <c r="T23" i="6"/>
  <c r="S23" i="6"/>
  <c r="T22" i="6"/>
  <c r="S22" i="6"/>
  <c r="T21" i="6"/>
  <c r="S21" i="6"/>
  <c r="T20" i="6"/>
  <c r="S20" i="6"/>
  <c r="T36" i="7"/>
  <c r="U36" i="7" s="1"/>
  <c r="S36" i="7"/>
  <c r="T35" i="7"/>
  <c r="S35" i="7"/>
  <c r="U35" i="7" s="1"/>
  <c r="T34" i="7"/>
  <c r="S34" i="7"/>
  <c r="T33" i="7"/>
  <c r="S33" i="7"/>
  <c r="T32" i="7"/>
  <c r="S32" i="7"/>
  <c r="T31" i="7"/>
  <c r="S31" i="7"/>
  <c r="T30" i="7"/>
  <c r="S30" i="7"/>
  <c r="T29" i="7"/>
  <c r="S29" i="7"/>
  <c r="T28" i="7"/>
  <c r="U28" i="7" s="1"/>
  <c r="S28" i="7"/>
  <c r="T27" i="7"/>
  <c r="S27" i="7"/>
  <c r="U27" i="7" s="1"/>
  <c r="T26" i="7"/>
  <c r="U26" i="7" s="1"/>
  <c r="S26" i="7"/>
  <c r="T25" i="7"/>
  <c r="S25" i="7"/>
  <c r="T24" i="7"/>
  <c r="U24" i="7" s="1"/>
  <c r="S24" i="7"/>
  <c r="T23" i="7"/>
  <c r="S23" i="7"/>
  <c r="T22" i="7"/>
  <c r="U22" i="7" s="1"/>
  <c r="S22" i="7"/>
  <c r="T21" i="7"/>
  <c r="S21" i="7"/>
  <c r="U20" i="7"/>
  <c r="T20" i="7"/>
  <c r="S20" i="7"/>
  <c r="T36" i="8"/>
  <c r="S36" i="8"/>
  <c r="U36" i="8" s="1"/>
  <c r="T35" i="8"/>
  <c r="S35" i="8"/>
  <c r="T34" i="8"/>
  <c r="S34" i="8"/>
  <c r="T33" i="8"/>
  <c r="S33" i="8"/>
  <c r="T32" i="8"/>
  <c r="S32" i="8"/>
  <c r="T31" i="8"/>
  <c r="S31" i="8"/>
  <c r="T30" i="8"/>
  <c r="S30" i="8"/>
  <c r="T29" i="8"/>
  <c r="U29" i="8" s="1"/>
  <c r="S29" i="8"/>
  <c r="T28" i="8"/>
  <c r="S28" i="8"/>
  <c r="T27" i="8"/>
  <c r="S27" i="8"/>
  <c r="T26" i="8"/>
  <c r="U26" i="8" s="1"/>
  <c r="S26" i="8"/>
  <c r="T25" i="8"/>
  <c r="S25" i="8"/>
  <c r="T24" i="8"/>
  <c r="U24" i="8" s="1"/>
  <c r="S24" i="8"/>
  <c r="T23" i="8"/>
  <c r="S23" i="8"/>
  <c r="T22" i="8"/>
  <c r="U22" i="8" s="1"/>
  <c r="S22" i="8"/>
  <c r="T21" i="8"/>
  <c r="U21" i="8" s="1"/>
  <c r="S21" i="8"/>
  <c r="T20" i="8"/>
  <c r="S20" i="8"/>
  <c r="U20" i="8" s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U30" i="1" s="1"/>
  <c r="S30" i="1"/>
  <c r="T29" i="1"/>
  <c r="S29" i="1"/>
  <c r="U29" i="1" s="1"/>
  <c r="T28" i="1"/>
  <c r="U28" i="1" s="1"/>
  <c r="S28" i="1"/>
  <c r="T27" i="1"/>
  <c r="S27" i="1"/>
  <c r="T26" i="1"/>
  <c r="U26" i="1" s="1"/>
  <c r="S26" i="1"/>
  <c r="T25" i="1"/>
  <c r="S25" i="1"/>
  <c r="T24" i="1"/>
  <c r="U24" i="1" s="1"/>
  <c r="S24" i="1"/>
  <c r="T23" i="1"/>
  <c r="S23" i="1"/>
  <c r="U22" i="1"/>
  <c r="T22" i="1"/>
  <c r="S22" i="1"/>
  <c r="T21" i="1"/>
  <c r="S21" i="1"/>
  <c r="U21" i="1" s="1"/>
  <c r="T20" i="1"/>
  <c r="S20" i="1"/>
  <c r="U20" i="6" l="1"/>
  <c r="U22" i="6"/>
  <c r="U32" i="6"/>
  <c r="U20" i="5"/>
  <c r="U22" i="5"/>
  <c r="U24" i="5"/>
  <c r="U33" i="5"/>
  <c r="T21" i="9"/>
  <c r="U21" i="9"/>
  <c r="V21" i="9" s="1"/>
  <c r="T26" i="9"/>
  <c r="V26" i="9" s="1"/>
  <c r="U26" i="9"/>
  <c r="T31" i="9"/>
  <c r="U33" i="9"/>
  <c r="U23" i="5"/>
  <c r="V25" i="9"/>
  <c r="V31" i="9"/>
  <c r="T23" i="9"/>
  <c r="U23" i="9"/>
  <c r="V23" i="9" s="1"/>
  <c r="T28" i="9"/>
  <c r="V28" i="9" s="1"/>
  <c r="T29" i="9"/>
  <c r="U29" i="9"/>
  <c r="V29" i="9" s="1"/>
  <c r="T34" i="9"/>
  <c r="U35" i="9"/>
  <c r="U32" i="1"/>
  <c r="U34" i="1"/>
  <c r="U36" i="1"/>
  <c r="U30" i="8"/>
  <c r="U32" i="8"/>
  <c r="U34" i="8"/>
  <c r="U30" i="7"/>
  <c r="U32" i="7"/>
  <c r="U34" i="7"/>
  <c r="U23" i="1"/>
  <c r="U25" i="1"/>
  <c r="U27" i="1"/>
  <c r="U23" i="8"/>
  <c r="U25" i="8"/>
  <c r="U27" i="8"/>
  <c r="U21" i="7"/>
  <c r="U23" i="7"/>
  <c r="U25" i="7"/>
  <c r="U21" i="6"/>
  <c r="U23" i="6"/>
  <c r="U25" i="6"/>
  <c r="U36" i="6"/>
  <c r="U20" i="1"/>
  <c r="U31" i="1"/>
  <c r="U33" i="1"/>
  <c r="U35" i="1"/>
  <c r="U28" i="8"/>
  <c r="U31" i="8"/>
  <c r="U33" i="8"/>
  <c r="U35" i="8"/>
  <c r="U29" i="7"/>
  <c r="U31" i="7"/>
  <c r="U33" i="7"/>
  <c r="U29" i="6"/>
  <c r="U31" i="6"/>
  <c r="U33" i="6"/>
  <c r="U27" i="5"/>
  <c r="U29" i="5"/>
  <c r="U36" i="5"/>
  <c r="T22" i="9"/>
  <c r="U22" i="9"/>
  <c r="V22" i="9" s="1"/>
  <c r="T27" i="9"/>
  <c r="U27" i="9"/>
  <c r="T32" i="9"/>
  <c r="V32" i="9" s="1"/>
  <c r="T33" i="9"/>
  <c r="U34" i="9"/>
  <c r="V34" i="9" s="1"/>
  <c r="V24" i="9"/>
  <c r="V30" i="9"/>
  <c r="V35" i="9"/>
  <c r="V27" i="9"/>
  <c r="V33" i="9"/>
  <c r="D4" i="1"/>
  <c r="D5" i="1" s="1"/>
  <c r="P8" i="9"/>
  <c r="Q8" i="9"/>
  <c r="R8" i="9"/>
  <c r="P9" i="9"/>
  <c r="Q9" i="9"/>
  <c r="R9" i="9"/>
  <c r="P10" i="9"/>
  <c r="Q10" i="9"/>
  <c r="R10" i="9"/>
  <c r="P11" i="9"/>
  <c r="Q11" i="9"/>
  <c r="R11" i="9"/>
  <c r="P12" i="9"/>
  <c r="Q12" i="9"/>
  <c r="R12" i="9"/>
  <c r="P13" i="9"/>
  <c r="Q13" i="9"/>
  <c r="R13" i="9"/>
  <c r="P14" i="9"/>
  <c r="Q14" i="9"/>
  <c r="R14" i="9"/>
  <c r="P15" i="9"/>
  <c r="Q15" i="9"/>
  <c r="R15" i="9"/>
  <c r="P16" i="9"/>
  <c r="Q16" i="9"/>
  <c r="R16" i="9"/>
  <c r="P17" i="9"/>
  <c r="Q17" i="9"/>
  <c r="R17" i="9"/>
  <c r="P18" i="9"/>
  <c r="Q18" i="9"/>
  <c r="R18" i="9"/>
  <c r="P19" i="9"/>
  <c r="Q19" i="9"/>
  <c r="R19" i="9"/>
  <c r="P20" i="9"/>
  <c r="Q20" i="9"/>
  <c r="R20" i="9"/>
  <c r="P36" i="9"/>
  <c r="Q36" i="9"/>
  <c r="R36" i="9"/>
  <c r="R7" i="9"/>
  <c r="Q7" i="9"/>
  <c r="P7" i="9"/>
  <c r="M8" i="9"/>
  <c r="N8" i="9"/>
  <c r="O8" i="9"/>
  <c r="M9" i="9"/>
  <c r="N9" i="9"/>
  <c r="O9" i="9"/>
  <c r="M10" i="9"/>
  <c r="N10" i="9"/>
  <c r="O10" i="9"/>
  <c r="M11" i="9"/>
  <c r="N11" i="9"/>
  <c r="O11" i="9"/>
  <c r="M12" i="9"/>
  <c r="N12" i="9"/>
  <c r="O12" i="9"/>
  <c r="M13" i="9"/>
  <c r="N13" i="9"/>
  <c r="O13" i="9"/>
  <c r="M14" i="9"/>
  <c r="N14" i="9"/>
  <c r="O14" i="9"/>
  <c r="M15" i="9"/>
  <c r="N15" i="9"/>
  <c r="O15" i="9"/>
  <c r="M16" i="9"/>
  <c r="N16" i="9"/>
  <c r="O16" i="9"/>
  <c r="M17" i="9"/>
  <c r="N17" i="9"/>
  <c r="O17" i="9"/>
  <c r="M18" i="9"/>
  <c r="N18" i="9"/>
  <c r="O18" i="9"/>
  <c r="M19" i="9"/>
  <c r="N19" i="9"/>
  <c r="O19" i="9"/>
  <c r="M20" i="9"/>
  <c r="N20" i="9"/>
  <c r="O20" i="9"/>
  <c r="M36" i="9"/>
  <c r="N36" i="9"/>
  <c r="O36" i="9"/>
  <c r="O7" i="9"/>
  <c r="N7" i="9"/>
  <c r="M7" i="9"/>
  <c r="J8" i="9"/>
  <c r="K8" i="9"/>
  <c r="L8" i="9"/>
  <c r="J9" i="9"/>
  <c r="K9" i="9"/>
  <c r="L9" i="9"/>
  <c r="J10" i="9"/>
  <c r="K10" i="9"/>
  <c r="L10" i="9"/>
  <c r="J11" i="9"/>
  <c r="K11" i="9"/>
  <c r="L11" i="9"/>
  <c r="J12" i="9"/>
  <c r="K12" i="9"/>
  <c r="L12" i="9"/>
  <c r="J13" i="9"/>
  <c r="K13" i="9"/>
  <c r="L13" i="9"/>
  <c r="J14" i="9"/>
  <c r="K14" i="9"/>
  <c r="L14" i="9"/>
  <c r="J15" i="9"/>
  <c r="K15" i="9"/>
  <c r="L15" i="9"/>
  <c r="J16" i="9"/>
  <c r="K16" i="9"/>
  <c r="L16" i="9"/>
  <c r="J17" i="9"/>
  <c r="K17" i="9"/>
  <c r="L17" i="9"/>
  <c r="J18" i="9"/>
  <c r="K18" i="9"/>
  <c r="L18" i="9"/>
  <c r="J19" i="9"/>
  <c r="K19" i="9"/>
  <c r="L19" i="9"/>
  <c r="J20" i="9"/>
  <c r="K20" i="9"/>
  <c r="L20" i="9"/>
  <c r="J36" i="9"/>
  <c r="K36" i="9"/>
  <c r="L36" i="9"/>
  <c r="L7" i="9"/>
  <c r="K7" i="9"/>
  <c r="J7" i="9"/>
  <c r="G8" i="9"/>
  <c r="H8" i="9"/>
  <c r="I8" i="9"/>
  <c r="G9" i="9"/>
  <c r="H9" i="9"/>
  <c r="I9" i="9"/>
  <c r="G10" i="9"/>
  <c r="H10" i="9"/>
  <c r="I10" i="9"/>
  <c r="G11" i="9"/>
  <c r="H11" i="9"/>
  <c r="I11" i="9"/>
  <c r="G12" i="9"/>
  <c r="H12" i="9"/>
  <c r="I12" i="9"/>
  <c r="G13" i="9"/>
  <c r="H13" i="9"/>
  <c r="I13" i="9"/>
  <c r="G14" i="9"/>
  <c r="H14" i="9"/>
  <c r="I14" i="9"/>
  <c r="G15" i="9"/>
  <c r="H15" i="9"/>
  <c r="I15" i="9"/>
  <c r="G16" i="9"/>
  <c r="H16" i="9"/>
  <c r="I16" i="9"/>
  <c r="G17" i="9"/>
  <c r="H17" i="9"/>
  <c r="I17" i="9"/>
  <c r="G18" i="9"/>
  <c r="H18" i="9"/>
  <c r="I18" i="9"/>
  <c r="G19" i="9"/>
  <c r="H19" i="9"/>
  <c r="I19" i="9"/>
  <c r="G20" i="9"/>
  <c r="H20" i="9"/>
  <c r="I20" i="9"/>
  <c r="G36" i="9"/>
  <c r="H36" i="9"/>
  <c r="I36" i="9"/>
  <c r="I7" i="9"/>
  <c r="H7" i="9"/>
  <c r="G7" i="9"/>
  <c r="D10" i="9"/>
  <c r="E10" i="9"/>
  <c r="F10" i="9"/>
  <c r="D11" i="9"/>
  <c r="E11" i="9"/>
  <c r="F11" i="9"/>
  <c r="D12" i="9"/>
  <c r="E12" i="9"/>
  <c r="F12" i="9"/>
  <c r="D13" i="9"/>
  <c r="E13" i="9"/>
  <c r="F13" i="9"/>
  <c r="D14" i="9"/>
  <c r="E14" i="9"/>
  <c r="F14" i="9"/>
  <c r="D15" i="9"/>
  <c r="E15" i="9"/>
  <c r="F15" i="9"/>
  <c r="D16" i="9"/>
  <c r="E16" i="9"/>
  <c r="F16" i="9"/>
  <c r="D17" i="9"/>
  <c r="E17" i="9"/>
  <c r="F17" i="9"/>
  <c r="D18" i="9"/>
  <c r="E18" i="9"/>
  <c r="F18" i="9"/>
  <c r="D19" i="9"/>
  <c r="E19" i="9"/>
  <c r="F19" i="9"/>
  <c r="D20" i="9"/>
  <c r="E20" i="9"/>
  <c r="F20" i="9"/>
  <c r="D36" i="9"/>
  <c r="E36" i="9"/>
  <c r="F36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8" i="9"/>
  <c r="D2" i="5"/>
  <c r="D2" i="6" s="1"/>
  <c r="D2" i="7" s="1"/>
  <c r="D2" i="8" s="1"/>
  <c r="P38" i="8"/>
  <c r="N38" i="8"/>
  <c r="L38" i="8"/>
  <c r="J38" i="8"/>
  <c r="H38" i="8"/>
  <c r="F38" i="8"/>
  <c r="D38" i="8"/>
  <c r="T19" i="8"/>
  <c r="S19" i="8"/>
  <c r="T18" i="8"/>
  <c r="S18" i="8"/>
  <c r="T17" i="8"/>
  <c r="S17" i="8"/>
  <c r="T16" i="8"/>
  <c r="S16" i="8"/>
  <c r="T15" i="8"/>
  <c r="S15" i="8"/>
  <c r="T14" i="8"/>
  <c r="S14" i="8"/>
  <c r="T13" i="8"/>
  <c r="S13" i="8"/>
  <c r="T12" i="8"/>
  <c r="S12" i="8"/>
  <c r="T11" i="8"/>
  <c r="S11" i="8"/>
  <c r="T10" i="8"/>
  <c r="S10" i="8"/>
  <c r="T9" i="8"/>
  <c r="S9" i="8"/>
  <c r="T8" i="8"/>
  <c r="S8" i="8"/>
  <c r="B8" i="8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T7" i="8"/>
  <c r="S7" i="8"/>
  <c r="P38" i="7"/>
  <c r="N38" i="7"/>
  <c r="L38" i="7"/>
  <c r="J38" i="7"/>
  <c r="H38" i="7"/>
  <c r="F38" i="7"/>
  <c r="D38" i="7"/>
  <c r="T19" i="7"/>
  <c r="S19" i="7"/>
  <c r="T18" i="7"/>
  <c r="S18" i="7"/>
  <c r="T17" i="7"/>
  <c r="S17" i="7"/>
  <c r="T16" i="7"/>
  <c r="S16" i="7"/>
  <c r="T15" i="7"/>
  <c r="S15" i="7"/>
  <c r="T14" i="7"/>
  <c r="S14" i="7"/>
  <c r="T13" i="7"/>
  <c r="S13" i="7"/>
  <c r="T12" i="7"/>
  <c r="S12" i="7"/>
  <c r="T11" i="7"/>
  <c r="S11" i="7"/>
  <c r="T10" i="7"/>
  <c r="S10" i="7"/>
  <c r="T9" i="7"/>
  <c r="S9" i="7"/>
  <c r="T8" i="7"/>
  <c r="S8" i="7"/>
  <c r="B8" i="7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T7" i="7"/>
  <c r="S7" i="7"/>
  <c r="P38" i="6"/>
  <c r="N38" i="6"/>
  <c r="L38" i="6"/>
  <c r="J38" i="6"/>
  <c r="H38" i="6"/>
  <c r="F38" i="6"/>
  <c r="D38" i="6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T11" i="6"/>
  <c r="S11" i="6"/>
  <c r="T10" i="6"/>
  <c r="S10" i="6"/>
  <c r="T9" i="6"/>
  <c r="S9" i="6"/>
  <c r="T8" i="6"/>
  <c r="S8" i="6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T7" i="6"/>
  <c r="S7" i="6"/>
  <c r="P38" i="5"/>
  <c r="N38" i="5"/>
  <c r="L38" i="5"/>
  <c r="J38" i="5"/>
  <c r="H38" i="5"/>
  <c r="F38" i="5"/>
  <c r="D38" i="5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T8" i="5"/>
  <c r="S8" i="5"/>
  <c r="B8" i="5"/>
  <c r="T7" i="5"/>
  <c r="S7" i="5"/>
  <c r="T19" i="1"/>
  <c r="T18" i="1"/>
  <c r="T17" i="1"/>
  <c r="T16" i="1"/>
  <c r="S19" i="1"/>
  <c r="S18" i="1"/>
  <c r="S17" i="1"/>
  <c r="S16" i="1"/>
  <c r="P38" i="1"/>
  <c r="N38" i="1"/>
  <c r="T8" i="1"/>
  <c r="T9" i="1"/>
  <c r="E9" i="9" s="1"/>
  <c r="T10" i="1"/>
  <c r="T11" i="1"/>
  <c r="T12" i="1"/>
  <c r="T13" i="1"/>
  <c r="T14" i="1"/>
  <c r="T15" i="1"/>
  <c r="T7" i="1"/>
  <c r="E8" i="9" s="1"/>
  <c r="S8" i="1"/>
  <c r="D7" i="9" s="1"/>
  <c r="S9" i="1"/>
  <c r="S10" i="1"/>
  <c r="S11" i="1"/>
  <c r="S12" i="1"/>
  <c r="S13" i="1"/>
  <c r="S14" i="1"/>
  <c r="S15" i="1"/>
  <c r="S7" i="1"/>
  <c r="D8" i="9" s="1"/>
  <c r="U13" i="1" l="1"/>
  <c r="U14" i="1"/>
  <c r="U16" i="5"/>
  <c r="U9" i="6"/>
  <c r="U13" i="6"/>
  <c r="U18" i="7"/>
  <c r="U11" i="8"/>
  <c r="U15" i="8"/>
  <c r="U17" i="1"/>
  <c r="U12" i="5"/>
  <c r="U17" i="6"/>
  <c r="U16" i="1"/>
  <c r="U11" i="1"/>
  <c r="U18" i="8"/>
  <c r="U19" i="7"/>
  <c r="U12" i="8"/>
  <c r="U16" i="8"/>
  <c r="U12" i="1"/>
  <c r="U8" i="1"/>
  <c r="F7" i="9" s="1"/>
  <c r="U12" i="7"/>
  <c r="U9" i="1"/>
  <c r="F9" i="9" s="1"/>
  <c r="U10" i="1"/>
  <c r="U9" i="7"/>
  <c r="U10" i="8"/>
  <c r="U14" i="8"/>
  <c r="U16" i="7"/>
  <c r="U13" i="8"/>
  <c r="U15" i="1"/>
  <c r="U10" i="7"/>
  <c r="U14" i="7"/>
  <c r="U18" i="1"/>
  <c r="U19" i="6"/>
  <c r="U8" i="7"/>
  <c r="U11" i="7"/>
  <c r="U8" i="8"/>
  <c r="U19" i="1"/>
  <c r="U13" i="5"/>
  <c r="U10" i="6"/>
  <c r="S38" i="5"/>
  <c r="T38" i="5"/>
  <c r="U10" i="5"/>
  <c r="U14" i="5"/>
  <c r="U18" i="5"/>
  <c r="U15" i="6"/>
  <c r="U17" i="7"/>
  <c r="U9" i="8"/>
  <c r="E7" i="9"/>
  <c r="U7" i="9" s="1"/>
  <c r="D9" i="9"/>
  <c r="T9" i="9" s="1"/>
  <c r="T38" i="7"/>
  <c r="U17" i="5"/>
  <c r="U18" i="6"/>
  <c r="U14" i="6"/>
  <c r="U15" i="5"/>
  <c r="U12" i="6"/>
  <c r="S38" i="8"/>
  <c r="U17" i="8"/>
  <c r="U9" i="5"/>
  <c r="U13" i="7"/>
  <c r="U19" i="8"/>
  <c r="U11" i="5"/>
  <c r="U19" i="5"/>
  <c r="U8" i="6"/>
  <c r="U16" i="6"/>
  <c r="U8" i="5"/>
  <c r="U15" i="7"/>
  <c r="T38" i="8"/>
  <c r="S38" i="7"/>
  <c r="U8" i="9"/>
  <c r="U9" i="9"/>
  <c r="T12" i="9"/>
  <c r="G38" i="9"/>
  <c r="H38" i="9"/>
  <c r="I38" i="9"/>
  <c r="T38" i="6"/>
  <c r="S38" i="6"/>
  <c r="T8" i="9"/>
  <c r="U11" i="6"/>
  <c r="T16" i="9"/>
  <c r="U13" i="9"/>
  <c r="J38" i="9"/>
  <c r="T20" i="9"/>
  <c r="K38" i="9"/>
  <c r="U16" i="9"/>
  <c r="T11" i="9"/>
  <c r="L38" i="9"/>
  <c r="T15" i="9"/>
  <c r="U12" i="9"/>
  <c r="T10" i="9"/>
  <c r="U14" i="9"/>
  <c r="U19" i="9"/>
  <c r="T14" i="9"/>
  <c r="U11" i="9"/>
  <c r="T17" i="9"/>
  <c r="U7" i="1"/>
  <c r="F4" i="1"/>
  <c r="H4" i="1" s="1"/>
  <c r="J4" i="1" s="1"/>
  <c r="L4" i="1" s="1"/>
  <c r="N4" i="1" s="1"/>
  <c r="P4" i="1" s="1"/>
  <c r="D4" i="5" s="1"/>
  <c r="F4" i="5" s="1"/>
  <c r="H4" i="5" s="1"/>
  <c r="J4" i="5" s="1"/>
  <c r="L4" i="5" s="1"/>
  <c r="N4" i="5" s="1"/>
  <c r="P4" i="5" s="1"/>
  <c r="T18" i="9"/>
  <c r="U15" i="9"/>
  <c r="U17" i="9"/>
  <c r="T19" i="9"/>
  <c r="P38" i="9"/>
  <c r="Q38" i="9"/>
  <c r="R38" i="9"/>
  <c r="M38" i="9"/>
  <c r="N38" i="9"/>
  <c r="O38" i="9"/>
  <c r="U20" i="9"/>
  <c r="U36" i="9"/>
  <c r="U10" i="9"/>
  <c r="T36" i="9"/>
  <c r="U18" i="9"/>
  <c r="T13" i="9"/>
  <c r="T7" i="9"/>
  <c r="U7" i="8"/>
  <c r="U7" i="6"/>
  <c r="U7" i="7"/>
  <c r="U7" i="5"/>
  <c r="T38" i="1"/>
  <c r="L38" i="1"/>
  <c r="J38" i="1"/>
  <c r="H38" i="1"/>
  <c r="F38" i="1"/>
  <c r="D38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F5" i="1" l="1"/>
  <c r="U38" i="7"/>
  <c r="U38" i="5"/>
  <c r="U38" i="8"/>
  <c r="E38" i="9"/>
  <c r="U38" i="6"/>
  <c r="D38" i="9"/>
  <c r="V13" i="9"/>
  <c r="V12" i="9"/>
  <c r="V8" i="9"/>
  <c r="V11" i="9"/>
  <c r="V9" i="9"/>
  <c r="V14" i="9"/>
  <c r="V19" i="9"/>
  <c r="V20" i="9"/>
  <c r="V16" i="9"/>
  <c r="V17" i="9"/>
  <c r="V15" i="9"/>
  <c r="V10" i="9"/>
  <c r="F8" i="9"/>
  <c r="F38" i="9" s="1"/>
  <c r="U38" i="1"/>
  <c r="D4" i="6"/>
  <c r="F4" i="6" s="1"/>
  <c r="H4" i="6" s="1"/>
  <c r="J4" i="6" s="1"/>
  <c r="L4" i="6" s="1"/>
  <c r="N4" i="6" s="1"/>
  <c r="P4" i="6" s="1"/>
  <c r="D4" i="7" s="1"/>
  <c r="V18" i="9"/>
  <c r="T38" i="9"/>
  <c r="V36" i="9"/>
  <c r="U38" i="9"/>
  <c r="V7" i="9"/>
  <c r="H5" i="1"/>
  <c r="V38" i="9" l="1"/>
  <c r="J5" i="1"/>
  <c r="S38" i="1"/>
  <c r="N5" i="1" l="1"/>
  <c r="L5" i="1"/>
  <c r="P5" i="1" l="1"/>
  <c r="D5" i="5" l="1"/>
  <c r="F5" i="5"/>
  <c r="H5" i="5" l="1"/>
  <c r="J5" i="5" l="1"/>
  <c r="L5" i="5" l="1"/>
  <c r="N5" i="5" l="1"/>
  <c r="P5" i="5" l="1"/>
  <c r="D5" i="6" l="1"/>
  <c r="F5" i="6" l="1"/>
  <c r="H5" i="6" l="1"/>
  <c r="J5" i="6" l="1"/>
  <c r="L5" i="6" l="1"/>
  <c r="N5" i="6" l="1"/>
  <c r="F4" i="7"/>
  <c r="H4" i="7" s="1"/>
  <c r="J4" i="7" s="1"/>
  <c r="L4" i="7" s="1"/>
  <c r="N4" i="7" s="1"/>
  <c r="P4" i="7" s="1"/>
  <c r="D4" i="8" s="1"/>
  <c r="P5" i="6" l="1"/>
  <c r="D5" i="7" l="1"/>
  <c r="F5" i="7" l="1"/>
  <c r="H5" i="7" l="1"/>
  <c r="J5" i="7" l="1"/>
  <c r="L5" i="7" l="1"/>
  <c r="N5" i="7" l="1"/>
  <c r="P5" i="7" l="1"/>
  <c r="F4" i="8"/>
  <c r="H4" i="8" s="1"/>
  <c r="J4" i="8" s="1"/>
  <c r="L4" i="8" s="1"/>
  <c r="N4" i="8" s="1"/>
  <c r="P4" i="8" s="1"/>
  <c r="D5" i="8" l="1"/>
  <c r="F5" i="8" l="1"/>
  <c r="H5" i="8" l="1"/>
  <c r="J5" i="8" l="1"/>
  <c r="L5" i="8" l="1"/>
  <c r="N5" i="8" l="1"/>
  <c r="P5" i="8"/>
</calcChain>
</file>

<file path=xl/sharedStrings.xml><?xml version="1.0" encoding="utf-8"?>
<sst xmlns="http://schemas.openxmlformats.org/spreadsheetml/2006/main" count="568" uniqueCount="30">
  <si>
    <t>S.No</t>
  </si>
  <si>
    <t>Juli</t>
  </si>
  <si>
    <t>Total</t>
  </si>
  <si>
    <t>Status</t>
  </si>
  <si>
    <t>Paid</t>
  </si>
  <si>
    <t xml:space="preserve">Total </t>
  </si>
  <si>
    <t>Mr. A</t>
  </si>
  <si>
    <t>Mr. B</t>
  </si>
  <si>
    <t>Mr. C</t>
  </si>
  <si>
    <t>Mr. D</t>
  </si>
  <si>
    <t>Mr. E</t>
  </si>
  <si>
    <t>Not Paid</t>
  </si>
  <si>
    <t>RINGKASAN</t>
  </si>
  <si>
    <t>Nama</t>
  </si>
  <si>
    <t>Minggu ke 1</t>
  </si>
  <si>
    <t>Minggu ke 2</t>
  </si>
  <si>
    <t>Minggu ke 3</t>
  </si>
  <si>
    <t>Minggu ke 4</t>
  </si>
  <si>
    <t>Minggu ke 5</t>
  </si>
  <si>
    <t>Total semua Minggu</t>
  </si>
  <si>
    <t>Total Dibayar</t>
  </si>
  <si>
    <t>Total Belum Dibayar</t>
  </si>
  <si>
    <t>Jumlah Minggu</t>
  </si>
  <si>
    <t>Total Jumlah</t>
  </si>
  <si>
    <t>Total Minggu Ini</t>
  </si>
  <si>
    <t>Minggu Pertama</t>
  </si>
  <si>
    <t>Minggu Kedua</t>
  </si>
  <si>
    <t>Minggu Ketiga</t>
  </si>
  <si>
    <t>Minggu Keempat</t>
  </si>
  <si>
    <t>Minggu Kelima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</si>
</sst>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mmmm\-yy;@"/>
    <numFmt numFmtId="165" formatCode="&quot;$&quot;#,##0.00"/>
    <numFmt numFmtId="166" formatCode="[$-409]d\-mmm\-yy;@"/>
    <numFmt numFmtId="167" formatCode="_([$IDR]\ * #,##0.00_);_([$IDR]\ * \(#,##0.00\);_([$IDR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2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3" borderId="0" xfId="0" applyFont="1" applyFill="1"/>
    <xf numFmtId="0" fontId="4" fillId="3" borderId="0" xfId="0" applyFont="1" applyFill="1"/>
    <xf numFmtId="0" fontId="4" fillId="0" borderId="0" xfId="0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166" fontId="5" fillId="4" borderId="7" xfId="0" applyNumberFormat="1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center" vertical="center"/>
    </xf>
    <xf numFmtId="166" fontId="5" fillId="4" borderId="5" xfId="0" applyNumberFormat="1" applyFont="1" applyFill="1" applyBorder="1" applyAlignment="1">
      <alignment horizontal="center" vertical="center"/>
    </xf>
    <xf numFmtId="166" fontId="5" fillId="4" borderId="8" xfId="0" applyNumberFormat="1" applyFont="1" applyFill="1" applyBorder="1" applyAlignment="1">
      <alignment horizontal="center" vertical="center"/>
    </xf>
    <xf numFmtId="166" fontId="5" fillId="4" borderId="6" xfId="0" applyNumberFormat="1" applyFont="1" applyFill="1" applyBorder="1" applyAlignment="1">
      <alignment horizontal="center" vertical="center"/>
    </xf>
    <xf numFmtId="166" fontId="5" fillId="5" borderId="3" xfId="0" applyNumberFormat="1" applyFont="1" applyFill="1" applyBorder="1" applyAlignment="1">
      <alignment horizontal="center" vertical="center"/>
    </xf>
    <xf numFmtId="166" fontId="5" fillId="5" borderId="7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166" fontId="5" fillId="5" borderId="5" xfId="0" applyNumberFormat="1" applyFont="1" applyFill="1" applyBorder="1" applyAlignment="1">
      <alignment horizontal="center" vertical="center"/>
    </xf>
    <xf numFmtId="166" fontId="5" fillId="5" borderId="8" xfId="0" applyNumberFormat="1" applyFont="1" applyFill="1" applyBorder="1" applyAlignment="1">
      <alignment horizontal="center" vertical="center"/>
    </xf>
    <xf numFmtId="166" fontId="5" fillId="5" borderId="6" xfId="0" applyNumberFormat="1" applyFont="1" applyFill="1" applyBorder="1" applyAlignment="1">
      <alignment horizontal="center" vertical="center"/>
    </xf>
    <xf numFmtId="166" fontId="5" fillId="6" borderId="3" xfId="0" applyNumberFormat="1" applyFont="1" applyFill="1" applyBorder="1" applyAlignment="1">
      <alignment horizontal="center" vertical="center"/>
    </xf>
    <xf numFmtId="166" fontId="5" fillId="6" borderId="7" xfId="0" applyNumberFormat="1" applyFont="1" applyFill="1" applyBorder="1" applyAlignment="1">
      <alignment horizontal="center" vertical="center"/>
    </xf>
    <xf numFmtId="166" fontId="5" fillId="6" borderId="4" xfId="0" applyNumberFormat="1" applyFont="1" applyFill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166" fontId="5" fillId="6" borderId="8" xfId="0" applyNumberFormat="1" applyFont="1" applyFill="1" applyBorder="1" applyAlignment="1">
      <alignment horizontal="center" vertical="center"/>
    </xf>
    <xf numFmtId="166" fontId="5" fillId="6" borderId="6" xfId="0" applyNumberFormat="1" applyFont="1" applyFill="1" applyBorder="1" applyAlignment="1">
      <alignment horizontal="center" vertical="center"/>
    </xf>
    <xf numFmtId="166" fontId="5" fillId="7" borderId="3" xfId="0" applyNumberFormat="1" applyFont="1" applyFill="1" applyBorder="1" applyAlignment="1">
      <alignment horizontal="center" vertical="center"/>
    </xf>
    <xf numFmtId="166" fontId="5" fillId="7" borderId="7" xfId="0" applyNumberFormat="1" applyFont="1" applyFill="1" applyBorder="1" applyAlignment="1">
      <alignment horizontal="center" vertical="center"/>
    </xf>
    <xf numFmtId="166" fontId="5" fillId="7" borderId="4" xfId="0" applyNumberFormat="1" applyFont="1" applyFill="1" applyBorder="1" applyAlignment="1">
      <alignment horizontal="center" vertical="center"/>
    </xf>
    <xf numFmtId="166" fontId="5" fillId="7" borderId="5" xfId="0" applyNumberFormat="1" applyFont="1" applyFill="1" applyBorder="1" applyAlignment="1">
      <alignment horizontal="center" vertical="center"/>
    </xf>
    <xf numFmtId="166" fontId="5" fillId="7" borderId="8" xfId="0" applyNumberFormat="1" applyFont="1" applyFill="1" applyBorder="1" applyAlignment="1">
      <alignment horizontal="center" vertical="center"/>
    </xf>
    <xf numFmtId="166" fontId="5" fillId="7" borderId="6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5" fillId="2" borderId="8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6" fillId="0" borderId="1" xfId="1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9"/>
  <sheetViews>
    <sheetView showGridLines="0" showRowColHeaders="0" tabSelected="1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P38" sqref="P38"/>
    </sheetView>
  </sheetViews>
  <sheetFormatPr defaultRowHeight="13.8" x14ac:dyDescent="0.25"/>
  <cols>
    <col min="1" max="1" width="1.109375" style="1" customWidth="1"/>
    <col min="2" max="2" width="6.21875" style="2" customWidth="1"/>
    <col min="3" max="3" width="21.44140625" style="1" customWidth="1"/>
    <col min="4" max="4" width="10.33203125" style="10" bestFit="1" customWidth="1"/>
    <col min="5" max="5" width="13.77734375" style="1" customWidth="1"/>
    <col min="6" max="6" width="14.21875" style="1" customWidth="1"/>
    <col min="7" max="7" width="14.44140625" style="1" customWidth="1"/>
    <col min="8" max="8" width="13.109375" style="1" customWidth="1"/>
    <col min="9" max="9" width="13.5546875" style="1" customWidth="1"/>
    <col min="10" max="11" width="13.77734375" style="1" customWidth="1"/>
    <col min="12" max="12" width="14.33203125" style="1" customWidth="1"/>
    <col min="13" max="13" width="13.44140625" style="1" customWidth="1"/>
    <col min="14" max="14" width="15.109375" style="1" customWidth="1"/>
    <col min="15" max="15" width="12.33203125" style="1" customWidth="1"/>
    <col min="16" max="16" width="13.21875" style="1" customWidth="1"/>
    <col min="17" max="17" width="13.33203125" style="1" customWidth="1"/>
    <col min="18" max="18" width="13.5546875" style="1" customWidth="1"/>
    <col min="19" max="19" width="0.88671875" style="6" customWidth="1"/>
    <col min="20" max="22" width="11.5546875" style="2" customWidth="1"/>
    <col min="23" max="23" width="1.109375" style="1" customWidth="1"/>
    <col min="24" max="16384" width="8.88671875" style="1"/>
  </cols>
  <sheetData>
    <row r="1" spans="2:22" ht="6" customHeight="1" x14ac:dyDescent="0.25"/>
    <row r="2" spans="2:22" s="5" customFormat="1" ht="27.6" x14ac:dyDescent="0.45">
      <c r="B2" s="53" t="s">
        <v>12</v>
      </c>
      <c r="C2" s="53"/>
      <c r="D2" s="54"/>
      <c r="E2" s="54"/>
      <c r="S2" s="7"/>
      <c r="T2" s="8"/>
      <c r="U2" s="8"/>
      <c r="V2" s="8"/>
    </row>
    <row r="4" spans="2:22" s="4" customFormat="1" ht="30" customHeight="1" x14ac:dyDescent="0.3">
      <c r="B4" s="55" t="s">
        <v>0</v>
      </c>
      <c r="C4" s="55" t="s">
        <v>13</v>
      </c>
      <c r="D4" s="22" t="s">
        <v>14</v>
      </c>
      <c r="E4" s="23"/>
      <c r="F4" s="24"/>
      <c r="G4" s="28" t="s">
        <v>15</v>
      </c>
      <c r="H4" s="29"/>
      <c r="I4" s="30"/>
      <c r="J4" s="34" t="s">
        <v>16</v>
      </c>
      <c r="K4" s="35"/>
      <c r="L4" s="36"/>
      <c r="M4" s="40" t="s">
        <v>17</v>
      </c>
      <c r="N4" s="41"/>
      <c r="O4" s="42"/>
      <c r="P4" s="46" t="s">
        <v>18</v>
      </c>
      <c r="Q4" s="47"/>
      <c r="R4" s="48"/>
      <c r="S4" s="13"/>
      <c r="T4" s="52" t="s">
        <v>19</v>
      </c>
      <c r="U4" s="52"/>
      <c r="V4" s="52"/>
    </row>
    <row r="5" spans="2:22" s="4" customFormat="1" ht="30" customHeight="1" x14ac:dyDescent="0.3">
      <c r="B5" s="55"/>
      <c r="C5" s="55"/>
      <c r="D5" s="25"/>
      <c r="E5" s="26"/>
      <c r="F5" s="27"/>
      <c r="G5" s="31"/>
      <c r="H5" s="32"/>
      <c r="I5" s="33"/>
      <c r="J5" s="37"/>
      <c r="K5" s="38"/>
      <c r="L5" s="39"/>
      <c r="M5" s="43"/>
      <c r="N5" s="44"/>
      <c r="O5" s="45"/>
      <c r="P5" s="49"/>
      <c r="Q5" s="50"/>
      <c r="R5" s="51"/>
      <c r="S5" s="13"/>
      <c r="T5" s="52"/>
      <c r="U5" s="52"/>
      <c r="V5" s="52"/>
    </row>
    <row r="6" spans="2:22" s="4" customFormat="1" ht="30" customHeight="1" x14ac:dyDescent="0.3">
      <c r="B6" s="55"/>
      <c r="C6" s="55"/>
      <c r="D6" s="19" t="s">
        <v>20</v>
      </c>
      <c r="E6" s="19" t="s">
        <v>21</v>
      </c>
      <c r="F6" s="19" t="s">
        <v>22</v>
      </c>
      <c r="G6" s="19" t="s">
        <v>20</v>
      </c>
      <c r="H6" s="19" t="s">
        <v>21</v>
      </c>
      <c r="I6" s="19" t="s">
        <v>22</v>
      </c>
      <c r="J6" s="19" t="s">
        <v>20</v>
      </c>
      <c r="K6" s="19" t="s">
        <v>21</v>
      </c>
      <c r="L6" s="19" t="s">
        <v>22</v>
      </c>
      <c r="M6" s="19" t="s">
        <v>20</v>
      </c>
      <c r="N6" s="19" t="s">
        <v>21</v>
      </c>
      <c r="O6" s="19" t="s">
        <v>22</v>
      </c>
      <c r="P6" s="19" t="s">
        <v>20</v>
      </c>
      <c r="Q6" s="19" t="s">
        <v>21</v>
      </c>
      <c r="R6" s="19" t="s">
        <v>22</v>
      </c>
      <c r="S6" s="13"/>
      <c r="T6" s="20" t="s">
        <v>20</v>
      </c>
      <c r="U6" s="20" t="s">
        <v>21</v>
      </c>
      <c r="V6" s="20" t="s">
        <v>5</v>
      </c>
    </row>
    <row r="7" spans="2:22" s="3" customFormat="1" ht="19.95" customHeight="1" x14ac:dyDescent="0.3">
      <c r="B7" s="15">
        <v>1</v>
      </c>
      <c r="C7" s="16" t="s">
        <v>6</v>
      </c>
      <c r="D7" s="59">
        <f>SUMIF('Week 1'!$C$7:$C$36,Summary!C7,'Week 1'!$S$7:$S$36)</f>
        <v>14</v>
      </c>
      <c r="E7" s="59">
        <f>SUMIF('Week 1'!$C$7:$C$36,Summary!C7,'Week 1'!$T$7:$T$36)</f>
        <v>0</v>
      </c>
      <c r="F7" s="59">
        <f>SUMIF('Week 1'!$C$7:$C$36,Summary!C7,'Week 1'!$U$7:$U$36)</f>
        <v>14</v>
      </c>
      <c r="G7" s="59">
        <f>SUMIF('Week 2'!$C$7:$C$36,Summary!C7,'Week 2'!$S$7:$S$36)</f>
        <v>0</v>
      </c>
      <c r="H7" s="59">
        <f>SUMIF('Week 2'!$C$7:$C$36,Summary!C7,'Week 2'!$T$7:$T$36)</f>
        <v>0</v>
      </c>
      <c r="I7" s="59">
        <f>SUMIF('Week 2'!$C$7:$C$36,Summary!C7,'Week 2'!$U$7:$U$36)</f>
        <v>0</v>
      </c>
      <c r="J7" s="59">
        <f>SUMIF('Week 3'!$C$7:$C$36,Summary!C7,'Week 3'!$S$7:$S$36)</f>
        <v>0</v>
      </c>
      <c r="K7" s="59">
        <f>SUMIF('Week 3'!$C$7:$C$36,Summary!C7,'Week 3'!$T$7:$T$36)</f>
        <v>0</v>
      </c>
      <c r="L7" s="59">
        <f>SUMIF('Week 3'!$C$7:$C$36,Summary!C7,'Week 3'!$U$7:$U$36)</f>
        <v>0</v>
      </c>
      <c r="M7" s="59">
        <f>SUMIF('Week 4'!$C$7:$C$36,Summary!C7,'Week 4'!$S$7:$S$36)</f>
        <v>0</v>
      </c>
      <c r="N7" s="59">
        <f>SUMIF('Week 4'!$C$7:$C$36,Summary!C7,'Week 4'!$T$7:$T$36)</f>
        <v>0</v>
      </c>
      <c r="O7" s="59">
        <f>SUMIF('Week 4'!$C$7:$C$36,Summary!C7,'Week 4'!$U$7:$U$36)</f>
        <v>0</v>
      </c>
      <c r="P7" s="59">
        <f>SUMIF('Week 5'!$C$7:$C$36,Summary!C7,'Week 5'!$S$7:$S$36)</f>
        <v>0</v>
      </c>
      <c r="Q7" s="59">
        <f>SUMIF('Week 5'!$C$7:$C$36,Summary!C7,'Week 5'!$T$7:$T$36)</f>
        <v>0</v>
      </c>
      <c r="R7" s="59">
        <f>SUMIF('Week 5'!$C$7:$C$36,Summary!C7,'Week 5'!$U$7:$U$36)</f>
        <v>0</v>
      </c>
      <c r="S7" s="60"/>
      <c r="T7" s="61">
        <f>D7+G7+J7+M7+P7</f>
        <v>14</v>
      </c>
      <c r="U7" s="61">
        <f>E7+H7+K7+N7+Q7</f>
        <v>0</v>
      </c>
      <c r="V7" s="62">
        <f>U7+T7</f>
        <v>14</v>
      </c>
    </row>
    <row r="8" spans="2:22" s="3" customFormat="1" ht="19.95" customHeight="1" x14ac:dyDescent="0.3">
      <c r="B8" s="15">
        <f>B7+1</f>
        <v>2</v>
      </c>
      <c r="C8" s="16" t="s">
        <v>7</v>
      </c>
      <c r="D8" s="59">
        <f>SUMIF('Week 1'!$C$7:$C$36,Summary!C8,'Week 1'!$S$7:$S$36)</f>
        <v>30</v>
      </c>
      <c r="E8" s="59">
        <f>SUMIF('Week 1'!$C$7:$C$36,Summary!C8,'Week 1'!$T$7:$T$36)</f>
        <v>12</v>
      </c>
      <c r="F8" s="59">
        <f>SUMIF('Week 1'!$C$7:$C$36,Summary!C8,'Week 1'!$U$7:$U$36)</f>
        <v>42</v>
      </c>
      <c r="G8" s="59">
        <f>SUMIF('Week 2'!$C$7:$C$36,Summary!C8,'Week 2'!$S$7:$S$36)</f>
        <v>0</v>
      </c>
      <c r="H8" s="59">
        <f>SUMIF('Week 2'!$C$7:$C$36,Summary!C8,'Week 2'!$T$7:$T$36)</f>
        <v>0</v>
      </c>
      <c r="I8" s="59">
        <f>SUMIF('Week 2'!$C$7:$C$36,Summary!C8,'Week 2'!$U$7:$U$36)</f>
        <v>0</v>
      </c>
      <c r="J8" s="59">
        <f>SUMIF('Week 3'!$C$7:$C$36,Summary!C8,'Week 3'!$S$7:$S$36)</f>
        <v>0</v>
      </c>
      <c r="K8" s="59">
        <f>SUMIF('Week 3'!$C$7:$C$36,Summary!C8,'Week 3'!$T$7:$T$36)</f>
        <v>0</v>
      </c>
      <c r="L8" s="59">
        <f>SUMIF('Week 3'!$C$7:$C$36,Summary!C8,'Week 3'!$U$7:$U$36)</f>
        <v>0</v>
      </c>
      <c r="M8" s="59">
        <f>SUMIF('Week 4'!$C$7:$C$36,Summary!C8,'Week 4'!$S$7:$S$36)</f>
        <v>0</v>
      </c>
      <c r="N8" s="59">
        <f>SUMIF('Week 4'!$C$7:$C$36,Summary!C8,'Week 4'!$T$7:$T$36)</f>
        <v>0</v>
      </c>
      <c r="O8" s="59">
        <f>SUMIF('Week 4'!$C$7:$C$36,Summary!C8,'Week 4'!$U$7:$U$36)</f>
        <v>0</v>
      </c>
      <c r="P8" s="59">
        <f>SUMIF('Week 5'!$C$7:$C$36,Summary!C8,'Week 5'!$S$7:$S$36)</f>
        <v>0</v>
      </c>
      <c r="Q8" s="59">
        <f>SUMIF('Week 5'!$C$7:$C$36,Summary!C8,'Week 5'!$T$7:$T$36)</f>
        <v>0</v>
      </c>
      <c r="R8" s="59">
        <f>SUMIF('Week 5'!$C$7:$C$36,Summary!C8,'Week 5'!$U$7:$U$36)</f>
        <v>0</v>
      </c>
      <c r="S8" s="60"/>
      <c r="T8" s="61">
        <f t="shared" ref="T8:T36" si="0">D8+G8+J8+M8+P8</f>
        <v>30</v>
      </c>
      <c r="U8" s="61">
        <f t="shared" ref="U8:U36" si="1">E8+H8+K8+N8+Q8</f>
        <v>12</v>
      </c>
      <c r="V8" s="62">
        <f t="shared" ref="V8:V36" si="2">U8+T8</f>
        <v>42</v>
      </c>
    </row>
    <row r="9" spans="2:22" s="3" customFormat="1" ht="19.95" customHeight="1" x14ac:dyDescent="0.3">
      <c r="B9" s="15">
        <f t="shared" ref="B9:B36" si="3">B8+1</f>
        <v>3</v>
      </c>
      <c r="C9" s="16" t="s">
        <v>8</v>
      </c>
      <c r="D9" s="59">
        <f>SUMIF('Week 1'!$C$7:$C$36,Summary!C9,'Week 1'!$S$7:$S$36)</f>
        <v>21</v>
      </c>
      <c r="E9" s="59">
        <f>SUMIF('Week 1'!$C$7:$C$36,Summary!C9,'Week 1'!$T$7:$T$36)</f>
        <v>0</v>
      </c>
      <c r="F9" s="59">
        <f>SUMIF('Week 1'!$C$7:$C$36,Summary!C9,'Week 1'!$U$7:$U$36)</f>
        <v>21</v>
      </c>
      <c r="G9" s="59">
        <f>SUMIF('Week 2'!$C$7:$C$36,Summary!C9,'Week 2'!$S$7:$S$36)</f>
        <v>0</v>
      </c>
      <c r="H9" s="59">
        <f>SUMIF('Week 2'!$C$7:$C$36,Summary!C9,'Week 2'!$T$7:$T$36)</f>
        <v>0</v>
      </c>
      <c r="I9" s="59">
        <f>SUMIF('Week 2'!$C$7:$C$36,Summary!C9,'Week 2'!$U$7:$U$36)</f>
        <v>0</v>
      </c>
      <c r="J9" s="59">
        <f>SUMIF('Week 3'!$C$7:$C$36,Summary!C9,'Week 3'!$S$7:$S$36)</f>
        <v>0</v>
      </c>
      <c r="K9" s="59">
        <f>SUMIF('Week 3'!$C$7:$C$36,Summary!C9,'Week 3'!$T$7:$T$36)</f>
        <v>0</v>
      </c>
      <c r="L9" s="59">
        <f>SUMIF('Week 3'!$C$7:$C$36,Summary!C9,'Week 3'!$U$7:$U$36)</f>
        <v>0</v>
      </c>
      <c r="M9" s="59">
        <f>SUMIF('Week 4'!$C$7:$C$36,Summary!C9,'Week 4'!$S$7:$S$36)</f>
        <v>0</v>
      </c>
      <c r="N9" s="59">
        <f>SUMIF('Week 4'!$C$7:$C$36,Summary!C9,'Week 4'!$T$7:$T$36)</f>
        <v>0</v>
      </c>
      <c r="O9" s="59">
        <f>SUMIF('Week 4'!$C$7:$C$36,Summary!C9,'Week 4'!$U$7:$U$36)</f>
        <v>0</v>
      </c>
      <c r="P9" s="59">
        <f>SUMIF('Week 5'!$C$7:$C$36,Summary!C9,'Week 5'!$S$7:$S$36)</f>
        <v>0</v>
      </c>
      <c r="Q9" s="59">
        <f>SUMIF('Week 5'!$C$7:$C$36,Summary!C9,'Week 5'!$T$7:$T$36)</f>
        <v>0</v>
      </c>
      <c r="R9" s="59">
        <f>SUMIF('Week 5'!$C$7:$C$36,Summary!C9,'Week 5'!$U$7:$U$36)</f>
        <v>0</v>
      </c>
      <c r="S9" s="60"/>
      <c r="T9" s="61">
        <f t="shared" si="0"/>
        <v>21</v>
      </c>
      <c r="U9" s="61">
        <f t="shared" si="1"/>
        <v>0</v>
      </c>
      <c r="V9" s="62">
        <f t="shared" si="2"/>
        <v>21</v>
      </c>
    </row>
    <row r="10" spans="2:22" s="3" customFormat="1" ht="19.95" customHeight="1" x14ac:dyDescent="0.3">
      <c r="B10" s="15">
        <f t="shared" si="3"/>
        <v>4</v>
      </c>
      <c r="C10" s="16" t="s">
        <v>9</v>
      </c>
      <c r="D10" s="59">
        <f>SUMIF('Week 1'!$C$7:$C$36,Summary!C10,'Week 1'!$S$7:$S$36)</f>
        <v>0</v>
      </c>
      <c r="E10" s="59">
        <f>SUMIF('Week 1'!$C$7:$C$36,Summary!C10,'Week 1'!$T$7:$T$36)</f>
        <v>0</v>
      </c>
      <c r="F10" s="59">
        <f>SUMIF('Week 1'!$C$7:$C$36,Summary!C10,'Week 1'!$U$7:$U$36)</f>
        <v>0</v>
      </c>
      <c r="G10" s="59">
        <f>SUMIF('Week 2'!$C$7:$C$36,Summary!C10,'Week 2'!$S$7:$S$36)</f>
        <v>0</v>
      </c>
      <c r="H10" s="59">
        <f>SUMIF('Week 2'!$C$7:$C$36,Summary!C10,'Week 2'!$T$7:$T$36)</f>
        <v>0</v>
      </c>
      <c r="I10" s="59">
        <f>SUMIF('Week 2'!$C$7:$C$36,Summary!C10,'Week 2'!$U$7:$U$36)</f>
        <v>0</v>
      </c>
      <c r="J10" s="59">
        <f>SUMIF('Week 3'!$C$7:$C$36,Summary!C10,'Week 3'!$S$7:$S$36)</f>
        <v>0</v>
      </c>
      <c r="K10" s="59">
        <f>SUMIF('Week 3'!$C$7:$C$36,Summary!C10,'Week 3'!$T$7:$T$36)</f>
        <v>0</v>
      </c>
      <c r="L10" s="59">
        <f>SUMIF('Week 3'!$C$7:$C$36,Summary!C10,'Week 3'!$U$7:$U$36)</f>
        <v>0</v>
      </c>
      <c r="M10" s="59">
        <f>SUMIF('Week 4'!$C$7:$C$36,Summary!C10,'Week 4'!$S$7:$S$36)</f>
        <v>0</v>
      </c>
      <c r="N10" s="59">
        <f>SUMIF('Week 4'!$C$7:$C$36,Summary!C10,'Week 4'!$T$7:$T$36)</f>
        <v>0</v>
      </c>
      <c r="O10" s="59">
        <f>SUMIF('Week 4'!$C$7:$C$36,Summary!C10,'Week 4'!$U$7:$U$36)</f>
        <v>0</v>
      </c>
      <c r="P10" s="59">
        <f>SUMIF('Week 5'!$C$7:$C$36,Summary!C10,'Week 5'!$S$7:$S$36)</f>
        <v>0</v>
      </c>
      <c r="Q10" s="59">
        <f>SUMIF('Week 5'!$C$7:$C$36,Summary!C10,'Week 5'!$T$7:$T$36)</f>
        <v>0</v>
      </c>
      <c r="R10" s="59">
        <f>SUMIF('Week 5'!$C$7:$C$36,Summary!C10,'Week 5'!$U$7:$U$36)</f>
        <v>0</v>
      </c>
      <c r="S10" s="60"/>
      <c r="T10" s="61">
        <f t="shared" si="0"/>
        <v>0</v>
      </c>
      <c r="U10" s="61">
        <f t="shared" si="1"/>
        <v>0</v>
      </c>
      <c r="V10" s="62">
        <f t="shared" si="2"/>
        <v>0</v>
      </c>
    </row>
    <row r="11" spans="2:22" s="3" customFormat="1" ht="19.95" customHeight="1" x14ac:dyDescent="0.3">
      <c r="B11" s="15">
        <f t="shared" si="3"/>
        <v>5</v>
      </c>
      <c r="C11" s="16" t="s">
        <v>10</v>
      </c>
      <c r="D11" s="59">
        <f>SUMIF('Week 1'!$C$7:$C$36,Summary!C11,'Week 1'!$S$7:$S$36)</f>
        <v>0</v>
      </c>
      <c r="E11" s="59">
        <f>SUMIF('Week 1'!$C$7:$C$36,Summary!C11,'Week 1'!$T$7:$T$36)</f>
        <v>0</v>
      </c>
      <c r="F11" s="59">
        <f>SUMIF('Week 1'!$C$7:$C$36,Summary!C11,'Week 1'!$U$7:$U$36)</f>
        <v>0</v>
      </c>
      <c r="G11" s="59">
        <f>SUMIF('Week 2'!$C$7:$C$36,Summary!C11,'Week 2'!$S$7:$S$36)</f>
        <v>0</v>
      </c>
      <c r="H11" s="59">
        <f>SUMIF('Week 2'!$C$7:$C$36,Summary!C11,'Week 2'!$T$7:$T$36)</f>
        <v>0</v>
      </c>
      <c r="I11" s="59">
        <f>SUMIF('Week 2'!$C$7:$C$36,Summary!C11,'Week 2'!$U$7:$U$36)</f>
        <v>0</v>
      </c>
      <c r="J11" s="59">
        <f>SUMIF('Week 3'!$C$7:$C$36,Summary!C11,'Week 3'!$S$7:$S$36)</f>
        <v>0</v>
      </c>
      <c r="K11" s="59">
        <f>SUMIF('Week 3'!$C$7:$C$36,Summary!C11,'Week 3'!$T$7:$T$36)</f>
        <v>0</v>
      </c>
      <c r="L11" s="59">
        <f>SUMIF('Week 3'!$C$7:$C$36,Summary!C11,'Week 3'!$U$7:$U$36)</f>
        <v>0</v>
      </c>
      <c r="M11" s="59">
        <f>SUMIF('Week 4'!$C$7:$C$36,Summary!C11,'Week 4'!$S$7:$S$36)</f>
        <v>0</v>
      </c>
      <c r="N11" s="59">
        <f>SUMIF('Week 4'!$C$7:$C$36,Summary!C11,'Week 4'!$T$7:$T$36)</f>
        <v>0</v>
      </c>
      <c r="O11" s="59">
        <f>SUMIF('Week 4'!$C$7:$C$36,Summary!C11,'Week 4'!$U$7:$U$36)</f>
        <v>0</v>
      </c>
      <c r="P11" s="59">
        <f>SUMIF('Week 5'!$C$7:$C$36,Summary!C11,'Week 5'!$S$7:$S$36)</f>
        <v>0</v>
      </c>
      <c r="Q11" s="59">
        <f>SUMIF('Week 5'!$C$7:$C$36,Summary!C11,'Week 5'!$T$7:$T$36)</f>
        <v>0</v>
      </c>
      <c r="R11" s="59">
        <f>SUMIF('Week 5'!$C$7:$C$36,Summary!C11,'Week 5'!$U$7:$U$36)</f>
        <v>0</v>
      </c>
      <c r="S11" s="60"/>
      <c r="T11" s="61">
        <f t="shared" si="0"/>
        <v>0</v>
      </c>
      <c r="U11" s="61">
        <f t="shared" si="1"/>
        <v>0</v>
      </c>
      <c r="V11" s="62">
        <f t="shared" si="2"/>
        <v>0</v>
      </c>
    </row>
    <row r="12" spans="2:22" s="3" customFormat="1" ht="19.95" customHeight="1" x14ac:dyDescent="0.3">
      <c r="B12" s="15">
        <f t="shared" si="3"/>
        <v>6</v>
      </c>
      <c r="C12" s="16"/>
      <c r="D12" s="59">
        <f>SUMIF('Week 1'!$C$7:$C$36,Summary!C12,'Week 1'!$S$7:$S$36)</f>
        <v>0</v>
      </c>
      <c r="E12" s="59">
        <f>SUMIF('Week 1'!$C$7:$C$36,Summary!C12,'Week 1'!$T$7:$T$36)</f>
        <v>0</v>
      </c>
      <c r="F12" s="59">
        <f>SUMIF('Week 1'!$C$7:$C$36,Summary!C12,'Week 1'!$U$7:$U$36)</f>
        <v>0</v>
      </c>
      <c r="G12" s="59">
        <f>SUMIF('Week 2'!$C$7:$C$36,Summary!C12,'Week 2'!$S$7:$S$36)</f>
        <v>0</v>
      </c>
      <c r="H12" s="59">
        <f>SUMIF('Week 2'!$C$7:$C$36,Summary!C12,'Week 2'!$T$7:$T$36)</f>
        <v>0</v>
      </c>
      <c r="I12" s="59">
        <f>SUMIF('Week 2'!$C$7:$C$36,Summary!C12,'Week 2'!$U$7:$U$36)</f>
        <v>0</v>
      </c>
      <c r="J12" s="59">
        <f>SUMIF('Week 3'!$C$7:$C$36,Summary!C12,'Week 3'!$S$7:$S$36)</f>
        <v>0</v>
      </c>
      <c r="K12" s="59">
        <f>SUMIF('Week 3'!$C$7:$C$36,Summary!C12,'Week 3'!$T$7:$T$36)</f>
        <v>0</v>
      </c>
      <c r="L12" s="59">
        <f>SUMIF('Week 3'!$C$7:$C$36,Summary!C12,'Week 3'!$U$7:$U$36)</f>
        <v>0</v>
      </c>
      <c r="M12" s="59">
        <f>SUMIF('Week 4'!$C$7:$C$36,Summary!C12,'Week 4'!$S$7:$S$36)</f>
        <v>0</v>
      </c>
      <c r="N12" s="59">
        <f>SUMIF('Week 4'!$C$7:$C$36,Summary!C12,'Week 4'!$T$7:$T$36)</f>
        <v>0</v>
      </c>
      <c r="O12" s="59">
        <f>SUMIF('Week 4'!$C$7:$C$36,Summary!C12,'Week 4'!$U$7:$U$36)</f>
        <v>0</v>
      </c>
      <c r="P12" s="59">
        <f>SUMIF('Week 5'!$C$7:$C$36,Summary!C12,'Week 5'!$S$7:$S$36)</f>
        <v>0</v>
      </c>
      <c r="Q12" s="59">
        <f>SUMIF('Week 5'!$C$7:$C$36,Summary!C12,'Week 5'!$T$7:$T$36)</f>
        <v>0</v>
      </c>
      <c r="R12" s="59">
        <f>SUMIF('Week 5'!$C$7:$C$36,Summary!C12,'Week 5'!$U$7:$U$36)</f>
        <v>0</v>
      </c>
      <c r="S12" s="60"/>
      <c r="T12" s="61">
        <f t="shared" si="0"/>
        <v>0</v>
      </c>
      <c r="U12" s="61">
        <f t="shared" si="1"/>
        <v>0</v>
      </c>
      <c r="V12" s="62">
        <f t="shared" si="2"/>
        <v>0</v>
      </c>
    </row>
    <row r="13" spans="2:22" s="3" customFormat="1" ht="19.95" customHeight="1" x14ac:dyDescent="0.3">
      <c r="B13" s="15">
        <f t="shared" si="3"/>
        <v>7</v>
      </c>
      <c r="C13" s="16"/>
      <c r="D13" s="59">
        <f>SUMIF('Week 1'!$C$7:$C$36,Summary!C13,'Week 1'!$S$7:$S$36)</f>
        <v>0</v>
      </c>
      <c r="E13" s="59">
        <f>SUMIF('Week 1'!$C$7:$C$36,Summary!C13,'Week 1'!$T$7:$T$36)</f>
        <v>0</v>
      </c>
      <c r="F13" s="59">
        <f>SUMIF('Week 1'!$C$7:$C$36,Summary!C13,'Week 1'!$U$7:$U$36)</f>
        <v>0</v>
      </c>
      <c r="G13" s="59">
        <f>SUMIF('Week 2'!$C$7:$C$36,Summary!C13,'Week 2'!$S$7:$S$36)</f>
        <v>0</v>
      </c>
      <c r="H13" s="59">
        <f>SUMIF('Week 2'!$C$7:$C$36,Summary!C13,'Week 2'!$T$7:$T$36)</f>
        <v>0</v>
      </c>
      <c r="I13" s="59">
        <f>SUMIF('Week 2'!$C$7:$C$36,Summary!C13,'Week 2'!$U$7:$U$36)</f>
        <v>0</v>
      </c>
      <c r="J13" s="59">
        <f>SUMIF('Week 3'!$C$7:$C$36,Summary!C13,'Week 3'!$S$7:$S$36)</f>
        <v>0</v>
      </c>
      <c r="K13" s="59">
        <f>SUMIF('Week 3'!$C$7:$C$36,Summary!C13,'Week 3'!$T$7:$T$36)</f>
        <v>0</v>
      </c>
      <c r="L13" s="59">
        <f>SUMIF('Week 3'!$C$7:$C$36,Summary!C13,'Week 3'!$U$7:$U$36)</f>
        <v>0</v>
      </c>
      <c r="M13" s="59">
        <f>SUMIF('Week 4'!$C$7:$C$36,Summary!C13,'Week 4'!$S$7:$S$36)</f>
        <v>0</v>
      </c>
      <c r="N13" s="59">
        <f>SUMIF('Week 4'!$C$7:$C$36,Summary!C13,'Week 4'!$T$7:$T$36)</f>
        <v>0</v>
      </c>
      <c r="O13" s="59">
        <f>SUMIF('Week 4'!$C$7:$C$36,Summary!C13,'Week 4'!$U$7:$U$36)</f>
        <v>0</v>
      </c>
      <c r="P13" s="59">
        <f>SUMIF('Week 5'!$C$7:$C$36,Summary!C13,'Week 5'!$S$7:$S$36)</f>
        <v>0</v>
      </c>
      <c r="Q13" s="59">
        <f>SUMIF('Week 5'!$C$7:$C$36,Summary!C13,'Week 5'!$T$7:$T$36)</f>
        <v>0</v>
      </c>
      <c r="R13" s="59">
        <f>SUMIF('Week 5'!$C$7:$C$36,Summary!C13,'Week 5'!$U$7:$U$36)</f>
        <v>0</v>
      </c>
      <c r="S13" s="60"/>
      <c r="T13" s="61">
        <f t="shared" si="0"/>
        <v>0</v>
      </c>
      <c r="U13" s="61">
        <f t="shared" si="1"/>
        <v>0</v>
      </c>
      <c r="V13" s="62">
        <f t="shared" si="2"/>
        <v>0</v>
      </c>
    </row>
    <row r="14" spans="2:22" s="3" customFormat="1" ht="19.95" customHeight="1" x14ac:dyDescent="0.3">
      <c r="B14" s="15">
        <f t="shared" si="3"/>
        <v>8</v>
      </c>
      <c r="C14" s="16"/>
      <c r="D14" s="59">
        <f>SUMIF('Week 1'!$C$7:$C$36,Summary!C14,'Week 1'!$S$7:$S$36)</f>
        <v>0</v>
      </c>
      <c r="E14" s="59">
        <f>SUMIF('Week 1'!$C$7:$C$36,Summary!C14,'Week 1'!$T$7:$T$36)</f>
        <v>0</v>
      </c>
      <c r="F14" s="59">
        <f>SUMIF('Week 1'!$C$7:$C$36,Summary!C14,'Week 1'!$U$7:$U$36)</f>
        <v>0</v>
      </c>
      <c r="G14" s="59">
        <f>SUMIF('Week 2'!$C$7:$C$36,Summary!C14,'Week 2'!$S$7:$S$36)</f>
        <v>0</v>
      </c>
      <c r="H14" s="59">
        <f>SUMIF('Week 2'!$C$7:$C$36,Summary!C14,'Week 2'!$T$7:$T$36)</f>
        <v>0</v>
      </c>
      <c r="I14" s="59">
        <f>SUMIF('Week 2'!$C$7:$C$36,Summary!C14,'Week 2'!$U$7:$U$36)</f>
        <v>0</v>
      </c>
      <c r="J14" s="59">
        <f>SUMIF('Week 3'!$C$7:$C$36,Summary!C14,'Week 3'!$S$7:$S$36)</f>
        <v>0</v>
      </c>
      <c r="K14" s="59">
        <f>SUMIF('Week 3'!$C$7:$C$36,Summary!C14,'Week 3'!$T$7:$T$36)</f>
        <v>0</v>
      </c>
      <c r="L14" s="59">
        <f>SUMIF('Week 3'!$C$7:$C$36,Summary!C14,'Week 3'!$U$7:$U$36)</f>
        <v>0</v>
      </c>
      <c r="M14" s="59">
        <f>SUMIF('Week 4'!$C$7:$C$36,Summary!C14,'Week 4'!$S$7:$S$36)</f>
        <v>0</v>
      </c>
      <c r="N14" s="59">
        <f>SUMIF('Week 4'!$C$7:$C$36,Summary!C14,'Week 4'!$T$7:$T$36)</f>
        <v>0</v>
      </c>
      <c r="O14" s="59">
        <f>SUMIF('Week 4'!$C$7:$C$36,Summary!C14,'Week 4'!$U$7:$U$36)</f>
        <v>0</v>
      </c>
      <c r="P14" s="59">
        <f>SUMIF('Week 5'!$C$7:$C$36,Summary!C14,'Week 5'!$S$7:$S$36)</f>
        <v>0</v>
      </c>
      <c r="Q14" s="59">
        <f>SUMIF('Week 5'!$C$7:$C$36,Summary!C14,'Week 5'!$T$7:$T$36)</f>
        <v>0</v>
      </c>
      <c r="R14" s="59">
        <f>SUMIF('Week 5'!$C$7:$C$36,Summary!C14,'Week 5'!$U$7:$U$36)</f>
        <v>0</v>
      </c>
      <c r="S14" s="60"/>
      <c r="T14" s="61">
        <f t="shared" si="0"/>
        <v>0</v>
      </c>
      <c r="U14" s="61">
        <f t="shared" si="1"/>
        <v>0</v>
      </c>
      <c r="V14" s="62">
        <f t="shared" si="2"/>
        <v>0</v>
      </c>
    </row>
    <row r="15" spans="2:22" s="3" customFormat="1" ht="19.95" customHeight="1" x14ac:dyDescent="0.3">
      <c r="B15" s="15">
        <f t="shared" si="3"/>
        <v>9</v>
      </c>
      <c r="C15" s="16"/>
      <c r="D15" s="59">
        <f>SUMIF('Week 1'!$C$7:$C$36,Summary!C15,'Week 1'!$S$7:$S$36)</f>
        <v>0</v>
      </c>
      <c r="E15" s="59">
        <f>SUMIF('Week 1'!$C$7:$C$36,Summary!C15,'Week 1'!$T$7:$T$36)</f>
        <v>0</v>
      </c>
      <c r="F15" s="59">
        <f>SUMIF('Week 1'!$C$7:$C$36,Summary!C15,'Week 1'!$U$7:$U$36)</f>
        <v>0</v>
      </c>
      <c r="G15" s="59">
        <f>SUMIF('Week 2'!$C$7:$C$36,Summary!C15,'Week 2'!$S$7:$S$36)</f>
        <v>0</v>
      </c>
      <c r="H15" s="59">
        <f>SUMIF('Week 2'!$C$7:$C$36,Summary!C15,'Week 2'!$T$7:$T$36)</f>
        <v>0</v>
      </c>
      <c r="I15" s="59">
        <f>SUMIF('Week 2'!$C$7:$C$36,Summary!C15,'Week 2'!$U$7:$U$36)</f>
        <v>0</v>
      </c>
      <c r="J15" s="59">
        <f>SUMIF('Week 3'!$C$7:$C$36,Summary!C15,'Week 3'!$S$7:$S$36)</f>
        <v>0</v>
      </c>
      <c r="K15" s="59">
        <f>SUMIF('Week 3'!$C$7:$C$36,Summary!C15,'Week 3'!$T$7:$T$36)</f>
        <v>0</v>
      </c>
      <c r="L15" s="59">
        <f>SUMIF('Week 3'!$C$7:$C$36,Summary!C15,'Week 3'!$U$7:$U$36)</f>
        <v>0</v>
      </c>
      <c r="M15" s="59">
        <f>SUMIF('Week 4'!$C$7:$C$36,Summary!C15,'Week 4'!$S$7:$S$36)</f>
        <v>0</v>
      </c>
      <c r="N15" s="59">
        <f>SUMIF('Week 4'!$C$7:$C$36,Summary!C15,'Week 4'!$T$7:$T$36)</f>
        <v>0</v>
      </c>
      <c r="O15" s="59">
        <f>SUMIF('Week 4'!$C$7:$C$36,Summary!C15,'Week 4'!$U$7:$U$36)</f>
        <v>0</v>
      </c>
      <c r="P15" s="59">
        <f>SUMIF('Week 5'!$C$7:$C$36,Summary!C15,'Week 5'!$S$7:$S$36)</f>
        <v>0</v>
      </c>
      <c r="Q15" s="59">
        <f>SUMIF('Week 5'!$C$7:$C$36,Summary!C15,'Week 5'!$T$7:$T$36)</f>
        <v>0</v>
      </c>
      <c r="R15" s="59">
        <f>SUMIF('Week 5'!$C$7:$C$36,Summary!C15,'Week 5'!$U$7:$U$36)</f>
        <v>0</v>
      </c>
      <c r="S15" s="60"/>
      <c r="T15" s="61">
        <f t="shared" si="0"/>
        <v>0</v>
      </c>
      <c r="U15" s="61">
        <f t="shared" si="1"/>
        <v>0</v>
      </c>
      <c r="V15" s="62">
        <f t="shared" si="2"/>
        <v>0</v>
      </c>
    </row>
    <row r="16" spans="2:22" s="3" customFormat="1" ht="19.95" customHeight="1" x14ac:dyDescent="0.3">
      <c r="B16" s="15">
        <f t="shared" si="3"/>
        <v>10</v>
      </c>
      <c r="C16" s="16"/>
      <c r="D16" s="59">
        <f>SUMIF('Week 1'!$C$7:$C$36,Summary!C16,'Week 1'!$S$7:$S$36)</f>
        <v>0</v>
      </c>
      <c r="E16" s="59">
        <f>SUMIF('Week 1'!$C$7:$C$36,Summary!C16,'Week 1'!$T$7:$T$36)</f>
        <v>0</v>
      </c>
      <c r="F16" s="59">
        <f>SUMIF('Week 1'!$C$7:$C$36,Summary!C16,'Week 1'!$U$7:$U$36)</f>
        <v>0</v>
      </c>
      <c r="G16" s="59">
        <f>SUMIF('Week 2'!$C$7:$C$36,Summary!C16,'Week 2'!$S$7:$S$36)</f>
        <v>0</v>
      </c>
      <c r="H16" s="59">
        <f>SUMIF('Week 2'!$C$7:$C$36,Summary!C16,'Week 2'!$T$7:$T$36)</f>
        <v>0</v>
      </c>
      <c r="I16" s="59">
        <f>SUMIF('Week 2'!$C$7:$C$36,Summary!C16,'Week 2'!$U$7:$U$36)</f>
        <v>0</v>
      </c>
      <c r="J16" s="59">
        <f>SUMIF('Week 3'!$C$7:$C$36,Summary!C16,'Week 3'!$S$7:$S$36)</f>
        <v>0</v>
      </c>
      <c r="K16" s="59">
        <f>SUMIF('Week 3'!$C$7:$C$36,Summary!C16,'Week 3'!$T$7:$T$36)</f>
        <v>0</v>
      </c>
      <c r="L16" s="59">
        <f>SUMIF('Week 3'!$C$7:$C$36,Summary!C16,'Week 3'!$U$7:$U$36)</f>
        <v>0</v>
      </c>
      <c r="M16" s="59">
        <f>SUMIF('Week 4'!$C$7:$C$36,Summary!C16,'Week 4'!$S$7:$S$36)</f>
        <v>0</v>
      </c>
      <c r="N16" s="59">
        <f>SUMIF('Week 4'!$C$7:$C$36,Summary!C16,'Week 4'!$T$7:$T$36)</f>
        <v>0</v>
      </c>
      <c r="O16" s="59">
        <f>SUMIF('Week 4'!$C$7:$C$36,Summary!C16,'Week 4'!$U$7:$U$36)</f>
        <v>0</v>
      </c>
      <c r="P16" s="59">
        <f>SUMIF('Week 5'!$C$7:$C$36,Summary!C16,'Week 5'!$S$7:$S$36)</f>
        <v>0</v>
      </c>
      <c r="Q16" s="59">
        <f>SUMIF('Week 5'!$C$7:$C$36,Summary!C16,'Week 5'!$T$7:$T$36)</f>
        <v>0</v>
      </c>
      <c r="R16" s="59">
        <f>SUMIF('Week 5'!$C$7:$C$36,Summary!C16,'Week 5'!$U$7:$U$36)</f>
        <v>0</v>
      </c>
      <c r="S16" s="60"/>
      <c r="T16" s="61">
        <f t="shared" si="0"/>
        <v>0</v>
      </c>
      <c r="U16" s="61">
        <f t="shared" si="1"/>
        <v>0</v>
      </c>
      <c r="V16" s="62">
        <f t="shared" si="2"/>
        <v>0</v>
      </c>
    </row>
    <row r="17" spans="2:22" s="3" customFormat="1" ht="19.95" customHeight="1" x14ac:dyDescent="0.3">
      <c r="B17" s="15">
        <f t="shared" si="3"/>
        <v>11</v>
      </c>
      <c r="C17" s="16"/>
      <c r="D17" s="59">
        <f>SUMIF('Week 1'!$C$7:$C$36,Summary!C17,'Week 1'!$S$7:$S$36)</f>
        <v>0</v>
      </c>
      <c r="E17" s="59">
        <f>SUMIF('Week 1'!$C$7:$C$36,Summary!C17,'Week 1'!$T$7:$T$36)</f>
        <v>0</v>
      </c>
      <c r="F17" s="59">
        <f>SUMIF('Week 1'!$C$7:$C$36,Summary!C17,'Week 1'!$U$7:$U$36)</f>
        <v>0</v>
      </c>
      <c r="G17" s="59">
        <f>SUMIF('Week 2'!$C$7:$C$36,Summary!C17,'Week 2'!$S$7:$S$36)</f>
        <v>0</v>
      </c>
      <c r="H17" s="59">
        <f>SUMIF('Week 2'!$C$7:$C$36,Summary!C17,'Week 2'!$T$7:$T$36)</f>
        <v>0</v>
      </c>
      <c r="I17" s="59">
        <f>SUMIF('Week 2'!$C$7:$C$36,Summary!C17,'Week 2'!$U$7:$U$36)</f>
        <v>0</v>
      </c>
      <c r="J17" s="59">
        <f>SUMIF('Week 3'!$C$7:$C$36,Summary!C17,'Week 3'!$S$7:$S$36)</f>
        <v>0</v>
      </c>
      <c r="K17" s="59">
        <f>SUMIF('Week 3'!$C$7:$C$36,Summary!C17,'Week 3'!$T$7:$T$36)</f>
        <v>0</v>
      </c>
      <c r="L17" s="59">
        <f>SUMIF('Week 3'!$C$7:$C$36,Summary!C17,'Week 3'!$U$7:$U$36)</f>
        <v>0</v>
      </c>
      <c r="M17" s="59">
        <f>SUMIF('Week 4'!$C$7:$C$36,Summary!C17,'Week 4'!$S$7:$S$36)</f>
        <v>0</v>
      </c>
      <c r="N17" s="59">
        <f>SUMIF('Week 4'!$C$7:$C$36,Summary!C17,'Week 4'!$T$7:$T$36)</f>
        <v>0</v>
      </c>
      <c r="O17" s="59">
        <f>SUMIF('Week 4'!$C$7:$C$36,Summary!C17,'Week 4'!$U$7:$U$36)</f>
        <v>0</v>
      </c>
      <c r="P17" s="59">
        <f>SUMIF('Week 5'!$C$7:$C$36,Summary!C17,'Week 5'!$S$7:$S$36)</f>
        <v>0</v>
      </c>
      <c r="Q17" s="59">
        <f>SUMIF('Week 5'!$C$7:$C$36,Summary!C17,'Week 5'!$T$7:$T$36)</f>
        <v>0</v>
      </c>
      <c r="R17" s="59">
        <f>SUMIF('Week 5'!$C$7:$C$36,Summary!C17,'Week 5'!$U$7:$U$36)</f>
        <v>0</v>
      </c>
      <c r="S17" s="60"/>
      <c r="T17" s="61">
        <f t="shared" si="0"/>
        <v>0</v>
      </c>
      <c r="U17" s="61">
        <f t="shared" si="1"/>
        <v>0</v>
      </c>
      <c r="V17" s="62">
        <f t="shared" si="2"/>
        <v>0</v>
      </c>
    </row>
    <row r="18" spans="2:22" s="3" customFormat="1" ht="19.95" customHeight="1" x14ac:dyDescent="0.3">
      <c r="B18" s="15">
        <f t="shared" si="3"/>
        <v>12</v>
      </c>
      <c r="C18" s="16"/>
      <c r="D18" s="59">
        <f>SUMIF('Week 1'!$C$7:$C$36,Summary!C18,'Week 1'!$S$7:$S$36)</f>
        <v>0</v>
      </c>
      <c r="E18" s="59">
        <f>SUMIF('Week 1'!$C$7:$C$36,Summary!C18,'Week 1'!$T$7:$T$36)</f>
        <v>0</v>
      </c>
      <c r="F18" s="59">
        <f>SUMIF('Week 1'!$C$7:$C$36,Summary!C18,'Week 1'!$U$7:$U$36)</f>
        <v>0</v>
      </c>
      <c r="G18" s="59">
        <f>SUMIF('Week 2'!$C$7:$C$36,Summary!C18,'Week 2'!$S$7:$S$36)</f>
        <v>0</v>
      </c>
      <c r="H18" s="59">
        <f>SUMIF('Week 2'!$C$7:$C$36,Summary!C18,'Week 2'!$T$7:$T$36)</f>
        <v>0</v>
      </c>
      <c r="I18" s="59">
        <f>SUMIF('Week 2'!$C$7:$C$36,Summary!C18,'Week 2'!$U$7:$U$36)</f>
        <v>0</v>
      </c>
      <c r="J18" s="59">
        <f>SUMIF('Week 3'!$C$7:$C$36,Summary!C18,'Week 3'!$S$7:$S$36)</f>
        <v>0</v>
      </c>
      <c r="K18" s="59">
        <f>SUMIF('Week 3'!$C$7:$C$36,Summary!C18,'Week 3'!$T$7:$T$36)</f>
        <v>0</v>
      </c>
      <c r="L18" s="59">
        <f>SUMIF('Week 3'!$C$7:$C$36,Summary!C18,'Week 3'!$U$7:$U$36)</f>
        <v>0</v>
      </c>
      <c r="M18" s="59">
        <f>SUMIF('Week 4'!$C$7:$C$36,Summary!C18,'Week 4'!$S$7:$S$36)</f>
        <v>0</v>
      </c>
      <c r="N18" s="59">
        <f>SUMIF('Week 4'!$C$7:$C$36,Summary!C18,'Week 4'!$T$7:$T$36)</f>
        <v>0</v>
      </c>
      <c r="O18" s="59">
        <f>SUMIF('Week 4'!$C$7:$C$36,Summary!C18,'Week 4'!$U$7:$U$36)</f>
        <v>0</v>
      </c>
      <c r="P18" s="59">
        <f>SUMIF('Week 5'!$C$7:$C$36,Summary!C18,'Week 5'!$S$7:$S$36)</f>
        <v>0</v>
      </c>
      <c r="Q18" s="59">
        <f>SUMIF('Week 5'!$C$7:$C$36,Summary!C18,'Week 5'!$T$7:$T$36)</f>
        <v>0</v>
      </c>
      <c r="R18" s="59">
        <f>SUMIF('Week 5'!$C$7:$C$36,Summary!C18,'Week 5'!$U$7:$U$36)</f>
        <v>0</v>
      </c>
      <c r="S18" s="60"/>
      <c r="T18" s="61">
        <f t="shared" si="0"/>
        <v>0</v>
      </c>
      <c r="U18" s="61">
        <f t="shared" si="1"/>
        <v>0</v>
      </c>
      <c r="V18" s="62">
        <f t="shared" si="2"/>
        <v>0</v>
      </c>
    </row>
    <row r="19" spans="2:22" s="3" customFormat="1" ht="19.95" customHeight="1" x14ac:dyDescent="0.3">
      <c r="B19" s="15">
        <f t="shared" si="3"/>
        <v>13</v>
      </c>
      <c r="C19" s="16"/>
      <c r="D19" s="59">
        <f>SUMIF('Week 1'!$C$7:$C$36,Summary!C19,'Week 1'!$S$7:$S$36)</f>
        <v>0</v>
      </c>
      <c r="E19" s="59">
        <f>SUMIF('Week 1'!$C$7:$C$36,Summary!C19,'Week 1'!$T$7:$T$36)</f>
        <v>0</v>
      </c>
      <c r="F19" s="59">
        <f>SUMIF('Week 1'!$C$7:$C$36,Summary!C19,'Week 1'!$U$7:$U$36)</f>
        <v>0</v>
      </c>
      <c r="G19" s="59">
        <f>SUMIF('Week 2'!$C$7:$C$36,Summary!C19,'Week 2'!$S$7:$S$36)</f>
        <v>0</v>
      </c>
      <c r="H19" s="59">
        <f>SUMIF('Week 2'!$C$7:$C$36,Summary!C19,'Week 2'!$T$7:$T$36)</f>
        <v>0</v>
      </c>
      <c r="I19" s="59">
        <f>SUMIF('Week 2'!$C$7:$C$36,Summary!C19,'Week 2'!$U$7:$U$36)</f>
        <v>0</v>
      </c>
      <c r="J19" s="59">
        <f>SUMIF('Week 3'!$C$7:$C$36,Summary!C19,'Week 3'!$S$7:$S$36)</f>
        <v>0</v>
      </c>
      <c r="K19" s="59">
        <f>SUMIF('Week 3'!$C$7:$C$36,Summary!C19,'Week 3'!$T$7:$T$36)</f>
        <v>0</v>
      </c>
      <c r="L19" s="59">
        <f>SUMIF('Week 3'!$C$7:$C$36,Summary!C19,'Week 3'!$U$7:$U$36)</f>
        <v>0</v>
      </c>
      <c r="M19" s="59">
        <f>SUMIF('Week 4'!$C$7:$C$36,Summary!C19,'Week 4'!$S$7:$S$36)</f>
        <v>0</v>
      </c>
      <c r="N19" s="59">
        <f>SUMIF('Week 4'!$C$7:$C$36,Summary!C19,'Week 4'!$T$7:$T$36)</f>
        <v>0</v>
      </c>
      <c r="O19" s="59">
        <f>SUMIF('Week 4'!$C$7:$C$36,Summary!C19,'Week 4'!$U$7:$U$36)</f>
        <v>0</v>
      </c>
      <c r="P19" s="59">
        <f>SUMIF('Week 5'!$C$7:$C$36,Summary!C19,'Week 5'!$S$7:$S$36)</f>
        <v>0</v>
      </c>
      <c r="Q19" s="59">
        <f>SUMIF('Week 5'!$C$7:$C$36,Summary!C19,'Week 5'!$T$7:$T$36)</f>
        <v>0</v>
      </c>
      <c r="R19" s="59">
        <f>SUMIF('Week 5'!$C$7:$C$36,Summary!C19,'Week 5'!$U$7:$U$36)</f>
        <v>0</v>
      </c>
      <c r="S19" s="60"/>
      <c r="T19" s="61">
        <f t="shared" si="0"/>
        <v>0</v>
      </c>
      <c r="U19" s="61">
        <f t="shared" si="1"/>
        <v>0</v>
      </c>
      <c r="V19" s="62">
        <f t="shared" si="2"/>
        <v>0</v>
      </c>
    </row>
    <row r="20" spans="2:22" s="3" customFormat="1" ht="19.95" customHeight="1" x14ac:dyDescent="0.3">
      <c r="B20" s="15">
        <f t="shared" si="3"/>
        <v>14</v>
      </c>
      <c r="C20" s="16"/>
      <c r="D20" s="59">
        <f>SUMIF('Week 1'!$C$7:$C$36,Summary!C20,'Week 1'!$S$7:$S$36)</f>
        <v>0</v>
      </c>
      <c r="E20" s="59">
        <f>SUMIF('Week 1'!$C$7:$C$36,Summary!C20,'Week 1'!$T$7:$T$36)</f>
        <v>0</v>
      </c>
      <c r="F20" s="59">
        <f>SUMIF('Week 1'!$C$7:$C$36,Summary!C20,'Week 1'!$U$7:$U$36)</f>
        <v>0</v>
      </c>
      <c r="G20" s="59">
        <f>SUMIF('Week 2'!$C$7:$C$36,Summary!C20,'Week 2'!$S$7:$S$36)</f>
        <v>0</v>
      </c>
      <c r="H20" s="59">
        <f>SUMIF('Week 2'!$C$7:$C$36,Summary!C20,'Week 2'!$T$7:$T$36)</f>
        <v>0</v>
      </c>
      <c r="I20" s="59">
        <f>SUMIF('Week 2'!$C$7:$C$36,Summary!C20,'Week 2'!$U$7:$U$36)</f>
        <v>0</v>
      </c>
      <c r="J20" s="59">
        <f>SUMIF('Week 3'!$C$7:$C$36,Summary!C20,'Week 3'!$S$7:$S$36)</f>
        <v>0</v>
      </c>
      <c r="K20" s="59">
        <f>SUMIF('Week 3'!$C$7:$C$36,Summary!C20,'Week 3'!$T$7:$T$36)</f>
        <v>0</v>
      </c>
      <c r="L20" s="59">
        <f>SUMIF('Week 3'!$C$7:$C$36,Summary!C20,'Week 3'!$U$7:$U$36)</f>
        <v>0</v>
      </c>
      <c r="M20" s="59">
        <f>SUMIF('Week 4'!$C$7:$C$36,Summary!C20,'Week 4'!$S$7:$S$36)</f>
        <v>0</v>
      </c>
      <c r="N20" s="59">
        <f>SUMIF('Week 4'!$C$7:$C$36,Summary!C20,'Week 4'!$T$7:$T$36)</f>
        <v>0</v>
      </c>
      <c r="O20" s="59">
        <f>SUMIF('Week 4'!$C$7:$C$36,Summary!C20,'Week 4'!$U$7:$U$36)</f>
        <v>0</v>
      </c>
      <c r="P20" s="59">
        <f>SUMIF('Week 5'!$C$7:$C$36,Summary!C20,'Week 5'!$S$7:$S$36)</f>
        <v>0</v>
      </c>
      <c r="Q20" s="59">
        <f>SUMIF('Week 5'!$C$7:$C$36,Summary!C20,'Week 5'!$T$7:$T$36)</f>
        <v>0</v>
      </c>
      <c r="R20" s="59">
        <f>SUMIF('Week 5'!$C$7:$C$36,Summary!C20,'Week 5'!$U$7:$U$36)</f>
        <v>0</v>
      </c>
      <c r="S20" s="60"/>
      <c r="T20" s="61">
        <f t="shared" si="0"/>
        <v>0</v>
      </c>
      <c r="U20" s="61">
        <f t="shared" si="1"/>
        <v>0</v>
      </c>
      <c r="V20" s="62">
        <f t="shared" si="2"/>
        <v>0</v>
      </c>
    </row>
    <row r="21" spans="2:22" s="3" customFormat="1" ht="19.95" customHeight="1" x14ac:dyDescent="0.3">
      <c r="B21" s="15">
        <f t="shared" si="3"/>
        <v>15</v>
      </c>
      <c r="C21" s="16"/>
      <c r="D21" s="59">
        <f>SUMIF('Week 1'!$C$7:$C$36,Summary!C21,'Week 1'!$S$7:$S$36)</f>
        <v>0</v>
      </c>
      <c r="E21" s="59">
        <f>SUMIF('Week 1'!$C$7:$C$36,Summary!C21,'Week 1'!$T$7:$T$36)</f>
        <v>0</v>
      </c>
      <c r="F21" s="59">
        <f>SUMIF('Week 1'!$C$7:$C$36,Summary!C21,'Week 1'!$U$7:$U$36)</f>
        <v>0</v>
      </c>
      <c r="G21" s="59">
        <f>SUMIF('Week 2'!$C$7:$C$36,Summary!C21,'Week 2'!$S$7:$S$36)</f>
        <v>0</v>
      </c>
      <c r="H21" s="59">
        <f>SUMIF('Week 2'!$C$7:$C$36,Summary!C21,'Week 2'!$T$7:$T$36)</f>
        <v>0</v>
      </c>
      <c r="I21" s="59">
        <f>SUMIF('Week 2'!$C$7:$C$36,Summary!C21,'Week 2'!$U$7:$U$36)</f>
        <v>0</v>
      </c>
      <c r="J21" s="59">
        <f>SUMIF('Week 3'!$C$7:$C$36,Summary!C21,'Week 3'!$S$7:$S$36)</f>
        <v>0</v>
      </c>
      <c r="K21" s="59">
        <f>SUMIF('Week 3'!$C$7:$C$36,Summary!C21,'Week 3'!$T$7:$T$36)</f>
        <v>0</v>
      </c>
      <c r="L21" s="59">
        <f>SUMIF('Week 3'!$C$7:$C$36,Summary!C21,'Week 3'!$U$7:$U$36)</f>
        <v>0</v>
      </c>
      <c r="M21" s="59">
        <f>SUMIF('Week 4'!$C$7:$C$36,Summary!C21,'Week 4'!$S$7:$S$36)</f>
        <v>0</v>
      </c>
      <c r="N21" s="59">
        <f>SUMIF('Week 4'!$C$7:$C$36,Summary!C21,'Week 4'!$T$7:$T$36)</f>
        <v>0</v>
      </c>
      <c r="O21" s="59">
        <f>SUMIF('Week 4'!$C$7:$C$36,Summary!C21,'Week 4'!$U$7:$U$36)</f>
        <v>0</v>
      </c>
      <c r="P21" s="59">
        <f>SUMIF('Week 5'!$C$7:$C$36,Summary!C21,'Week 5'!$S$7:$S$36)</f>
        <v>0</v>
      </c>
      <c r="Q21" s="59">
        <f>SUMIF('Week 5'!$C$7:$C$36,Summary!C21,'Week 5'!$T$7:$T$36)</f>
        <v>0</v>
      </c>
      <c r="R21" s="59">
        <f>SUMIF('Week 5'!$C$7:$C$36,Summary!C21,'Week 5'!$U$7:$U$36)</f>
        <v>0</v>
      </c>
      <c r="S21" s="60"/>
      <c r="T21" s="61">
        <f t="shared" ref="T21:T35" si="4">D21+G21+J21+M21+P21</f>
        <v>0</v>
      </c>
      <c r="U21" s="61">
        <f t="shared" ref="U21:U35" si="5">E21+H21+K21+N21+Q21</f>
        <v>0</v>
      </c>
      <c r="V21" s="62">
        <f t="shared" ref="V21:V35" si="6">U21+T21</f>
        <v>0</v>
      </c>
    </row>
    <row r="22" spans="2:22" s="3" customFormat="1" ht="19.95" customHeight="1" x14ac:dyDescent="0.3">
      <c r="B22" s="15">
        <f t="shared" si="3"/>
        <v>16</v>
      </c>
      <c r="C22" s="16"/>
      <c r="D22" s="59">
        <f>SUMIF('Week 1'!$C$7:$C$36,Summary!C22,'Week 1'!$S$7:$S$36)</f>
        <v>0</v>
      </c>
      <c r="E22" s="59">
        <f>SUMIF('Week 1'!$C$7:$C$36,Summary!C22,'Week 1'!$T$7:$T$36)</f>
        <v>0</v>
      </c>
      <c r="F22" s="59">
        <f>SUMIF('Week 1'!$C$7:$C$36,Summary!C22,'Week 1'!$U$7:$U$36)</f>
        <v>0</v>
      </c>
      <c r="G22" s="59">
        <f>SUMIF('Week 2'!$C$7:$C$36,Summary!C22,'Week 2'!$S$7:$S$36)</f>
        <v>0</v>
      </c>
      <c r="H22" s="59">
        <f>SUMIF('Week 2'!$C$7:$C$36,Summary!C22,'Week 2'!$T$7:$T$36)</f>
        <v>0</v>
      </c>
      <c r="I22" s="59">
        <f>SUMIF('Week 2'!$C$7:$C$36,Summary!C22,'Week 2'!$U$7:$U$36)</f>
        <v>0</v>
      </c>
      <c r="J22" s="59">
        <f>SUMIF('Week 3'!$C$7:$C$36,Summary!C22,'Week 3'!$S$7:$S$36)</f>
        <v>0</v>
      </c>
      <c r="K22" s="59">
        <f>SUMIF('Week 3'!$C$7:$C$36,Summary!C22,'Week 3'!$T$7:$T$36)</f>
        <v>0</v>
      </c>
      <c r="L22" s="59">
        <f>SUMIF('Week 3'!$C$7:$C$36,Summary!C22,'Week 3'!$U$7:$U$36)</f>
        <v>0</v>
      </c>
      <c r="M22" s="59">
        <f>SUMIF('Week 4'!$C$7:$C$36,Summary!C22,'Week 4'!$S$7:$S$36)</f>
        <v>0</v>
      </c>
      <c r="N22" s="59">
        <f>SUMIF('Week 4'!$C$7:$C$36,Summary!C22,'Week 4'!$T$7:$T$36)</f>
        <v>0</v>
      </c>
      <c r="O22" s="59">
        <f>SUMIF('Week 4'!$C$7:$C$36,Summary!C22,'Week 4'!$U$7:$U$36)</f>
        <v>0</v>
      </c>
      <c r="P22" s="59">
        <f>SUMIF('Week 5'!$C$7:$C$36,Summary!C22,'Week 5'!$S$7:$S$36)</f>
        <v>0</v>
      </c>
      <c r="Q22" s="59">
        <f>SUMIF('Week 5'!$C$7:$C$36,Summary!C22,'Week 5'!$T$7:$T$36)</f>
        <v>0</v>
      </c>
      <c r="R22" s="59">
        <f>SUMIF('Week 5'!$C$7:$C$36,Summary!C22,'Week 5'!$U$7:$U$36)</f>
        <v>0</v>
      </c>
      <c r="S22" s="60"/>
      <c r="T22" s="61">
        <f t="shared" si="4"/>
        <v>0</v>
      </c>
      <c r="U22" s="61">
        <f t="shared" si="5"/>
        <v>0</v>
      </c>
      <c r="V22" s="62">
        <f t="shared" si="6"/>
        <v>0</v>
      </c>
    </row>
    <row r="23" spans="2:22" s="3" customFormat="1" ht="19.95" customHeight="1" x14ac:dyDescent="0.3">
      <c r="B23" s="15">
        <f t="shared" si="3"/>
        <v>17</v>
      </c>
      <c r="C23" s="16"/>
      <c r="D23" s="59">
        <f>SUMIF('Week 1'!$C$7:$C$36,Summary!C23,'Week 1'!$S$7:$S$36)</f>
        <v>0</v>
      </c>
      <c r="E23" s="59">
        <f>SUMIF('Week 1'!$C$7:$C$36,Summary!C23,'Week 1'!$T$7:$T$36)</f>
        <v>0</v>
      </c>
      <c r="F23" s="59">
        <f>SUMIF('Week 1'!$C$7:$C$36,Summary!C23,'Week 1'!$U$7:$U$36)</f>
        <v>0</v>
      </c>
      <c r="G23" s="59">
        <f>SUMIF('Week 2'!$C$7:$C$36,Summary!C23,'Week 2'!$S$7:$S$36)</f>
        <v>0</v>
      </c>
      <c r="H23" s="59">
        <f>SUMIF('Week 2'!$C$7:$C$36,Summary!C23,'Week 2'!$T$7:$T$36)</f>
        <v>0</v>
      </c>
      <c r="I23" s="59">
        <f>SUMIF('Week 2'!$C$7:$C$36,Summary!C23,'Week 2'!$U$7:$U$36)</f>
        <v>0</v>
      </c>
      <c r="J23" s="59">
        <f>SUMIF('Week 3'!$C$7:$C$36,Summary!C23,'Week 3'!$S$7:$S$36)</f>
        <v>0</v>
      </c>
      <c r="K23" s="59">
        <f>SUMIF('Week 3'!$C$7:$C$36,Summary!C23,'Week 3'!$T$7:$T$36)</f>
        <v>0</v>
      </c>
      <c r="L23" s="59">
        <f>SUMIF('Week 3'!$C$7:$C$36,Summary!C23,'Week 3'!$U$7:$U$36)</f>
        <v>0</v>
      </c>
      <c r="M23" s="59">
        <f>SUMIF('Week 4'!$C$7:$C$36,Summary!C23,'Week 4'!$S$7:$S$36)</f>
        <v>0</v>
      </c>
      <c r="N23" s="59">
        <f>SUMIF('Week 4'!$C$7:$C$36,Summary!C23,'Week 4'!$T$7:$T$36)</f>
        <v>0</v>
      </c>
      <c r="O23" s="59">
        <f>SUMIF('Week 4'!$C$7:$C$36,Summary!C23,'Week 4'!$U$7:$U$36)</f>
        <v>0</v>
      </c>
      <c r="P23" s="59">
        <f>SUMIF('Week 5'!$C$7:$C$36,Summary!C23,'Week 5'!$S$7:$S$36)</f>
        <v>0</v>
      </c>
      <c r="Q23" s="59">
        <f>SUMIF('Week 5'!$C$7:$C$36,Summary!C23,'Week 5'!$T$7:$T$36)</f>
        <v>0</v>
      </c>
      <c r="R23" s="59">
        <f>SUMIF('Week 5'!$C$7:$C$36,Summary!C23,'Week 5'!$U$7:$U$36)</f>
        <v>0</v>
      </c>
      <c r="S23" s="60"/>
      <c r="T23" s="61">
        <f t="shared" si="4"/>
        <v>0</v>
      </c>
      <c r="U23" s="61">
        <f t="shared" si="5"/>
        <v>0</v>
      </c>
      <c r="V23" s="62">
        <f t="shared" si="6"/>
        <v>0</v>
      </c>
    </row>
    <row r="24" spans="2:22" s="3" customFormat="1" ht="19.95" customHeight="1" x14ac:dyDescent="0.3">
      <c r="B24" s="15">
        <f t="shared" si="3"/>
        <v>18</v>
      </c>
      <c r="C24" s="16"/>
      <c r="D24" s="59">
        <f>SUMIF('Week 1'!$C$7:$C$36,Summary!C24,'Week 1'!$S$7:$S$36)</f>
        <v>0</v>
      </c>
      <c r="E24" s="59">
        <f>SUMIF('Week 1'!$C$7:$C$36,Summary!C24,'Week 1'!$T$7:$T$36)</f>
        <v>0</v>
      </c>
      <c r="F24" s="59">
        <f>SUMIF('Week 1'!$C$7:$C$36,Summary!C24,'Week 1'!$U$7:$U$36)</f>
        <v>0</v>
      </c>
      <c r="G24" s="59">
        <f>SUMIF('Week 2'!$C$7:$C$36,Summary!C24,'Week 2'!$S$7:$S$36)</f>
        <v>0</v>
      </c>
      <c r="H24" s="59">
        <f>SUMIF('Week 2'!$C$7:$C$36,Summary!C24,'Week 2'!$T$7:$T$36)</f>
        <v>0</v>
      </c>
      <c r="I24" s="59">
        <f>SUMIF('Week 2'!$C$7:$C$36,Summary!C24,'Week 2'!$U$7:$U$36)</f>
        <v>0</v>
      </c>
      <c r="J24" s="59">
        <f>SUMIF('Week 3'!$C$7:$C$36,Summary!C24,'Week 3'!$S$7:$S$36)</f>
        <v>0</v>
      </c>
      <c r="K24" s="59">
        <f>SUMIF('Week 3'!$C$7:$C$36,Summary!C24,'Week 3'!$T$7:$T$36)</f>
        <v>0</v>
      </c>
      <c r="L24" s="59">
        <f>SUMIF('Week 3'!$C$7:$C$36,Summary!C24,'Week 3'!$U$7:$U$36)</f>
        <v>0</v>
      </c>
      <c r="M24" s="59">
        <f>SUMIF('Week 4'!$C$7:$C$36,Summary!C24,'Week 4'!$S$7:$S$36)</f>
        <v>0</v>
      </c>
      <c r="N24" s="59">
        <f>SUMIF('Week 4'!$C$7:$C$36,Summary!C24,'Week 4'!$T$7:$T$36)</f>
        <v>0</v>
      </c>
      <c r="O24" s="59">
        <f>SUMIF('Week 4'!$C$7:$C$36,Summary!C24,'Week 4'!$U$7:$U$36)</f>
        <v>0</v>
      </c>
      <c r="P24" s="59">
        <f>SUMIF('Week 5'!$C$7:$C$36,Summary!C24,'Week 5'!$S$7:$S$36)</f>
        <v>0</v>
      </c>
      <c r="Q24" s="59">
        <f>SUMIF('Week 5'!$C$7:$C$36,Summary!C24,'Week 5'!$T$7:$T$36)</f>
        <v>0</v>
      </c>
      <c r="R24" s="59">
        <f>SUMIF('Week 5'!$C$7:$C$36,Summary!C24,'Week 5'!$U$7:$U$36)</f>
        <v>0</v>
      </c>
      <c r="S24" s="60"/>
      <c r="T24" s="61">
        <f t="shared" si="4"/>
        <v>0</v>
      </c>
      <c r="U24" s="61">
        <f t="shared" si="5"/>
        <v>0</v>
      </c>
      <c r="V24" s="62">
        <f t="shared" si="6"/>
        <v>0</v>
      </c>
    </row>
    <row r="25" spans="2:22" s="3" customFormat="1" ht="19.95" customHeight="1" x14ac:dyDescent="0.3">
      <c r="B25" s="15">
        <f t="shared" si="3"/>
        <v>19</v>
      </c>
      <c r="C25" s="16"/>
      <c r="D25" s="59">
        <f>SUMIF('Week 1'!$C$7:$C$36,Summary!C25,'Week 1'!$S$7:$S$36)</f>
        <v>0</v>
      </c>
      <c r="E25" s="59">
        <f>SUMIF('Week 1'!$C$7:$C$36,Summary!C25,'Week 1'!$T$7:$T$36)</f>
        <v>0</v>
      </c>
      <c r="F25" s="59">
        <f>SUMIF('Week 1'!$C$7:$C$36,Summary!C25,'Week 1'!$U$7:$U$36)</f>
        <v>0</v>
      </c>
      <c r="G25" s="59">
        <f>SUMIF('Week 2'!$C$7:$C$36,Summary!C25,'Week 2'!$S$7:$S$36)</f>
        <v>0</v>
      </c>
      <c r="H25" s="59">
        <f>SUMIF('Week 2'!$C$7:$C$36,Summary!C25,'Week 2'!$T$7:$T$36)</f>
        <v>0</v>
      </c>
      <c r="I25" s="59">
        <f>SUMIF('Week 2'!$C$7:$C$36,Summary!C25,'Week 2'!$U$7:$U$36)</f>
        <v>0</v>
      </c>
      <c r="J25" s="59">
        <f>SUMIF('Week 3'!$C$7:$C$36,Summary!C25,'Week 3'!$S$7:$S$36)</f>
        <v>0</v>
      </c>
      <c r="K25" s="59">
        <f>SUMIF('Week 3'!$C$7:$C$36,Summary!C25,'Week 3'!$T$7:$T$36)</f>
        <v>0</v>
      </c>
      <c r="L25" s="59">
        <f>SUMIF('Week 3'!$C$7:$C$36,Summary!C25,'Week 3'!$U$7:$U$36)</f>
        <v>0</v>
      </c>
      <c r="M25" s="59">
        <f>SUMIF('Week 4'!$C$7:$C$36,Summary!C25,'Week 4'!$S$7:$S$36)</f>
        <v>0</v>
      </c>
      <c r="N25" s="59">
        <f>SUMIF('Week 4'!$C$7:$C$36,Summary!C25,'Week 4'!$T$7:$T$36)</f>
        <v>0</v>
      </c>
      <c r="O25" s="59">
        <f>SUMIF('Week 4'!$C$7:$C$36,Summary!C25,'Week 4'!$U$7:$U$36)</f>
        <v>0</v>
      </c>
      <c r="P25" s="59">
        <f>SUMIF('Week 5'!$C$7:$C$36,Summary!C25,'Week 5'!$S$7:$S$36)</f>
        <v>0</v>
      </c>
      <c r="Q25" s="59">
        <f>SUMIF('Week 5'!$C$7:$C$36,Summary!C25,'Week 5'!$T$7:$T$36)</f>
        <v>0</v>
      </c>
      <c r="R25" s="59">
        <f>SUMIF('Week 5'!$C$7:$C$36,Summary!C25,'Week 5'!$U$7:$U$36)</f>
        <v>0</v>
      </c>
      <c r="S25" s="60"/>
      <c r="T25" s="61">
        <f t="shared" si="4"/>
        <v>0</v>
      </c>
      <c r="U25" s="61">
        <f t="shared" si="5"/>
        <v>0</v>
      </c>
      <c r="V25" s="62">
        <f t="shared" si="6"/>
        <v>0</v>
      </c>
    </row>
    <row r="26" spans="2:22" s="3" customFormat="1" ht="19.95" customHeight="1" x14ac:dyDescent="0.3">
      <c r="B26" s="15">
        <f t="shared" si="3"/>
        <v>20</v>
      </c>
      <c r="C26" s="16"/>
      <c r="D26" s="59">
        <f>SUMIF('Week 1'!$C$7:$C$36,Summary!C26,'Week 1'!$S$7:$S$36)</f>
        <v>0</v>
      </c>
      <c r="E26" s="59">
        <f>SUMIF('Week 1'!$C$7:$C$36,Summary!C26,'Week 1'!$T$7:$T$36)</f>
        <v>0</v>
      </c>
      <c r="F26" s="59">
        <f>SUMIF('Week 1'!$C$7:$C$36,Summary!C26,'Week 1'!$U$7:$U$36)</f>
        <v>0</v>
      </c>
      <c r="G26" s="59">
        <f>SUMIF('Week 2'!$C$7:$C$36,Summary!C26,'Week 2'!$S$7:$S$36)</f>
        <v>0</v>
      </c>
      <c r="H26" s="59">
        <f>SUMIF('Week 2'!$C$7:$C$36,Summary!C26,'Week 2'!$T$7:$T$36)</f>
        <v>0</v>
      </c>
      <c r="I26" s="59">
        <f>SUMIF('Week 2'!$C$7:$C$36,Summary!C26,'Week 2'!$U$7:$U$36)</f>
        <v>0</v>
      </c>
      <c r="J26" s="59">
        <f>SUMIF('Week 3'!$C$7:$C$36,Summary!C26,'Week 3'!$S$7:$S$36)</f>
        <v>0</v>
      </c>
      <c r="K26" s="59">
        <f>SUMIF('Week 3'!$C$7:$C$36,Summary!C26,'Week 3'!$T$7:$T$36)</f>
        <v>0</v>
      </c>
      <c r="L26" s="59">
        <f>SUMIF('Week 3'!$C$7:$C$36,Summary!C26,'Week 3'!$U$7:$U$36)</f>
        <v>0</v>
      </c>
      <c r="M26" s="59">
        <f>SUMIF('Week 4'!$C$7:$C$36,Summary!C26,'Week 4'!$S$7:$S$36)</f>
        <v>0</v>
      </c>
      <c r="N26" s="59">
        <f>SUMIF('Week 4'!$C$7:$C$36,Summary!C26,'Week 4'!$T$7:$T$36)</f>
        <v>0</v>
      </c>
      <c r="O26" s="59">
        <f>SUMIF('Week 4'!$C$7:$C$36,Summary!C26,'Week 4'!$U$7:$U$36)</f>
        <v>0</v>
      </c>
      <c r="P26" s="59">
        <f>SUMIF('Week 5'!$C$7:$C$36,Summary!C26,'Week 5'!$S$7:$S$36)</f>
        <v>0</v>
      </c>
      <c r="Q26" s="59">
        <f>SUMIF('Week 5'!$C$7:$C$36,Summary!C26,'Week 5'!$T$7:$T$36)</f>
        <v>0</v>
      </c>
      <c r="R26" s="59">
        <f>SUMIF('Week 5'!$C$7:$C$36,Summary!C26,'Week 5'!$U$7:$U$36)</f>
        <v>0</v>
      </c>
      <c r="S26" s="60"/>
      <c r="T26" s="61">
        <f t="shared" si="4"/>
        <v>0</v>
      </c>
      <c r="U26" s="61">
        <f t="shared" si="5"/>
        <v>0</v>
      </c>
      <c r="V26" s="62">
        <f t="shared" si="6"/>
        <v>0</v>
      </c>
    </row>
    <row r="27" spans="2:22" s="3" customFormat="1" ht="19.95" customHeight="1" x14ac:dyDescent="0.3">
      <c r="B27" s="15">
        <f t="shared" si="3"/>
        <v>21</v>
      </c>
      <c r="C27" s="16"/>
      <c r="D27" s="59">
        <f>SUMIF('Week 1'!$C$7:$C$36,Summary!C27,'Week 1'!$S$7:$S$36)</f>
        <v>0</v>
      </c>
      <c r="E27" s="59">
        <f>SUMIF('Week 1'!$C$7:$C$36,Summary!C27,'Week 1'!$T$7:$T$36)</f>
        <v>0</v>
      </c>
      <c r="F27" s="59">
        <f>SUMIF('Week 1'!$C$7:$C$36,Summary!C27,'Week 1'!$U$7:$U$36)</f>
        <v>0</v>
      </c>
      <c r="G27" s="59">
        <f>SUMIF('Week 2'!$C$7:$C$36,Summary!C27,'Week 2'!$S$7:$S$36)</f>
        <v>0</v>
      </c>
      <c r="H27" s="59">
        <f>SUMIF('Week 2'!$C$7:$C$36,Summary!C27,'Week 2'!$T$7:$T$36)</f>
        <v>0</v>
      </c>
      <c r="I27" s="59">
        <f>SUMIF('Week 2'!$C$7:$C$36,Summary!C27,'Week 2'!$U$7:$U$36)</f>
        <v>0</v>
      </c>
      <c r="J27" s="59">
        <f>SUMIF('Week 3'!$C$7:$C$36,Summary!C27,'Week 3'!$S$7:$S$36)</f>
        <v>0</v>
      </c>
      <c r="K27" s="59">
        <f>SUMIF('Week 3'!$C$7:$C$36,Summary!C27,'Week 3'!$T$7:$T$36)</f>
        <v>0</v>
      </c>
      <c r="L27" s="59">
        <f>SUMIF('Week 3'!$C$7:$C$36,Summary!C27,'Week 3'!$U$7:$U$36)</f>
        <v>0</v>
      </c>
      <c r="M27" s="59">
        <f>SUMIF('Week 4'!$C$7:$C$36,Summary!C27,'Week 4'!$S$7:$S$36)</f>
        <v>0</v>
      </c>
      <c r="N27" s="59">
        <f>SUMIF('Week 4'!$C$7:$C$36,Summary!C27,'Week 4'!$T$7:$T$36)</f>
        <v>0</v>
      </c>
      <c r="O27" s="59">
        <f>SUMIF('Week 4'!$C$7:$C$36,Summary!C27,'Week 4'!$U$7:$U$36)</f>
        <v>0</v>
      </c>
      <c r="P27" s="59">
        <f>SUMIF('Week 5'!$C$7:$C$36,Summary!C27,'Week 5'!$S$7:$S$36)</f>
        <v>0</v>
      </c>
      <c r="Q27" s="59">
        <f>SUMIF('Week 5'!$C$7:$C$36,Summary!C27,'Week 5'!$T$7:$T$36)</f>
        <v>0</v>
      </c>
      <c r="R27" s="59">
        <f>SUMIF('Week 5'!$C$7:$C$36,Summary!C27,'Week 5'!$U$7:$U$36)</f>
        <v>0</v>
      </c>
      <c r="S27" s="60"/>
      <c r="T27" s="61">
        <f t="shared" si="4"/>
        <v>0</v>
      </c>
      <c r="U27" s="61">
        <f t="shared" si="5"/>
        <v>0</v>
      </c>
      <c r="V27" s="62">
        <f t="shared" si="6"/>
        <v>0</v>
      </c>
    </row>
    <row r="28" spans="2:22" s="3" customFormat="1" ht="19.95" customHeight="1" x14ac:dyDescent="0.3">
      <c r="B28" s="15">
        <f t="shared" si="3"/>
        <v>22</v>
      </c>
      <c r="C28" s="16"/>
      <c r="D28" s="59">
        <f>SUMIF('Week 1'!$C$7:$C$36,Summary!C28,'Week 1'!$S$7:$S$36)</f>
        <v>0</v>
      </c>
      <c r="E28" s="59">
        <f>SUMIF('Week 1'!$C$7:$C$36,Summary!C28,'Week 1'!$T$7:$T$36)</f>
        <v>0</v>
      </c>
      <c r="F28" s="59">
        <f>SUMIF('Week 1'!$C$7:$C$36,Summary!C28,'Week 1'!$U$7:$U$36)</f>
        <v>0</v>
      </c>
      <c r="G28" s="59">
        <f>SUMIF('Week 2'!$C$7:$C$36,Summary!C28,'Week 2'!$S$7:$S$36)</f>
        <v>0</v>
      </c>
      <c r="H28" s="59">
        <f>SUMIF('Week 2'!$C$7:$C$36,Summary!C28,'Week 2'!$T$7:$T$36)</f>
        <v>0</v>
      </c>
      <c r="I28" s="59">
        <f>SUMIF('Week 2'!$C$7:$C$36,Summary!C28,'Week 2'!$U$7:$U$36)</f>
        <v>0</v>
      </c>
      <c r="J28" s="59">
        <f>SUMIF('Week 3'!$C$7:$C$36,Summary!C28,'Week 3'!$S$7:$S$36)</f>
        <v>0</v>
      </c>
      <c r="K28" s="59">
        <f>SUMIF('Week 3'!$C$7:$C$36,Summary!C28,'Week 3'!$T$7:$T$36)</f>
        <v>0</v>
      </c>
      <c r="L28" s="59">
        <f>SUMIF('Week 3'!$C$7:$C$36,Summary!C28,'Week 3'!$U$7:$U$36)</f>
        <v>0</v>
      </c>
      <c r="M28" s="59">
        <f>SUMIF('Week 4'!$C$7:$C$36,Summary!C28,'Week 4'!$S$7:$S$36)</f>
        <v>0</v>
      </c>
      <c r="N28" s="59">
        <f>SUMIF('Week 4'!$C$7:$C$36,Summary!C28,'Week 4'!$T$7:$T$36)</f>
        <v>0</v>
      </c>
      <c r="O28" s="59">
        <f>SUMIF('Week 4'!$C$7:$C$36,Summary!C28,'Week 4'!$U$7:$U$36)</f>
        <v>0</v>
      </c>
      <c r="P28" s="59">
        <f>SUMIF('Week 5'!$C$7:$C$36,Summary!C28,'Week 5'!$S$7:$S$36)</f>
        <v>0</v>
      </c>
      <c r="Q28" s="59">
        <f>SUMIF('Week 5'!$C$7:$C$36,Summary!C28,'Week 5'!$T$7:$T$36)</f>
        <v>0</v>
      </c>
      <c r="R28" s="59">
        <f>SUMIF('Week 5'!$C$7:$C$36,Summary!C28,'Week 5'!$U$7:$U$36)</f>
        <v>0</v>
      </c>
      <c r="S28" s="60"/>
      <c r="T28" s="61">
        <f t="shared" si="4"/>
        <v>0</v>
      </c>
      <c r="U28" s="61">
        <f t="shared" si="5"/>
        <v>0</v>
      </c>
      <c r="V28" s="62">
        <f t="shared" si="6"/>
        <v>0</v>
      </c>
    </row>
    <row r="29" spans="2:22" s="3" customFormat="1" ht="19.95" customHeight="1" x14ac:dyDescent="0.3">
      <c r="B29" s="15">
        <f t="shared" si="3"/>
        <v>23</v>
      </c>
      <c r="C29" s="16"/>
      <c r="D29" s="59">
        <f>SUMIF('Week 1'!$C$7:$C$36,Summary!C29,'Week 1'!$S$7:$S$36)</f>
        <v>0</v>
      </c>
      <c r="E29" s="59">
        <f>SUMIF('Week 1'!$C$7:$C$36,Summary!C29,'Week 1'!$T$7:$T$36)</f>
        <v>0</v>
      </c>
      <c r="F29" s="59">
        <f>SUMIF('Week 1'!$C$7:$C$36,Summary!C29,'Week 1'!$U$7:$U$36)</f>
        <v>0</v>
      </c>
      <c r="G29" s="59">
        <f>SUMIF('Week 2'!$C$7:$C$36,Summary!C29,'Week 2'!$S$7:$S$36)</f>
        <v>0</v>
      </c>
      <c r="H29" s="59">
        <f>SUMIF('Week 2'!$C$7:$C$36,Summary!C29,'Week 2'!$T$7:$T$36)</f>
        <v>0</v>
      </c>
      <c r="I29" s="59">
        <f>SUMIF('Week 2'!$C$7:$C$36,Summary!C29,'Week 2'!$U$7:$U$36)</f>
        <v>0</v>
      </c>
      <c r="J29" s="59">
        <f>SUMIF('Week 3'!$C$7:$C$36,Summary!C29,'Week 3'!$S$7:$S$36)</f>
        <v>0</v>
      </c>
      <c r="K29" s="59">
        <f>SUMIF('Week 3'!$C$7:$C$36,Summary!C29,'Week 3'!$T$7:$T$36)</f>
        <v>0</v>
      </c>
      <c r="L29" s="59">
        <f>SUMIF('Week 3'!$C$7:$C$36,Summary!C29,'Week 3'!$U$7:$U$36)</f>
        <v>0</v>
      </c>
      <c r="M29" s="59">
        <f>SUMIF('Week 4'!$C$7:$C$36,Summary!C29,'Week 4'!$S$7:$S$36)</f>
        <v>0</v>
      </c>
      <c r="N29" s="59">
        <f>SUMIF('Week 4'!$C$7:$C$36,Summary!C29,'Week 4'!$T$7:$T$36)</f>
        <v>0</v>
      </c>
      <c r="O29" s="59">
        <f>SUMIF('Week 4'!$C$7:$C$36,Summary!C29,'Week 4'!$U$7:$U$36)</f>
        <v>0</v>
      </c>
      <c r="P29" s="59">
        <f>SUMIF('Week 5'!$C$7:$C$36,Summary!C29,'Week 5'!$S$7:$S$36)</f>
        <v>0</v>
      </c>
      <c r="Q29" s="59">
        <f>SUMIF('Week 5'!$C$7:$C$36,Summary!C29,'Week 5'!$T$7:$T$36)</f>
        <v>0</v>
      </c>
      <c r="R29" s="59">
        <f>SUMIF('Week 5'!$C$7:$C$36,Summary!C29,'Week 5'!$U$7:$U$36)</f>
        <v>0</v>
      </c>
      <c r="S29" s="60"/>
      <c r="T29" s="61">
        <f t="shared" si="4"/>
        <v>0</v>
      </c>
      <c r="U29" s="61">
        <f t="shared" si="5"/>
        <v>0</v>
      </c>
      <c r="V29" s="62">
        <f t="shared" si="6"/>
        <v>0</v>
      </c>
    </row>
    <row r="30" spans="2:22" s="3" customFormat="1" ht="19.95" customHeight="1" x14ac:dyDescent="0.3">
      <c r="B30" s="15">
        <f t="shared" si="3"/>
        <v>24</v>
      </c>
      <c r="C30" s="16"/>
      <c r="D30" s="59">
        <f>SUMIF('Week 1'!$C$7:$C$36,Summary!C30,'Week 1'!$S$7:$S$36)</f>
        <v>0</v>
      </c>
      <c r="E30" s="59">
        <f>SUMIF('Week 1'!$C$7:$C$36,Summary!C30,'Week 1'!$T$7:$T$36)</f>
        <v>0</v>
      </c>
      <c r="F30" s="59">
        <f>SUMIF('Week 1'!$C$7:$C$36,Summary!C30,'Week 1'!$U$7:$U$36)</f>
        <v>0</v>
      </c>
      <c r="G30" s="59">
        <f>SUMIF('Week 2'!$C$7:$C$36,Summary!C30,'Week 2'!$S$7:$S$36)</f>
        <v>0</v>
      </c>
      <c r="H30" s="59">
        <f>SUMIF('Week 2'!$C$7:$C$36,Summary!C30,'Week 2'!$T$7:$T$36)</f>
        <v>0</v>
      </c>
      <c r="I30" s="59">
        <f>SUMIF('Week 2'!$C$7:$C$36,Summary!C30,'Week 2'!$U$7:$U$36)</f>
        <v>0</v>
      </c>
      <c r="J30" s="59">
        <f>SUMIF('Week 3'!$C$7:$C$36,Summary!C30,'Week 3'!$S$7:$S$36)</f>
        <v>0</v>
      </c>
      <c r="K30" s="59">
        <f>SUMIF('Week 3'!$C$7:$C$36,Summary!C30,'Week 3'!$T$7:$T$36)</f>
        <v>0</v>
      </c>
      <c r="L30" s="59">
        <f>SUMIF('Week 3'!$C$7:$C$36,Summary!C30,'Week 3'!$U$7:$U$36)</f>
        <v>0</v>
      </c>
      <c r="M30" s="59">
        <f>SUMIF('Week 4'!$C$7:$C$36,Summary!C30,'Week 4'!$S$7:$S$36)</f>
        <v>0</v>
      </c>
      <c r="N30" s="59">
        <f>SUMIF('Week 4'!$C$7:$C$36,Summary!C30,'Week 4'!$T$7:$T$36)</f>
        <v>0</v>
      </c>
      <c r="O30" s="59">
        <f>SUMIF('Week 4'!$C$7:$C$36,Summary!C30,'Week 4'!$U$7:$U$36)</f>
        <v>0</v>
      </c>
      <c r="P30" s="59">
        <f>SUMIF('Week 5'!$C$7:$C$36,Summary!C30,'Week 5'!$S$7:$S$36)</f>
        <v>0</v>
      </c>
      <c r="Q30" s="59">
        <f>SUMIF('Week 5'!$C$7:$C$36,Summary!C30,'Week 5'!$T$7:$T$36)</f>
        <v>0</v>
      </c>
      <c r="R30" s="59">
        <f>SUMIF('Week 5'!$C$7:$C$36,Summary!C30,'Week 5'!$U$7:$U$36)</f>
        <v>0</v>
      </c>
      <c r="S30" s="60"/>
      <c r="T30" s="61">
        <f t="shared" si="4"/>
        <v>0</v>
      </c>
      <c r="U30" s="61">
        <f t="shared" si="5"/>
        <v>0</v>
      </c>
      <c r="V30" s="62">
        <f t="shared" si="6"/>
        <v>0</v>
      </c>
    </row>
    <row r="31" spans="2:22" s="3" customFormat="1" ht="19.95" customHeight="1" x14ac:dyDescent="0.3">
      <c r="B31" s="15">
        <f t="shared" si="3"/>
        <v>25</v>
      </c>
      <c r="C31" s="16"/>
      <c r="D31" s="59">
        <f>SUMIF('Week 1'!$C$7:$C$36,Summary!C31,'Week 1'!$S$7:$S$36)</f>
        <v>0</v>
      </c>
      <c r="E31" s="59">
        <f>SUMIF('Week 1'!$C$7:$C$36,Summary!C31,'Week 1'!$T$7:$T$36)</f>
        <v>0</v>
      </c>
      <c r="F31" s="59">
        <f>SUMIF('Week 1'!$C$7:$C$36,Summary!C31,'Week 1'!$U$7:$U$36)</f>
        <v>0</v>
      </c>
      <c r="G31" s="59">
        <f>SUMIF('Week 2'!$C$7:$C$36,Summary!C31,'Week 2'!$S$7:$S$36)</f>
        <v>0</v>
      </c>
      <c r="H31" s="59">
        <f>SUMIF('Week 2'!$C$7:$C$36,Summary!C31,'Week 2'!$T$7:$T$36)</f>
        <v>0</v>
      </c>
      <c r="I31" s="59">
        <f>SUMIF('Week 2'!$C$7:$C$36,Summary!C31,'Week 2'!$U$7:$U$36)</f>
        <v>0</v>
      </c>
      <c r="J31" s="59">
        <f>SUMIF('Week 3'!$C$7:$C$36,Summary!C31,'Week 3'!$S$7:$S$36)</f>
        <v>0</v>
      </c>
      <c r="K31" s="59">
        <f>SUMIF('Week 3'!$C$7:$C$36,Summary!C31,'Week 3'!$T$7:$T$36)</f>
        <v>0</v>
      </c>
      <c r="L31" s="59">
        <f>SUMIF('Week 3'!$C$7:$C$36,Summary!C31,'Week 3'!$U$7:$U$36)</f>
        <v>0</v>
      </c>
      <c r="M31" s="59">
        <f>SUMIF('Week 4'!$C$7:$C$36,Summary!C31,'Week 4'!$S$7:$S$36)</f>
        <v>0</v>
      </c>
      <c r="N31" s="59">
        <f>SUMIF('Week 4'!$C$7:$C$36,Summary!C31,'Week 4'!$T$7:$T$36)</f>
        <v>0</v>
      </c>
      <c r="O31" s="59">
        <f>SUMIF('Week 4'!$C$7:$C$36,Summary!C31,'Week 4'!$U$7:$U$36)</f>
        <v>0</v>
      </c>
      <c r="P31" s="59">
        <f>SUMIF('Week 5'!$C$7:$C$36,Summary!C31,'Week 5'!$S$7:$S$36)</f>
        <v>0</v>
      </c>
      <c r="Q31" s="59">
        <f>SUMIF('Week 5'!$C$7:$C$36,Summary!C31,'Week 5'!$T$7:$T$36)</f>
        <v>0</v>
      </c>
      <c r="R31" s="59">
        <f>SUMIF('Week 5'!$C$7:$C$36,Summary!C31,'Week 5'!$U$7:$U$36)</f>
        <v>0</v>
      </c>
      <c r="S31" s="60"/>
      <c r="T31" s="61">
        <f t="shared" si="4"/>
        <v>0</v>
      </c>
      <c r="U31" s="61">
        <f t="shared" si="5"/>
        <v>0</v>
      </c>
      <c r="V31" s="62">
        <f t="shared" si="6"/>
        <v>0</v>
      </c>
    </row>
    <row r="32" spans="2:22" s="3" customFormat="1" ht="19.95" customHeight="1" x14ac:dyDescent="0.3">
      <c r="B32" s="15">
        <f t="shared" si="3"/>
        <v>26</v>
      </c>
      <c r="C32" s="16"/>
      <c r="D32" s="59">
        <f>SUMIF('Week 1'!$C$7:$C$36,Summary!C32,'Week 1'!$S$7:$S$36)</f>
        <v>0</v>
      </c>
      <c r="E32" s="59">
        <f>SUMIF('Week 1'!$C$7:$C$36,Summary!C32,'Week 1'!$T$7:$T$36)</f>
        <v>0</v>
      </c>
      <c r="F32" s="59">
        <f>SUMIF('Week 1'!$C$7:$C$36,Summary!C32,'Week 1'!$U$7:$U$36)</f>
        <v>0</v>
      </c>
      <c r="G32" s="59">
        <f>SUMIF('Week 2'!$C$7:$C$36,Summary!C32,'Week 2'!$S$7:$S$36)</f>
        <v>0</v>
      </c>
      <c r="H32" s="59">
        <f>SUMIF('Week 2'!$C$7:$C$36,Summary!C32,'Week 2'!$T$7:$T$36)</f>
        <v>0</v>
      </c>
      <c r="I32" s="59">
        <f>SUMIF('Week 2'!$C$7:$C$36,Summary!C32,'Week 2'!$U$7:$U$36)</f>
        <v>0</v>
      </c>
      <c r="J32" s="59">
        <f>SUMIF('Week 3'!$C$7:$C$36,Summary!C32,'Week 3'!$S$7:$S$36)</f>
        <v>0</v>
      </c>
      <c r="K32" s="59">
        <f>SUMIF('Week 3'!$C$7:$C$36,Summary!C32,'Week 3'!$T$7:$T$36)</f>
        <v>0</v>
      </c>
      <c r="L32" s="59">
        <f>SUMIF('Week 3'!$C$7:$C$36,Summary!C32,'Week 3'!$U$7:$U$36)</f>
        <v>0</v>
      </c>
      <c r="M32" s="59">
        <f>SUMIF('Week 4'!$C$7:$C$36,Summary!C32,'Week 4'!$S$7:$S$36)</f>
        <v>0</v>
      </c>
      <c r="N32" s="59">
        <f>SUMIF('Week 4'!$C$7:$C$36,Summary!C32,'Week 4'!$T$7:$T$36)</f>
        <v>0</v>
      </c>
      <c r="O32" s="59">
        <f>SUMIF('Week 4'!$C$7:$C$36,Summary!C32,'Week 4'!$U$7:$U$36)</f>
        <v>0</v>
      </c>
      <c r="P32" s="59">
        <f>SUMIF('Week 5'!$C$7:$C$36,Summary!C32,'Week 5'!$S$7:$S$36)</f>
        <v>0</v>
      </c>
      <c r="Q32" s="59">
        <f>SUMIF('Week 5'!$C$7:$C$36,Summary!C32,'Week 5'!$T$7:$T$36)</f>
        <v>0</v>
      </c>
      <c r="R32" s="59">
        <f>SUMIF('Week 5'!$C$7:$C$36,Summary!C32,'Week 5'!$U$7:$U$36)</f>
        <v>0</v>
      </c>
      <c r="S32" s="60"/>
      <c r="T32" s="61">
        <f t="shared" si="4"/>
        <v>0</v>
      </c>
      <c r="U32" s="61">
        <f t="shared" si="5"/>
        <v>0</v>
      </c>
      <c r="V32" s="62">
        <f t="shared" si="6"/>
        <v>0</v>
      </c>
    </row>
    <row r="33" spans="2:22" s="3" customFormat="1" ht="19.95" customHeight="1" x14ac:dyDescent="0.3">
      <c r="B33" s="15">
        <f t="shared" si="3"/>
        <v>27</v>
      </c>
      <c r="C33" s="16"/>
      <c r="D33" s="59">
        <f>SUMIF('Week 1'!$C$7:$C$36,Summary!C33,'Week 1'!$S$7:$S$36)</f>
        <v>0</v>
      </c>
      <c r="E33" s="59">
        <f>SUMIF('Week 1'!$C$7:$C$36,Summary!C33,'Week 1'!$T$7:$T$36)</f>
        <v>0</v>
      </c>
      <c r="F33" s="59">
        <f>SUMIF('Week 1'!$C$7:$C$36,Summary!C33,'Week 1'!$U$7:$U$36)</f>
        <v>0</v>
      </c>
      <c r="G33" s="59">
        <f>SUMIF('Week 2'!$C$7:$C$36,Summary!C33,'Week 2'!$S$7:$S$36)</f>
        <v>0</v>
      </c>
      <c r="H33" s="59">
        <f>SUMIF('Week 2'!$C$7:$C$36,Summary!C33,'Week 2'!$T$7:$T$36)</f>
        <v>0</v>
      </c>
      <c r="I33" s="59">
        <f>SUMIF('Week 2'!$C$7:$C$36,Summary!C33,'Week 2'!$U$7:$U$36)</f>
        <v>0</v>
      </c>
      <c r="J33" s="59">
        <f>SUMIF('Week 3'!$C$7:$C$36,Summary!C33,'Week 3'!$S$7:$S$36)</f>
        <v>0</v>
      </c>
      <c r="K33" s="59">
        <f>SUMIF('Week 3'!$C$7:$C$36,Summary!C33,'Week 3'!$T$7:$T$36)</f>
        <v>0</v>
      </c>
      <c r="L33" s="59">
        <f>SUMIF('Week 3'!$C$7:$C$36,Summary!C33,'Week 3'!$U$7:$U$36)</f>
        <v>0</v>
      </c>
      <c r="M33" s="59">
        <f>SUMIF('Week 4'!$C$7:$C$36,Summary!C33,'Week 4'!$S$7:$S$36)</f>
        <v>0</v>
      </c>
      <c r="N33" s="59">
        <f>SUMIF('Week 4'!$C$7:$C$36,Summary!C33,'Week 4'!$T$7:$T$36)</f>
        <v>0</v>
      </c>
      <c r="O33" s="59">
        <f>SUMIF('Week 4'!$C$7:$C$36,Summary!C33,'Week 4'!$U$7:$U$36)</f>
        <v>0</v>
      </c>
      <c r="P33" s="59">
        <f>SUMIF('Week 5'!$C$7:$C$36,Summary!C33,'Week 5'!$S$7:$S$36)</f>
        <v>0</v>
      </c>
      <c r="Q33" s="59">
        <f>SUMIF('Week 5'!$C$7:$C$36,Summary!C33,'Week 5'!$T$7:$T$36)</f>
        <v>0</v>
      </c>
      <c r="R33" s="59">
        <f>SUMIF('Week 5'!$C$7:$C$36,Summary!C33,'Week 5'!$U$7:$U$36)</f>
        <v>0</v>
      </c>
      <c r="S33" s="60"/>
      <c r="T33" s="61">
        <f t="shared" si="4"/>
        <v>0</v>
      </c>
      <c r="U33" s="61">
        <f t="shared" si="5"/>
        <v>0</v>
      </c>
      <c r="V33" s="62">
        <f t="shared" si="6"/>
        <v>0</v>
      </c>
    </row>
    <row r="34" spans="2:22" s="3" customFormat="1" ht="19.95" customHeight="1" x14ac:dyDescent="0.3">
      <c r="B34" s="15">
        <f t="shared" si="3"/>
        <v>28</v>
      </c>
      <c r="C34" s="16"/>
      <c r="D34" s="59">
        <f>SUMIF('Week 1'!$C$7:$C$36,Summary!C34,'Week 1'!$S$7:$S$36)</f>
        <v>0</v>
      </c>
      <c r="E34" s="59">
        <f>SUMIF('Week 1'!$C$7:$C$36,Summary!C34,'Week 1'!$T$7:$T$36)</f>
        <v>0</v>
      </c>
      <c r="F34" s="59">
        <f>SUMIF('Week 1'!$C$7:$C$36,Summary!C34,'Week 1'!$U$7:$U$36)</f>
        <v>0</v>
      </c>
      <c r="G34" s="59">
        <f>SUMIF('Week 2'!$C$7:$C$36,Summary!C34,'Week 2'!$S$7:$S$36)</f>
        <v>0</v>
      </c>
      <c r="H34" s="59">
        <f>SUMIF('Week 2'!$C$7:$C$36,Summary!C34,'Week 2'!$T$7:$T$36)</f>
        <v>0</v>
      </c>
      <c r="I34" s="59">
        <f>SUMIF('Week 2'!$C$7:$C$36,Summary!C34,'Week 2'!$U$7:$U$36)</f>
        <v>0</v>
      </c>
      <c r="J34" s="59">
        <f>SUMIF('Week 3'!$C$7:$C$36,Summary!C34,'Week 3'!$S$7:$S$36)</f>
        <v>0</v>
      </c>
      <c r="K34" s="59">
        <f>SUMIF('Week 3'!$C$7:$C$36,Summary!C34,'Week 3'!$T$7:$T$36)</f>
        <v>0</v>
      </c>
      <c r="L34" s="59">
        <f>SUMIF('Week 3'!$C$7:$C$36,Summary!C34,'Week 3'!$U$7:$U$36)</f>
        <v>0</v>
      </c>
      <c r="M34" s="59">
        <f>SUMIF('Week 4'!$C$7:$C$36,Summary!C34,'Week 4'!$S$7:$S$36)</f>
        <v>0</v>
      </c>
      <c r="N34" s="59">
        <f>SUMIF('Week 4'!$C$7:$C$36,Summary!C34,'Week 4'!$T$7:$T$36)</f>
        <v>0</v>
      </c>
      <c r="O34" s="59">
        <f>SUMIF('Week 4'!$C$7:$C$36,Summary!C34,'Week 4'!$U$7:$U$36)</f>
        <v>0</v>
      </c>
      <c r="P34" s="59">
        <f>SUMIF('Week 5'!$C$7:$C$36,Summary!C34,'Week 5'!$S$7:$S$36)</f>
        <v>0</v>
      </c>
      <c r="Q34" s="59">
        <f>SUMIF('Week 5'!$C$7:$C$36,Summary!C34,'Week 5'!$T$7:$T$36)</f>
        <v>0</v>
      </c>
      <c r="R34" s="59">
        <f>SUMIF('Week 5'!$C$7:$C$36,Summary!C34,'Week 5'!$U$7:$U$36)</f>
        <v>0</v>
      </c>
      <c r="S34" s="60"/>
      <c r="T34" s="61">
        <f t="shared" si="4"/>
        <v>0</v>
      </c>
      <c r="U34" s="61">
        <f t="shared" si="5"/>
        <v>0</v>
      </c>
      <c r="V34" s="62">
        <f t="shared" si="6"/>
        <v>0</v>
      </c>
    </row>
    <row r="35" spans="2:22" s="3" customFormat="1" ht="19.95" customHeight="1" x14ac:dyDescent="0.3">
      <c r="B35" s="15">
        <f t="shared" si="3"/>
        <v>29</v>
      </c>
      <c r="C35" s="16"/>
      <c r="D35" s="59">
        <f>SUMIF('Week 1'!$C$7:$C$36,Summary!C35,'Week 1'!$S$7:$S$36)</f>
        <v>0</v>
      </c>
      <c r="E35" s="59">
        <f>SUMIF('Week 1'!$C$7:$C$36,Summary!C35,'Week 1'!$T$7:$T$36)</f>
        <v>0</v>
      </c>
      <c r="F35" s="59">
        <f>SUMIF('Week 1'!$C$7:$C$36,Summary!C35,'Week 1'!$U$7:$U$36)</f>
        <v>0</v>
      </c>
      <c r="G35" s="59">
        <f>SUMIF('Week 2'!$C$7:$C$36,Summary!C35,'Week 2'!$S$7:$S$36)</f>
        <v>0</v>
      </c>
      <c r="H35" s="59">
        <f>SUMIF('Week 2'!$C$7:$C$36,Summary!C35,'Week 2'!$T$7:$T$36)</f>
        <v>0</v>
      </c>
      <c r="I35" s="59">
        <f>SUMIF('Week 2'!$C$7:$C$36,Summary!C35,'Week 2'!$U$7:$U$36)</f>
        <v>0</v>
      </c>
      <c r="J35" s="59">
        <f>SUMIF('Week 3'!$C$7:$C$36,Summary!C35,'Week 3'!$S$7:$S$36)</f>
        <v>0</v>
      </c>
      <c r="K35" s="59">
        <f>SUMIF('Week 3'!$C$7:$C$36,Summary!C35,'Week 3'!$T$7:$T$36)</f>
        <v>0</v>
      </c>
      <c r="L35" s="59">
        <f>SUMIF('Week 3'!$C$7:$C$36,Summary!C35,'Week 3'!$U$7:$U$36)</f>
        <v>0</v>
      </c>
      <c r="M35" s="59">
        <f>SUMIF('Week 4'!$C$7:$C$36,Summary!C35,'Week 4'!$S$7:$S$36)</f>
        <v>0</v>
      </c>
      <c r="N35" s="59">
        <f>SUMIF('Week 4'!$C$7:$C$36,Summary!C35,'Week 4'!$T$7:$T$36)</f>
        <v>0</v>
      </c>
      <c r="O35" s="59">
        <f>SUMIF('Week 4'!$C$7:$C$36,Summary!C35,'Week 4'!$U$7:$U$36)</f>
        <v>0</v>
      </c>
      <c r="P35" s="59">
        <f>SUMIF('Week 5'!$C$7:$C$36,Summary!C35,'Week 5'!$S$7:$S$36)</f>
        <v>0</v>
      </c>
      <c r="Q35" s="59">
        <f>SUMIF('Week 5'!$C$7:$C$36,Summary!C35,'Week 5'!$T$7:$T$36)</f>
        <v>0</v>
      </c>
      <c r="R35" s="59">
        <f>SUMIF('Week 5'!$C$7:$C$36,Summary!C35,'Week 5'!$U$7:$U$36)</f>
        <v>0</v>
      </c>
      <c r="S35" s="60"/>
      <c r="T35" s="61">
        <f t="shared" si="4"/>
        <v>0</v>
      </c>
      <c r="U35" s="61">
        <f t="shared" si="5"/>
        <v>0</v>
      </c>
      <c r="V35" s="62">
        <f t="shared" si="6"/>
        <v>0</v>
      </c>
    </row>
    <row r="36" spans="2:22" s="3" customFormat="1" ht="19.95" customHeight="1" x14ac:dyDescent="0.3">
      <c r="B36" s="15">
        <f t="shared" si="3"/>
        <v>30</v>
      </c>
      <c r="C36" s="16"/>
      <c r="D36" s="59">
        <f>SUMIF('Week 1'!$C$7:$C$36,Summary!C36,'Week 1'!$S$7:$S$36)</f>
        <v>0</v>
      </c>
      <c r="E36" s="59">
        <f>SUMIF('Week 1'!$C$7:$C$36,Summary!C36,'Week 1'!$T$7:$T$36)</f>
        <v>0</v>
      </c>
      <c r="F36" s="59">
        <f>SUMIF('Week 1'!$C$7:$C$36,Summary!C36,'Week 1'!$U$7:$U$36)</f>
        <v>0</v>
      </c>
      <c r="G36" s="59">
        <f>SUMIF('Week 2'!$C$7:$C$36,Summary!C36,'Week 2'!$S$7:$S$36)</f>
        <v>0</v>
      </c>
      <c r="H36" s="59">
        <f>SUMIF('Week 2'!$C$7:$C$36,Summary!C36,'Week 2'!$T$7:$T$36)</f>
        <v>0</v>
      </c>
      <c r="I36" s="59">
        <f>SUMIF('Week 2'!$C$7:$C$36,Summary!C36,'Week 2'!$U$7:$U$36)</f>
        <v>0</v>
      </c>
      <c r="J36" s="59">
        <f>SUMIF('Week 3'!$C$7:$C$36,Summary!C36,'Week 3'!$S$7:$S$36)</f>
        <v>0</v>
      </c>
      <c r="K36" s="59">
        <f>SUMIF('Week 3'!$C$7:$C$36,Summary!C36,'Week 3'!$T$7:$T$36)</f>
        <v>0</v>
      </c>
      <c r="L36" s="59">
        <f>SUMIF('Week 3'!$C$7:$C$36,Summary!C36,'Week 3'!$U$7:$U$36)</f>
        <v>0</v>
      </c>
      <c r="M36" s="59">
        <f>SUMIF('Week 4'!$C$7:$C$36,Summary!C36,'Week 4'!$S$7:$S$36)</f>
        <v>0</v>
      </c>
      <c r="N36" s="59">
        <f>SUMIF('Week 4'!$C$7:$C$36,Summary!C36,'Week 4'!$T$7:$T$36)</f>
        <v>0</v>
      </c>
      <c r="O36" s="59">
        <f>SUMIF('Week 4'!$C$7:$C$36,Summary!C36,'Week 4'!$U$7:$U$36)</f>
        <v>0</v>
      </c>
      <c r="P36" s="59">
        <f>SUMIF('Week 5'!$C$7:$C$36,Summary!C36,'Week 5'!$S$7:$S$36)</f>
        <v>0</v>
      </c>
      <c r="Q36" s="59">
        <f>SUMIF('Week 5'!$C$7:$C$36,Summary!C36,'Week 5'!$T$7:$T$36)</f>
        <v>0</v>
      </c>
      <c r="R36" s="59">
        <f>SUMIF('Week 5'!$C$7:$C$36,Summary!C36,'Week 5'!$U$7:$U$36)</f>
        <v>0</v>
      </c>
      <c r="S36" s="60"/>
      <c r="T36" s="61">
        <f t="shared" si="0"/>
        <v>0</v>
      </c>
      <c r="U36" s="61">
        <f t="shared" si="1"/>
        <v>0</v>
      </c>
      <c r="V36" s="62">
        <f t="shared" si="2"/>
        <v>0</v>
      </c>
    </row>
    <row r="37" spans="2:22" ht="10.050000000000001" customHeight="1" x14ac:dyDescent="0.25">
      <c r="F37" s="10"/>
      <c r="H37" s="10"/>
      <c r="J37" s="10"/>
      <c r="L37" s="10"/>
      <c r="M37" s="10"/>
      <c r="T37" s="4"/>
      <c r="U37" s="4"/>
      <c r="V37" s="4"/>
    </row>
    <row r="38" spans="2:22" s="4" customFormat="1" ht="24" customHeight="1" thickBot="1" x14ac:dyDescent="0.35">
      <c r="B38" s="21" t="s">
        <v>2</v>
      </c>
      <c r="C38" s="21"/>
      <c r="D38" s="11">
        <f>SUM(D7:D36)</f>
        <v>65</v>
      </c>
      <c r="E38" s="11">
        <f t="shared" ref="E38:R38" si="7">SUM(E7:E36)</f>
        <v>12</v>
      </c>
      <c r="F38" s="11">
        <f t="shared" si="7"/>
        <v>77</v>
      </c>
      <c r="G38" s="11">
        <f t="shared" si="7"/>
        <v>0</v>
      </c>
      <c r="H38" s="11">
        <f t="shared" si="7"/>
        <v>0</v>
      </c>
      <c r="I38" s="11">
        <f t="shared" si="7"/>
        <v>0</v>
      </c>
      <c r="J38" s="11">
        <f t="shared" si="7"/>
        <v>0</v>
      </c>
      <c r="K38" s="11">
        <f t="shared" si="7"/>
        <v>0</v>
      </c>
      <c r="L38" s="11">
        <f t="shared" si="7"/>
        <v>0</v>
      </c>
      <c r="M38" s="11">
        <f t="shared" si="7"/>
        <v>0</v>
      </c>
      <c r="N38" s="11">
        <f t="shared" si="7"/>
        <v>0</v>
      </c>
      <c r="O38" s="11">
        <f t="shared" si="7"/>
        <v>0</v>
      </c>
      <c r="P38" s="11">
        <f t="shared" si="7"/>
        <v>0</v>
      </c>
      <c r="Q38" s="11">
        <f t="shared" si="7"/>
        <v>0</v>
      </c>
      <c r="R38" s="11">
        <f t="shared" si="7"/>
        <v>0</v>
      </c>
      <c r="S38" s="12"/>
      <c r="T38" s="63">
        <f>SUM(T7:T36)</f>
        <v>65</v>
      </c>
      <c r="U38" s="63">
        <f>SUM(U7:U36)</f>
        <v>12</v>
      </c>
      <c r="V38" s="63">
        <f>SUM(V7:V36)</f>
        <v>77</v>
      </c>
    </row>
    <row r="39" spans="2:22" ht="14.4" thickTop="1" x14ac:dyDescent="0.25"/>
  </sheetData>
  <mergeCells count="11">
    <mergeCell ref="P4:R5"/>
    <mergeCell ref="T4:V5"/>
    <mergeCell ref="B2:C2"/>
    <mergeCell ref="D2:E2"/>
    <mergeCell ref="B4:B6"/>
    <mergeCell ref="C4:C6"/>
    <mergeCell ref="B38:C38"/>
    <mergeCell ref="D4:F5"/>
    <mergeCell ref="G4:I5"/>
    <mergeCell ref="J4:L5"/>
    <mergeCell ref="M4:O5"/>
  </mergeCells>
  <phoneticPr fontId="10" type="noConversion"/>
  <printOptions horizontalCentered="1"/>
  <pageMargins left="0" right="0" top="0.5" bottom="0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39"/>
  <sheetViews>
    <sheetView showGridLines="0" showRowColHeaders="0" zoomScale="69" zoomScaleNormal="100" zoomScaleSheetLayoutView="100" workbookViewId="0">
      <pane xSplit="1" ySplit="6" topLeftCell="B7" activePane="bottomRight" state="frozen"/>
      <selection activeCell="F12" sqref="F12"/>
      <selection pane="topRight" activeCell="F12" sqref="F12"/>
      <selection pane="bottomLeft" activeCell="F12" sqref="F12"/>
      <selection pane="bottomRight" activeCell="S4" sqref="S4:U6"/>
    </sheetView>
  </sheetViews>
  <sheetFormatPr defaultRowHeight="13.8" x14ac:dyDescent="0.25"/>
  <cols>
    <col min="1" max="1" width="1.109375" style="1" customWidth="1"/>
    <col min="2" max="2" width="6.21875" style="2" customWidth="1"/>
    <col min="3" max="3" width="15.77734375" style="1" customWidth="1"/>
    <col min="4" max="4" width="12.109375" style="10" customWidth="1"/>
    <col min="5" max="5" width="10" style="1" bestFit="1" customWidth="1"/>
    <col min="6" max="6" width="12.44140625" style="1" customWidth="1"/>
    <col min="7" max="7" width="10.88671875" style="1" bestFit="1" customWidth="1"/>
    <col min="8" max="8" width="13" style="1" customWidth="1"/>
    <col min="9" max="9" width="8.88671875" style="1"/>
    <col min="10" max="10" width="12.109375" style="1" customWidth="1"/>
    <col min="11" max="11" width="8.88671875" style="1"/>
    <col min="12" max="12" width="12.5546875" style="1" customWidth="1"/>
    <col min="13" max="13" width="10.5546875" style="1" bestFit="1" customWidth="1"/>
    <col min="14" max="14" width="13.44140625" style="1" customWidth="1"/>
    <col min="15" max="15" width="10" style="1" customWidth="1"/>
    <col min="16" max="16" width="11.6640625" style="1" customWidth="1"/>
    <col min="17" max="17" width="10" style="1" customWidth="1"/>
    <col min="18" max="18" width="0.88671875" style="6" customWidth="1"/>
    <col min="19" max="19" width="16.33203125" style="2" customWidth="1"/>
    <col min="20" max="20" width="27.44140625" style="2" customWidth="1"/>
    <col min="21" max="21" width="15.44140625" style="2" customWidth="1"/>
    <col min="22" max="22" width="1.109375" style="1" customWidth="1"/>
    <col min="23" max="16384" width="8.88671875" style="1"/>
  </cols>
  <sheetData>
    <row r="1" spans="2:21" ht="6" customHeight="1" x14ac:dyDescent="0.25"/>
    <row r="2" spans="2:21" s="5" customFormat="1" ht="25.2" x14ac:dyDescent="0.45">
      <c r="B2" s="56" t="s">
        <v>25</v>
      </c>
      <c r="C2" s="56"/>
      <c r="D2" s="54">
        <v>44682</v>
      </c>
      <c r="E2" s="54"/>
      <c r="R2" s="7"/>
      <c r="S2" s="8"/>
      <c r="T2" s="8"/>
      <c r="U2" s="8"/>
    </row>
    <row r="4" spans="2:21" s="4" customFormat="1" ht="30" customHeight="1" x14ac:dyDescent="0.3">
      <c r="B4" s="55" t="s">
        <v>0</v>
      </c>
      <c r="C4" s="55" t="s">
        <v>13</v>
      </c>
      <c r="D4" s="57">
        <f>D2</f>
        <v>44682</v>
      </c>
      <c r="E4" s="57"/>
      <c r="F4" s="57">
        <f>IFERROR((IF(MONTH(D4)=MONTH(D4+1),D4+1," ")),"")</f>
        <v>44683</v>
      </c>
      <c r="G4" s="57"/>
      <c r="H4" s="57">
        <f t="shared" ref="H4" si="0">IFERROR((IF(MONTH(F4)=MONTH(F4+1),F4+1," ")),"")</f>
        <v>44684</v>
      </c>
      <c r="I4" s="57"/>
      <c r="J4" s="57">
        <f t="shared" ref="J4" si="1">IFERROR((IF(MONTH(H4)=MONTH(H4+1),H4+1," ")),"")</f>
        <v>44685</v>
      </c>
      <c r="K4" s="57"/>
      <c r="L4" s="57">
        <f t="shared" ref="L4" si="2">IFERROR((IF(MONTH(J4)=MONTH(J4+1),J4+1," ")),"")</f>
        <v>44686</v>
      </c>
      <c r="M4" s="57"/>
      <c r="N4" s="57">
        <f t="shared" ref="N4" si="3">IFERROR((IF(MONTH(L4)=MONTH(L4+1),L4+1," ")),"")</f>
        <v>44687</v>
      </c>
      <c r="O4" s="57"/>
      <c r="P4" s="57">
        <f t="shared" ref="P4" si="4">IFERROR((IF(MONTH(N4)=MONTH(N4+1),N4+1," ")),"")</f>
        <v>44688</v>
      </c>
      <c r="Q4" s="57"/>
      <c r="R4" s="13"/>
      <c r="S4" s="58" t="s">
        <v>24</v>
      </c>
      <c r="T4" s="58"/>
      <c r="U4" s="58"/>
    </row>
    <row r="5" spans="2:21" s="4" customFormat="1" ht="30" customHeight="1" x14ac:dyDescent="0.3">
      <c r="B5" s="55"/>
      <c r="C5" s="55"/>
      <c r="D5" s="55" t="str">
        <f>TEXT(D4,"dddd")</f>
        <v>Sunday</v>
      </c>
      <c r="E5" s="55"/>
      <c r="F5" s="55" t="str">
        <f>TEXT(F4,"dddd")</f>
        <v>Monday</v>
      </c>
      <c r="G5" s="55"/>
      <c r="H5" s="55" t="str">
        <f>TEXT(H4,"dddd")</f>
        <v>Tuesday</v>
      </c>
      <c r="I5" s="55"/>
      <c r="J5" s="55" t="str">
        <f>TEXT(J4,"dddd")</f>
        <v>Wednesday</v>
      </c>
      <c r="K5" s="55"/>
      <c r="L5" s="55" t="str">
        <f>TEXT(L4,"dddd")</f>
        <v>Thursday</v>
      </c>
      <c r="M5" s="55"/>
      <c r="N5" s="55" t="str">
        <f>TEXT(N4,"dddd")</f>
        <v>Friday</v>
      </c>
      <c r="O5" s="55"/>
      <c r="P5" s="55" t="str">
        <f>TEXT(P4,"dddd")</f>
        <v>Saturday</v>
      </c>
      <c r="Q5" s="55"/>
      <c r="R5" s="13"/>
      <c r="S5" s="58"/>
      <c r="T5" s="58"/>
      <c r="U5" s="58"/>
    </row>
    <row r="6" spans="2:21" s="4" customFormat="1" ht="30" customHeight="1" x14ac:dyDescent="0.3">
      <c r="B6" s="55"/>
      <c r="C6" s="55"/>
      <c r="D6" s="14" t="s">
        <v>23</v>
      </c>
      <c r="E6" s="14" t="s">
        <v>3</v>
      </c>
      <c r="F6" s="14" t="s">
        <v>23</v>
      </c>
      <c r="G6" s="14" t="s">
        <v>3</v>
      </c>
      <c r="H6" s="14" t="s">
        <v>23</v>
      </c>
      <c r="I6" s="14" t="s">
        <v>3</v>
      </c>
      <c r="J6" s="14" t="s">
        <v>23</v>
      </c>
      <c r="K6" s="14" t="s">
        <v>3</v>
      </c>
      <c r="L6" s="14" t="s">
        <v>23</v>
      </c>
      <c r="M6" s="14" t="s">
        <v>3</v>
      </c>
      <c r="N6" s="14" t="s">
        <v>23</v>
      </c>
      <c r="O6" s="14" t="s">
        <v>3</v>
      </c>
      <c r="P6" s="14" t="s">
        <v>23</v>
      </c>
      <c r="Q6" s="14" t="s">
        <v>3</v>
      </c>
      <c r="R6" s="13"/>
      <c r="S6" s="14" t="s">
        <v>20</v>
      </c>
      <c r="T6" s="14" t="s">
        <v>21</v>
      </c>
      <c r="U6" s="14" t="s">
        <v>5</v>
      </c>
    </row>
    <row r="7" spans="2:21" s="3" customFormat="1" ht="19.95" customHeight="1" x14ac:dyDescent="0.3">
      <c r="B7" s="15">
        <v>1</v>
      </c>
      <c r="C7" s="16" t="s">
        <v>7</v>
      </c>
      <c r="D7" s="59">
        <v>6</v>
      </c>
      <c r="E7" s="17" t="s">
        <v>11</v>
      </c>
      <c r="F7" s="59">
        <v>6</v>
      </c>
      <c r="G7" s="17" t="s">
        <v>11</v>
      </c>
      <c r="H7" s="59">
        <v>6</v>
      </c>
      <c r="I7" s="17" t="s">
        <v>4</v>
      </c>
      <c r="J7" s="59">
        <v>6</v>
      </c>
      <c r="K7" s="17" t="s">
        <v>4</v>
      </c>
      <c r="L7" s="59">
        <v>6</v>
      </c>
      <c r="M7" s="17" t="s">
        <v>4</v>
      </c>
      <c r="N7" s="59">
        <v>6</v>
      </c>
      <c r="O7" s="17" t="s">
        <v>4</v>
      </c>
      <c r="P7" s="59">
        <v>6</v>
      </c>
      <c r="Q7" s="17" t="s">
        <v>4</v>
      </c>
      <c r="R7" s="18"/>
      <c r="S7" s="61">
        <f>IF(E7="Paid",D7,0)+IF(G7="Paid",F7,0)+IF(I7="Paid",H7,0)+IF(K7="Paid",J7,0)+IF(M7="Paid",L7,0)+IF(O7="Paid",N7,0)+IF(Q7="Paid",P7,0)</f>
        <v>30</v>
      </c>
      <c r="T7" s="61">
        <f>IF(E7="Not Paid",D7,0)+IF(G7="Not Paid",F7,0)+IF(I7="Not Paid",H7,0)+IF(K7="Not Paid",J7,0)+IF(M7="Not Paid",L7,0)+IF(O7="Not Paid",N7,0)+IF(Q7="Not Paid",P7,0)</f>
        <v>12</v>
      </c>
      <c r="U7" s="62">
        <f>T7+S7</f>
        <v>42</v>
      </c>
    </row>
    <row r="8" spans="2:21" s="3" customFormat="1" ht="19.95" customHeight="1" x14ac:dyDescent="0.3">
      <c r="B8" s="15">
        <f>B7+1</f>
        <v>2</v>
      </c>
      <c r="C8" s="16" t="s">
        <v>6</v>
      </c>
      <c r="D8" s="59">
        <v>2</v>
      </c>
      <c r="E8" s="17" t="s">
        <v>4</v>
      </c>
      <c r="F8" s="59">
        <v>2</v>
      </c>
      <c r="G8" s="17" t="s">
        <v>4</v>
      </c>
      <c r="H8" s="59">
        <v>2</v>
      </c>
      <c r="I8" s="17" t="s">
        <v>4</v>
      </c>
      <c r="J8" s="59">
        <v>2</v>
      </c>
      <c r="K8" s="17" t="s">
        <v>4</v>
      </c>
      <c r="L8" s="59">
        <v>2</v>
      </c>
      <c r="M8" s="17" t="s">
        <v>4</v>
      </c>
      <c r="N8" s="59">
        <v>2</v>
      </c>
      <c r="O8" s="17" t="s">
        <v>4</v>
      </c>
      <c r="P8" s="59">
        <v>2</v>
      </c>
      <c r="Q8" s="17" t="s">
        <v>4</v>
      </c>
      <c r="R8" s="18"/>
      <c r="S8" s="61">
        <f t="shared" ref="S8:S19" si="5">IF(E8="Paid",D8,0)+IF(G8="Paid",F8,0)+IF(I8="Paid",H8,0)+IF(K8="Paid",J8,0)+IF(M8="Paid",L8,0)+IF(O8="Paid",N8,0)+IF(Q8="Paid",P8,0)</f>
        <v>14</v>
      </c>
      <c r="T8" s="61">
        <f t="shared" ref="T8:T19" si="6">IF(E8="Not Paid",D8,0)+IF(G8="Not Paid",F8,0)+IF(I8="Not Paid",H8,0)+IF(K8="Not Paid",J8,0)+IF(M8="Not Paid",L8,0)+IF(O8="Not Paid",N8,0)+IF(Q8="Not Paid",P8,0)</f>
        <v>0</v>
      </c>
      <c r="U8" s="62">
        <f t="shared" ref="U8:U19" si="7">T8+S8</f>
        <v>14</v>
      </c>
    </row>
    <row r="9" spans="2:21" s="3" customFormat="1" ht="19.95" customHeight="1" x14ac:dyDescent="0.3">
      <c r="B9" s="15">
        <f t="shared" ref="B9:B36" si="8">B8+1</f>
        <v>3</v>
      </c>
      <c r="C9" s="16" t="s">
        <v>8</v>
      </c>
      <c r="D9" s="59">
        <v>3</v>
      </c>
      <c r="E9" s="17" t="s">
        <v>4</v>
      </c>
      <c r="F9" s="59">
        <v>3</v>
      </c>
      <c r="G9" s="17" t="s">
        <v>4</v>
      </c>
      <c r="H9" s="59">
        <v>3</v>
      </c>
      <c r="I9" s="17" t="s">
        <v>4</v>
      </c>
      <c r="J9" s="59">
        <v>3</v>
      </c>
      <c r="K9" s="17" t="s">
        <v>4</v>
      </c>
      <c r="L9" s="59">
        <v>3</v>
      </c>
      <c r="M9" s="17" t="s">
        <v>4</v>
      </c>
      <c r="N9" s="59">
        <v>3</v>
      </c>
      <c r="O9" s="17" t="s">
        <v>4</v>
      </c>
      <c r="P9" s="59">
        <v>3</v>
      </c>
      <c r="Q9" s="17" t="s">
        <v>4</v>
      </c>
      <c r="R9" s="18"/>
      <c r="S9" s="61">
        <f t="shared" si="5"/>
        <v>21</v>
      </c>
      <c r="T9" s="61">
        <f t="shared" si="6"/>
        <v>0</v>
      </c>
      <c r="U9" s="62">
        <f t="shared" si="7"/>
        <v>21</v>
      </c>
    </row>
    <row r="10" spans="2:21" s="3" customFormat="1" ht="19.95" customHeight="1" x14ac:dyDescent="0.3">
      <c r="B10" s="15">
        <f t="shared" si="8"/>
        <v>4</v>
      </c>
      <c r="C10" s="16" t="s">
        <v>1</v>
      </c>
      <c r="D10" s="59">
        <v>4</v>
      </c>
      <c r="E10" s="17" t="s">
        <v>4</v>
      </c>
      <c r="F10" s="59">
        <v>4</v>
      </c>
      <c r="G10" s="17" t="s">
        <v>4</v>
      </c>
      <c r="H10" s="59">
        <v>4</v>
      </c>
      <c r="I10" s="17" t="s">
        <v>4</v>
      </c>
      <c r="J10" s="59">
        <v>4</v>
      </c>
      <c r="K10" s="17" t="s">
        <v>4</v>
      </c>
      <c r="L10" s="59">
        <v>4</v>
      </c>
      <c r="M10" s="17" t="s">
        <v>4</v>
      </c>
      <c r="N10" s="59">
        <v>4</v>
      </c>
      <c r="O10" s="17" t="s">
        <v>4</v>
      </c>
      <c r="P10" s="59">
        <v>4</v>
      </c>
      <c r="Q10" s="17" t="s">
        <v>4</v>
      </c>
      <c r="R10" s="18"/>
      <c r="S10" s="61">
        <f t="shared" si="5"/>
        <v>28</v>
      </c>
      <c r="T10" s="61">
        <f t="shared" si="6"/>
        <v>0</v>
      </c>
      <c r="U10" s="62">
        <f t="shared" si="7"/>
        <v>28</v>
      </c>
    </row>
    <row r="11" spans="2:21" s="3" customFormat="1" ht="19.95" customHeight="1" x14ac:dyDescent="0.3">
      <c r="B11" s="15">
        <f t="shared" si="8"/>
        <v>5</v>
      </c>
      <c r="C11" s="16" t="s">
        <v>1</v>
      </c>
      <c r="D11" s="59">
        <v>5</v>
      </c>
      <c r="E11" s="17" t="s">
        <v>4</v>
      </c>
      <c r="F11" s="59">
        <v>5</v>
      </c>
      <c r="G11" s="17" t="s">
        <v>4</v>
      </c>
      <c r="H11" s="59">
        <v>5</v>
      </c>
      <c r="I11" s="17" t="s">
        <v>4</v>
      </c>
      <c r="J11" s="59">
        <v>5</v>
      </c>
      <c r="K11" s="17" t="s">
        <v>4</v>
      </c>
      <c r="L11" s="59">
        <v>5</v>
      </c>
      <c r="M11" s="17" t="s">
        <v>4</v>
      </c>
      <c r="N11" s="59">
        <v>5</v>
      </c>
      <c r="O11" s="17" t="s">
        <v>4</v>
      </c>
      <c r="P11" s="59">
        <v>5</v>
      </c>
      <c r="Q11" s="17" t="s">
        <v>4</v>
      </c>
      <c r="R11" s="18"/>
      <c r="S11" s="61">
        <f t="shared" si="5"/>
        <v>35</v>
      </c>
      <c r="T11" s="61">
        <f t="shared" si="6"/>
        <v>0</v>
      </c>
      <c r="U11" s="62">
        <f t="shared" si="7"/>
        <v>35</v>
      </c>
    </row>
    <row r="12" spans="2:21" s="3" customFormat="1" ht="19.95" customHeight="1" x14ac:dyDescent="0.3">
      <c r="B12" s="15">
        <f t="shared" si="8"/>
        <v>6</v>
      </c>
      <c r="C12" s="16" t="s">
        <v>1</v>
      </c>
      <c r="D12" s="59"/>
      <c r="E12" s="17" t="s">
        <v>4</v>
      </c>
      <c r="F12" s="59"/>
      <c r="G12" s="17" t="s">
        <v>4</v>
      </c>
      <c r="H12" s="59"/>
      <c r="I12" s="17" t="s">
        <v>4</v>
      </c>
      <c r="J12" s="59"/>
      <c r="K12" s="17" t="s">
        <v>4</v>
      </c>
      <c r="L12" s="59"/>
      <c r="M12" s="17" t="s">
        <v>4</v>
      </c>
      <c r="N12" s="59"/>
      <c r="O12" s="17" t="s">
        <v>4</v>
      </c>
      <c r="P12" s="59"/>
      <c r="Q12" s="17" t="s">
        <v>4</v>
      </c>
      <c r="R12" s="18"/>
      <c r="S12" s="61">
        <f t="shared" si="5"/>
        <v>0</v>
      </c>
      <c r="T12" s="61">
        <f t="shared" si="6"/>
        <v>0</v>
      </c>
      <c r="U12" s="62">
        <f t="shared" si="7"/>
        <v>0</v>
      </c>
    </row>
    <row r="13" spans="2:21" s="3" customFormat="1" ht="19.95" customHeight="1" x14ac:dyDescent="0.3">
      <c r="B13" s="15">
        <f t="shared" si="8"/>
        <v>7</v>
      </c>
      <c r="C13" s="16" t="s">
        <v>1</v>
      </c>
      <c r="D13" s="59"/>
      <c r="E13" s="17" t="s">
        <v>4</v>
      </c>
      <c r="F13" s="59"/>
      <c r="G13" s="17" t="s">
        <v>4</v>
      </c>
      <c r="H13" s="59"/>
      <c r="I13" s="17" t="s">
        <v>4</v>
      </c>
      <c r="J13" s="59"/>
      <c r="K13" s="17" t="s">
        <v>4</v>
      </c>
      <c r="L13" s="59"/>
      <c r="M13" s="17" t="s">
        <v>4</v>
      </c>
      <c r="N13" s="59"/>
      <c r="O13" s="17" t="s">
        <v>4</v>
      </c>
      <c r="P13" s="59"/>
      <c r="Q13" s="17" t="s">
        <v>4</v>
      </c>
      <c r="R13" s="18"/>
      <c r="S13" s="61">
        <f t="shared" si="5"/>
        <v>0</v>
      </c>
      <c r="T13" s="61">
        <f t="shared" si="6"/>
        <v>0</v>
      </c>
      <c r="U13" s="62">
        <f t="shared" si="7"/>
        <v>0</v>
      </c>
    </row>
    <row r="14" spans="2:21" s="3" customFormat="1" ht="19.95" customHeight="1" x14ac:dyDescent="0.3">
      <c r="B14" s="15">
        <f t="shared" si="8"/>
        <v>8</v>
      </c>
      <c r="C14" s="16" t="s">
        <v>1</v>
      </c>
      <c r="D14" s="59"/>
      <c r="E14" s="17" t="s">
        <v>4</v>
      </c>
      <c r="F14" s="59"/>
      <c r="G14" s="17" t="s">
        <v>4</v>
      </c>
      <c r="H14" s="59"/>
      <c r="I14" s="17" t="s">
        <v>4</v>
      </c>
      <c r="J14" s="59"/>
      <c r="K14" s="17" t="s">
        <v>4</v>
      </c>
      <c r="L14" s="59"/>
      <c r="M14" s="17" t="s">
        <v>4</v>
      </c>
      <c r="N14" s="59"/>
      <c r="O14" s="17" t="s">
        <v>4</v>
      </c>
      <c r="P14" s="59"/>
      <c r="Q14" s="17" t="s">
        <v>4</v>
      </c>
      <c r="R14" s="18"/>
      <c r="S14" s="61">
        <f t="shared" si="5"/>
        <v>0</v>
      </c>
      <c r="T14" s="61">
        <f t="shared" si="6"/>
        <v>0</v>
      </c>
      <c r="U14" s="62">
        <f t="shared" si="7"/>
        <v>0</v>
      </c>
    </row>
    <row r="15" spans="2:21" s="3" customFormat="1" ht="19.95" customHeight="1" x14ac:dyDescent="0.3">
      <c r="B15" s="15">
        <f t="shared" si="8"/>
        <v>9</v>
      </c>
      <c r="C15" s="16" t="s">
        <v>1</v>
      </c>
      <c r="D15" s="59"/>
      <c r="E15" s="17" t="s">
        <v>4</v>
      </c>
      <c r="F15" s="59"/>
      <c r="G15" s="17" t="s">
        <v>4</v>
      </c>
      <c r="H15" s="59"/>
      <c r="I15" s="17" t="s">
        <v>4</v>
      </c>
      <c r="J15" s="59"/>
      <c r="K15" s="17" t="s">
        <v>4</v>
      </c>
      <c r="L15" s="59"/>
      <c r="M15" s="17" t="s">
        <v>4</v>
      </c>
      <c r="N15" s="59"/>
      <c r="O15" s="17" t="s">
        <v>4</v>
      </c>
      <c r="P15" s="59"/>
      <c r="Q15" s="17" t="s">
        <v>4</v>
      </c>
      <c r="R15" s="18"/>
      <c r="S15" s="61">
        <f t="shared" si="5"/>
        <v>0</v>
      </c>
      <c r="T15" s="61">
        <f t="shared" si="6"/>
        <v>0</v>
      </c>
      <c r="U15" s="62">
        <f t="shared" si="7"/>
        <v>0</v>
      </c>
    </row>
    <row r="16" spans="2:21" s="3" customFormat="1" ht="19.95" customHeight="1" x14ac:dyDescent="0.3">
      <c r="B16" s="15">
        <f t="shared" si="8"/>
        <v>10</v>
      </c>
      <c r="C16" s="16" t="s">
        <v>1</v>
      </c>
      <c r="D16" s="59"/>
      <c r="E16" s="17"/>
      <c r="F16" s="59"/>
      <c r="G16" s="17"/>
      <c r="H16" s="59"/>
      <c r="I16" s="17"/>
      <c r="J16" s="59"/>
      <c r="K16" s="17"/>
      <c r="L16" s="59"/>
      <c r="M16" s="17"/>
      <c r="N16" s="59"/>
      <c r="O16" s="17"/>
      <c r="P16" s="59"/>
      <c r="Q16" s="17"/>
      <c r="R16" s="18"/>
      <c r="S16" s="61">
        <f t="shared" si="5"/>
        <v>0</v>
      </c>
      <c r="T16" s="61">
        <f t="shared" si="6"/>
        <v>0</v>
      </c>
      <c r="U16" s="62">
        <f t="shared" si="7"/>
        <v>0</v>
      </c>
    </row>
    <row r="17" spans="2:21" s="3" customFormat="1" ht="19.95" customHeight="1" x14ac:dyDescent="0.3">
      <c r="B17" s="15">
        <f t="shared" si="8"/>
        <v>11</v>
      </c>
      <c r="C17" s="16" t="s">
        <v>1</v>
      </c>
      <c r="D17" s="59"/>
      <c r="E17" s="17"/>
      <c r="F17" s="59"/>
      <c r="G17" s="17"/>
      <c r="H17" s="59"/>
      <c r="I17" s="17"/>
      <c r="J17" s="59"/>
      <c r="K17" s="17"/>
      <c r="L17" s="59"/>
      <c r="M17" s="17"/>
      <c r="N17" s="59"/>
      <c r="O17" s="17"/>
      <c r="P17" s="59"/>
      <c r="Q17" s="17"/>
      <c r="R17" s="18"/>
      <c r="S17" s="61">
        <f t="shared" si="5"/>
        <v>0</v>
      </c>
      <c r="T17" s="61">
        <f t="shared" si="6"/>
        <v>0</v>
      </c>
      <c r="U17" s="62">
        <f t="shared" si="7"/>
        <v>0</v>
      </c>
    </row>
    <row r="18" spans="2:21" s="3" customFormat="1" ht="19.95" customHeight="1" x14ac:dyDescent="0.3">
      <c r="B18" s="15">
        <f t="shared" si="8"/>
        <v>12</v>
      </c>
      <c r="C18" s="16" t="s">
        <v>1</v>
      </c>
      <c r="D18" s="59"/>
      <c r="E18" s="17"/>
      <c r="F18" s="59"/>
      <c r="G18" s="17"/>
      <c r="H18" s="59"/>
      <c r="I18" s="17"/>
      <c r="J18" s="59"/>
      <c r="K18" s="17"/>
      <c r="L18" s="59"/>
      <c r="M18" s="17"/>
      <c r="N18" s="59"/>
      <c r="O18" s="17"/>
      <c r="P18" s="59"/>
      <c r="Q18" s="17"/>
      <c r="R18" s="18"/>
      <c r="S18" s="61">
        <f t="shared" si="5"/>
        <v>0</v>
      </c>
      <c r="T18" s="61">
        <f t="shared" si="6"/>
        <v>0</v>
      </c>
      <c r="U18" s="62">
        <f t="shared" si="7"/>
        <v>0</v>
      </c>
    </row>
    <row r="19" spans="2:21" s="3" customFormat="1" ht="19.95" customHeight="1" x14ac:dyDescent="0.3">
      <c r="B19" s="15">
        <f t="shared" si="8"/>
        <v>13</v>
      </c>
      <c r="C19" s="16" t="s">
        <v>1</v>
      </c>
      <c r="D19" s="59"/>
      <c r="E19" s="17"/>
      <c r="F19" s="59"/>
      <c r="G19" s="17"/>
      <c r="H19" s="59"/>
      <c r="I19" s="17"/>
      <c r="J19" s="59"/>
      <c r="K19" s="17"/>
      <c r="L19" s="59"/>
      <c r="M19" s="17"/>
      <c r="N19" s="59"/>
      <c r="O19" s="17"/>
      <c r="P19" s="59"/>
      <c r="Q19" s="17"/>
      <c r="R19" s="18"/>
      <c r="S19" s="61">
        <f t="shared" si="5"/>
        <v>0</v>
      </c>
      <c r="T19" s="61">
        <f t="shared" si="6"/>
        <v>0</v>
      </c>
      <c r="U19" s="62">
        <f t="shared" si="7"/>
        <v>0</v>
      </c>
    </row>
    <row r="20" spans="2:21" s="3" customFormat="1" ht="19.95" customHeight="1" x14ac:dyDescent="0.3">
      <c r="B20" s="15">
        <f t="shared" si="8"/>
        <v>14</v>
      </c>
      <c r="C20" s="16"/>
      <c r="D20" s="59"/>
      <c r="E20" s="17"/>
      <c r="F20" s="59"/>
      <c r="G20" s="17"/>
      <c r="H20" s="59"/>
      <c r="I20" s="17"/>
      <c r="J20" s="59"/>
      <c r="K20" s="17"/>
      <c r="L20" s="59"/>
      <c r="M20" s="17"/>
      <c r="N20" s="59"/>
      <c r="O20" s="17"/>
      <c r="P20" s="59"/>
      <c r="Q20" s="17"/>
      <c r="R20" s="18"/>
      <c r="S20" s="61">
        <f t="shared" ref="S20:S36" si="9">IF(E20="Paid",D20,0)+IF(G20="Paid",F20,0)+IF(I20="Paid",H20,0)+IF(K20="Paid",J20,0)+IF(M20="Paid",L20,0)+IF(O20="Paid",N20,0)+IF(Q20="Paid",P20,0)</f>
        <v>0</v>
      </c>
      <c r="T20" s="61">
        <f t="shared" ref="T20:T36" si="10">IF(E20="Not Paid",D20,0)+IF(G20="Not Paid",F20,0)+IF(I20="Not Paid",H20,0)+IF(K20="Not Paid",J20,0)+IF(M20="Not Paid",L20,0)+IF(O20="Not Paid",N20,0)+IF(Q20="Not Paid",P20,0)</f>
        <v>0</v>
      </c>
      <c r="U20" s="62">
        <f t="shared" ref="U20:U36" si="11">T20+S20</f>
        <v>0</v>
      </c>
    </row>
    <row r="21" spans="2:21" s="3" customFormat="1" ht="19.95" customHeight="1" x14ac:dyDescent="0.3">
      <c r="B21" s="15">
        <f t="shared" si="8"/>
        <v>15</v>
      </c>
      <c r="C21" s="16"/>
      <c r="D21" s="59"/>
      <c r="E21" s="17"/>
      <c r="F21" s="59"/>
      <c r="G21" s="17"/>
      <c r="H21" s="59"/>
      <c r="I21" s="17"/>
      <c r="J21" s="59"/>
      <c r="K21" s="17"/>
      <c r="L21" s="59"/>
      <c r="M21" s="17"/>
      <c r="N21" s="59"/>
      <c r="O21" s="17"/>
      <c r="P21" s="59"/>
      <c r="Q21" s="17"/>
      <c r="R21" s="18"/>
      <c r="S21" s="61">
        <f t="shared" si="9"/>
        <v>0</v>
      </c>
      <c r="T21" s="61">
        <f t="shared" si="10"/>
        <v>0</v>
      </c>
      <c r="U21" s="62">
        <f t="shared" si="11"/>
        <v>0</v>
      </c>
    </row>
    <row r="22" spans="2:21" s="3" customFormat="1" ht="19.95" customHeight="1" x14ac:dyDescent="0.3">
      <c r="B22" s="15">
        <f t="shared" si="8"/>
        <v>16</v>
      </c>
      <c r="C22" s="16"/>
      <c r="D22" s="59"/>
      <c r="E22" s="17"/>
      <c r="F22" s="59"/>
      <c r="G22" s="17"/>
      <c r="H22" s="59"/>
      <c r="I22" s="17"/>
      <c r="J22" s="59"/>
      <c r="K22" s="17"/>
      <c r="L22" s="59"/>
      <c r="M22" s="17"/>
      <c r="N22" s="59"/>
      <c r="O22" s="17"/>
      <c r="P22" s="59"/>
      <c r="Q22" s="17"/>
      <c r="R22" s="18"/>
      <c r="S22" s="61">
        <f t="shared" si="9"/>
        <v>0</v>
      </c>
      <c r="T22" s="61">
        <f t="shared" si="10"/>
        <v>0</v>
      </c>
      <c r="U22" s="62">
        <f t="shared" si="11"/>
        <v>0</v>
      </c>
    </row>
    <row r="23" spans="2:21" s="3" customFormat="1" ht="19.95" customHeight="1" x14ac:dyDescent="0.3">
      <c r="B23" s="15">
        <f t="shared" si="8"/>
        <v>17</v>
      </c>
      <c r="C23" s="16"/>
      <c r="D23" s="59"/>
      <c r="E23" s="17"/>
      <c r="F23" s="59"/>
      <c r="G23" s="17"/>
      <c r="H23" s="59"/>
      <c r="I23" s="17"/>
      <c r="J23" s="59"/>
      <c r="K23" s="17"/>
      <c r="L23" s="59"/>
      <c r="M23" s="17"/>
      <c r="N23" s="59"/>
      <c r="O23" s="17"/>
      <c r="P23" s="59"/>
      <c r="Q23" s="17"/>
      <c r="R23" s="18"/>
      <c r="S23" s="61">
        <f t="shared" si="9"/>
        <v>0</v>
      </c>
      <c r="T23" s="61">
        <f t="shared" si="10"/>
        <v>0</v>
      </c>
      <c r="U23" s="62">
        <f t="shared" si="11"/>
        <v>0</v>
      </c>
    </row>
    <row r="24" spans="2:21" s="3" customFormat="1" ht="19.95" customHeight="1" x14ac:dyDescent="0.3">
      <c r="B24" s="15">
        <f t="shared" si="8"/>
        <v>18</v>
      </c>
      <c r="C24" s="16"/>
      <c r="D24" s="59"/>
      <c r="E24" s="17"/>
      <c r="F24" s="59"/>
      <c r="G24" s="17"/>
      <c r="H24" s="59"/>
      <c r="I24" s="17"/>
      <c r="J24" s="59"/>
      <c r="K24" s="17"/>
      <c r="L24" s="59"/>
      <c r="M24" s="17"/>
      <c r="N24" s="59"/>
      <c r="O24" s="17"/>
      <c r="P24" s="59"/>
      <c r="Q24" s="17"/>
      <c r="R24" s="18"/>
      <c r="S24" s="61">
        <f t="shared" si="9"/>
        <v>0</v>
      </c>
      <c r="T24" s="61">
        <f t="shared" si="10"/>
        <v>0</v>
      </c>
      <c r="U24" s="62">
        <f t="shared" si="11"/>
        <v>0</v>
      </c>
    </row>
    <row r="25" spans="2:21" s="3" customFormat="1" ht="19.95" customHeight="1" x14ac:dyDescent="0.3">
      <c r="B25" s="15">
        <f t="shared" si="8"/>
        <v>19</v>
      </c>
      <c r="C25" s="16"/>
      <c r="D25" s="59"/>
      <c r="E25" s="17"/>
      <c r="F25" s="59"/>
      <c r="G25" s="17"/>
      <c r="H25" s="59"/>
      <c r="I25" s="17"/>
      <c r="J25" s="59"/>
      <c r="K25" s="17"/>
      <c r="L25" s="59"/>
      <c r="M25" s="17"/>
      <c r="N25" s="59"/>
      <c r="O25" s="17"/>
      <c r="P25" s="59"/>
      <c r="Q25" s="17"/>
      <c r="R25" s="18"/>
      <c r="S25" s="61">
        <f t="shared" si="9"/>
        <v>0</v>
      </c>
      <c r="T25" s="61">
        <f t="shared" si="10"/>
        <v>0</v>
      </c>
      <c r="U25" s="62">
        <f t="shared" si="11"/>
        <v>0</v>
      </c>
    </row>
    <row r="26" spans="2:21" s="3" customFormat="1" ht="19.95" customHeight="1" x14ac:dyDescent="0.3">
      <c r="B26" s="15">
        <f t="shared" si="8"/>
        <v>20</v>
      </c>
      <c r="C26" s="16"/>
      <c r="D26" s="59"/>
      <c r="E26" s="17"/>
      <c r="F26" s="59"/>
      <c r="G26" s="17"/>
      <c r="H26" s="59"/>
      <c r="I26" s="17"/>
      <c r="J26" s="59"/>
      <c r="K26" s="17"/>
      <c r="L26" s="59"/>
      <c r="M26" s="17"/>
      <c r="N26" s="59"/>
      <c r="O26" s="17"/>
      <c r="P26" s="59"/>
      <c r="Q26" s="17"/>
      <c r="R26" s="18"/>
      <c r="S26" s="61">
        <f t="shared" si="9"/>
        <v>0</v>
      </c>
      <c r="T26" s="61">
        <f t="shared" si="10"/>
        <v>0</v>
      </c>
      <c r="U26" s="62">
        <f t="shared" si="11"/>
        <v>0</v>
      </c>
    </row>
    <row r="27" spans="2:21" s="3" customFormat="1" ht="19.95" customHeight="1" x14ac:dyDescent="0.3">
      <c r="B27" s="15">
        <f t="shared" si="8"/>
        <v>21</v>
      </c>
      <c r="C27" s="16"/>
      <c r="D27" s="59"/>
      <c r="E27" s="17"/>
      <c r="F27" s="59"/>
      <c r="G27" s="17"/>
      <c r="H27" s="59"/>
      <c r="I27" s="17"/>
      <c r="J27" s="59"/>
      <c r="K27" s="17"/>
      <c r="L27" s="59"/>
      <c r="M27" s="17"/>
      <c r="N27" s="59"/>
      <c r="O27" s="17"/>
      <c r="P27" s="59"/>
      <c r="Q27" s="17"/>
      <c r="R27" s="18"/>
      <c r="S27" s="61">
        <f t="shared" si="9"/>
        <v>0</v>
      </c>
      <c r="T27" s="61">
        <f t="shared" si="10"/>
        <v>0</v>
      </c>
      <c r="U27" s="62">
        <f t="shared" si="11"/>
        <v>0</v>
      </c>
    </row>
    <row r="28" spans="2:21" s="3" customFormat="1" ht="19.95" customHeight="1" x14ac:dyDescent="0.3">
      <c r="B28" s="15">
        <f t="shared" si="8"/>
        <v>22</v>
      </c>
      <c r="C28" s="16"/>
      <c r="D28" s="59"/>
      <c r="E28" s="17"/>
      <c r="F28" s="59"/>
      <c r="G28" s="17"/>
      <c r="H28" s="59"/>
      <c r="I28" s="17"/>
      <c r="J28" s="59"/>
      <c r="K28" s="17"/>
      <c r="L28" s="59"/>
      <c r="M28" s="17"/>
      <c r="N28" s="59"/>
      <c r="O28" s="17"/>
      <c r="P28" s="59"/>
      <c r="Q28" s="17"/>
      <c r="R28" s="18"/>
      <c r="S28" s="61">
        <f t="shared" si="9"/>
        <v>0</v>
      </c>
      <c r="T28" s="61">
        <f t="shared" si="10"/>
        <v>0</v>
      </c>
      <c r="U28" s="62">
        <f t="shared" si="11"/>
        <v>0</v>
      </c>
    </row>
    <row r="29" spans="2:21" s="3" customFormat="1" ht="19.95" customHeight="1" x14ac:dyDescent="0.3">
      <c r="B29" s="15">
        <f t="shared" si="8"/>
        <v>23</v>
      </c>
      <c r="C29" s="16"/>
      <c r="D29" s="59"/>
      <c r="E29" s="17"/>
      <c r="F29" s="59"/>
      <c r="G29" s="17"/>
      <c r="H29" s="59"/>
      <c r="I29" s="17"/>
      <c r="J29" s="59"/>
      <c r="K29" s="17"/>
      <c r="L29" s="59"/>
      <c r="M29" s="17"/>
      <c r="N29" s="59"/>
      <c r="O29" s="17"/>
      <c r="P29" s="59"/>
      <c r="Q29" s="17"/>
      <c r="R29" s="18"/>
      <c r="S29" s="61">
        <f t="shared" si="9"/>
        <v>0</v>
      </c>
      <c r="T29" s="61">
        <f t="shared" si="10"/>
        <v>0</v>
      </c>
      <c r="U29" s="62">
        <f t="shared" si="11"/>
        <v>0</v>
      </c>
    </row>
    <row r="30" spans="2:21" s="3" customFormat="1" ht="19.95" customHeight="1" x14ac:dyDescent="0.3">
      <c r="B30" s="15">
        <f t="shared" si="8"/>
        <v>24</v>
      </c>
      <c r="C30" s="16"/>
      <c r="D30" s="59"/>
      <c r="E30" s="17"/>
      <c r="F30" s="59"/>
      <c r="G30" s="17"/>
      <c r="H30" s="59"/>
      <c r="I30" s="17"/>
      <c r="J30" s="59"/>
      <c r="K30" s="17"/>
      <c r="L30" s="59"/>
      <c r="M30" s="17"/>
      <c r="N30" s="59"/>
      <c r="O30" s="17"/>
      <c r="P30" s="59"/>
      <c r="Q30" s="17"/>
      <c r="R30" s="18"/>
      <c r="S30" s="61">
        <f t="shared" si="9"/>
        <v>0</v>
      </c>
      <c r="T30" s="61">
        <f t="shared" si="10"/>
        <v>0</v>
      </c>
      <c r="U30" s="62">
        <f t="shared" si="11"/>
        <v>0</v>
      </c>
    </row>
    <row r="31" spans="2:21" s="3" customFormat="1" ht="19.95" customHeight="1" x14ac:dyDescent="0.3">
      <c r="B31" s="15">
        <f t="shared" si="8"/>
        <v>25</v>
      </c>
      <c r="C31" s="16"/>
      <c r="D31" s="59"/>
      <c r="E31" s="17"/>
      <c r="F31" s="59"/>
      <c r="G31" s="17"/>
      <c r="H31" s="59"/>
      <c r="I31" s="17"/>
      <c r="J31" s="59"/>
      <c r="K31" s="17"/>
      <c r="L31" s="59"/>
      <c r="M31" s="17"/>
      <c r="N31" s="59"/>
      <c r="O31" s="17"/>
      <c r="P31" s="59"/>
      <c r="Q31" s="17"/>
      <c r="R31" s="18"/>
      <c r="S31" s="61">
        <f t="shared" si="9"/>
        <v>0</v>
      </c>
      <c r="T31" s="61">
        <f t="shared" si="10"/>
        <v>0</v>
      </c>
      <c r="U31" s="62">
        <f t="shared" si="11"/>
        <v>0</v>
      </c>
    </row>
    <row r="32" spans="2:21" s="3" customFormat="1" ht="19.95" customHeight="1" x14ac:dyDescent="0.3">
      <c r="B32" s="15">
        <f t="shared" si="8"/>
        <v>26</v>
      </c>
      <c r="C32" s="16"/>
      <c r="D32" s="59"/>
      <c r="E32" s="17"/>
      <c r="F32" s="59"/>
      <c r="G32" s="17"/>
      <c r="H32" s="59"/>
      <c r="I32" s="17"/>
      <c r="J32" s="59"/>
      <c r="K32" s="17"/>
      <c r="L32" s="59"/>
      <c r="M32" s="17"/>
      <c r="N32" s="59"/>
      <c r="O32" s="17"/>
      <c r="P32" s="59"/>
      <c r="Q32" s="17"/>
      <c r="R32" s="18"/>
      <c r="S32" s="61">
        <f t="shared" si="9"/>
        <v>0</v>
      </c>
      <c r="T32" s="61">
        <f t="shared" si="10"/>
        <v>0</v>
      </c>
      <c r="U32" s="62">
        <f t="shared" si="11"/>
        <v>0</v>
      </c>
    </row>
    <row r="33" spans="2:21" s="3" customFormat="1" ht="19.95" customHeight="1" x14ac:dyDescent="0.3">
      <c r="B33" s="15">
        <f t="shared" si="8"/>
        <v>27</v>
      </c>
      <c r="C33" s="16"/>
      <c r="D33" s="59"/>
      <c r="E33" s="17"/>
      <c r="F33" s="59"/>
      <c r="G33" s="17"/>
      <c r="H33" s="59"/>
      <c r="I33" s="17"/>
      <c r="J33" s="59"/>
      <c r="K33" s="17"/>
      <c r="L33" s="59"/>
      <c r="M33" s="17"/>
      <c r="N33" s="59"/>
      <c r="O33" s="17"/>
      <c r="P33" s="59"/>
      <c r="Q33" s="17"/>
      <c r="R33" s="18"/>
      <c r="S33" s="61">
        <f t="shared" si="9"/>
        <v>0</v>
      </c>
      <c r="T33" s="61">
        <f t="shared" si="10"/>
        <v>0</v>
      </c>
      <c r="U33" s="62">
        <f t="shared" si="11"/>
        <v>0</v>
      </c>
    </row>
    <row r="34" spans="2:21" s="3" customFormat="1" ht="19.95" customHeight="1" x14ac:dyDescent="0.3">
      <c r="B34" s="15">
        <f t="shared" si="8"/>
        <v>28</v>
      </c>
      <c r="C34" s="16"/>
      <c r="D34" s="59"/>
      <c r="E34" s="17"/>
      <c r="F34" s="59"/>
      <c r="G34" s="17"/>
      <c r="H34" s="59"/>
      <c r="I34" s="17"/>
      <c r="J34" s="59"/>
      <c r="K34" s="17"/>
      <c r="L34" s="59"/>
      <c r="M34" s="17"/>
      <c r="N34" s="59"/>
      <c r="O34" s="17"/>
      <c r="P34" s="59"/>
      <c r="Q34" s="17"/>
      <c r="R34" s="18"/>
      <c r="S34" s="61">
        <f t="shared" si="9"/>
        <v>0</v>
      </c>
      <c r="T34" s="61">
        <f t="shared" si="10"/>
        <v>0</v>
      </c>
      <c r="U34" s="62">
        <f t="shared" si="11"/>
        <v>0</v>
      </c>
    </row>
    <row r="35" spans="2:21" s="3" customFormat="1" ht="19.95" customHeight="1" x14ac:dyDescent="0.3">
      <c r="B35" s="15">
        <f t="shared" si="8"/>
        <v>29</v>
      </c>
      <c r="C35" s="16" t="s">
        <v>1</v>
      </c>
      <c r="D35" s="59"/>
      <c r="E35" s="17"/>
      <c r="F35" s="59"/>
      <c r="G35" s="17"/>
      <c r="H35" s="59"/>
      <c r="I35" s="17"/>
      <c r="J35" s="59"/>
      <c r="K35" s="17"/>
      <c r="L35" s="59"/>
      <c r="M35" s="17"/>
      <c r="N35" s="59"/>
      <c r="O35" s="17"/>
      <c r="P35" s="59"/>
      <c r="Q35" s="17"/>
      <c r="R35" s="18"/>
      <c r="S35" s="61">
        <f t="shared" si="9"/>
        <v>0</v>
      </c>
      <c r="T35" s="61">
        <f t="shared" si="10"/>
        <v>0</v>
      </c>
      <c r="U35" s="62">
        <f t="shared" si="11"/>
        <v>0</v>
      </c>
    </row>
    <row r="36" spans="2:21" s="3" customFormat="1" ht="19.95" customHeight="1" x14ac:dyDescent="0.3">
      <c r="B36" s="15">
        <f t="shared" si="8"/>
        <v>30</v>
      </c>
      <c r="C36" s="16" t="s">
        <v>1</v>
      </c>
      <c r="D36" s="59"/>
      <c r="E36" s="17" t="s">
        <v>4</v>
      </c>
      <c r="F36" s="59"/>
      <c r="G36" s="17" t="s">
        <v>4</v>
      </c>
      <c r="H36" s="59"/>
      <c r="I36" s="17" t="s">
        <v>4</v>
      </c>
      <c r="J36" s="59"/>
      <c r="K36" s="17" t="s">
        <v>4</v>
      </c>
      <c r="L36" s="59"/>
      <c r="M36" s="17" t="s">
        <v>4</v>
      </c>
      <c r="N36" s="59"/>
      <c r="O36" s="17" t="s">
        <v>4</v>
      </c>
      <c r="P36" s="59"/>
      <c r="Q36" s="17" t="s">
        <v>4</v>
      </c>
      <c r="R36" s="18"/>
      <c r="S36" s="61">
        <f t="shared" si="9"/>
        <v>0</v>
      </c>
      <c r="T36" s="61">
        <f t="shared" si="10"/>
        <v>0</v>
      </c>
      <c r="U36" s="62">
        <f t="shared" si="11"/>
        <v>0</v>
      </c>
    </row>
    <row r="37" spans="2:21" ht="10.050000000000001" customHeight="1" x14ac:dyDescent="0.25">
      <c r="F37" s="10"/>
      <c r="H37" s="10"/>
      <c r="J37" s="10"/>
      <c r="L37" s="10"/>
      <c r="M37" s="10"/>
      <c r="S37" s="64"/>
      <c r="T37" s="64"/>
      <c r="U37" s="64"/>
    </row>
    <row r="38" spans="2:21" s="4" customFormat="1" ht="24" customHeight="1" thickBot="1" x14ac:dyDescent="0.35">
      <c r="B38" s="21" t="s">
        <v>2</v>
      </c>
      <c r="C38" s="21"/>
      <c r="D38" s="11">
        <f>SUM(D7:D36)</f>
        <v>20</v>
      </c>
      <c r="E38" s="9"/>
      <c r="F38" s="11">
        <f>SUM(F7:F36)</f>
        <v>20</v>
      </c>
      <c r="G38" s="9"/>
      <c r="H38" s="11">
        <f>SUM(H7:H36)</f>
        <v>20</v>
      </c>
      <c r="I38" s="9"/>
      <c r="J38" s="11">
        <f>SUM(J7:J36)</f>
        <v>20</v>
      </c>
      <c r="K38" s="9"/>
      <c r="L38" s="11">
        <f>SUM(L7:L36)</f>
        <v>20</v>
      </c>
      <c r="M38" s="9"/>
      <c r="N38" s="11">
        <f>SUM(N7:N36)</f>
        <v>20</v>
      </c>
      <c r="O38" s="9"/>
      <c r="P38" s="11">
        <f>SUM(P7:P36)</f>
        <v>20</v>
      </c>
      <c r="Q38" s="9"/>
      <c r="R38" s="12"/>
      <c r="S38" s="63">
        <f>SUM(S7:S36)</f>
        <v>128</v>
      </c>
      <c r="T38" s="63">
        <f>SUM(T7:T36)</f>
        <v>12</v>
      </c>
      <c r="U38" s="63">
        <f>SUM(U7:U36)</f>
        <v>140</v>
      </c>
    </row>
    <row r="39" spans="2:21" ht="14.4" thickTop="1" x14ac:dyDescent="0.25"/>
  </sheetData>
  <mergeCells count="20">
    <mergeCell ref="B38:C38"/>
    <mergeCell ref="C4:C6"/>
    <mergeCell ref="B4:B6"/>
    <mergeCell ref="P5:Q5"/>
    <mergeCell ref="S4:U5"/>
    <mergeCell ref="L4:M4"/>
    <mergeCell ref="J4:K4"/>
    <mergeCell ref="D5:E5"/>
    <mergeCell ref="F5:G5"/>
    <mergeCell ref="H5:I5"/>
    <mergeCell ref="J5:K5"/>
    <mergeCell ref="L5:M5"/>
    <mergeCell ref="N4:O4"/>
    <mergeCell ref="N5:O5"/>
    <mergeCell ref="P4:Q4"/>
    <mergeCell ref="D2:E2"/>
    <mergeCell ref="B2:C2"/>
    <mergeCell ref="F4:G4"/>
    <mergeCell ref="D4:E4"/>
    <mergeCell ref="H4:I4"/>
  </mergeCells>
  <dataValidations count="1">
    <dataValidation type="list" allowBlank="1" showInputMessage="1" showErrorMessage="1" sqref="E7:E36 G7:G36 I7:I36 K7:K36 M7:M36 O7:O36 Q7:Q36" xr:uid="{00000000-0002-0000-0100-000000000000}">
      <formula1>"Paid, Not Paid"</formula1>
    </dataValidation>
  </dataValidations>
  <printOptions horizontalCentered="1"/>
  <pageMargins left="0" right="0" top="0.5" bottom="0" header="0.3" footer="0.3"/>
  <pageSetup scale="7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Summary!$C$7:$C$36</xm:f>
          </x14:formula1>
          <xm:sqref>C7:C36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39"/>
  <sheetViews>
    <sheetView showGridLines="0" showRowColHeaders="0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S4" sqref="S4:U6"/>
    </sheetView>
  </sheetViews>
  <sheetFormatPr defaultRowHeight="13.8" x14ac:dyDescent="0.25"/>
  <cols>
    <col min="1" max="1" width="1.109375" style="1" customWidth="1"/>
    <col min="2" max="2" width="6.21875" style="2" customWidth="1"/>
    <col min="3" max="3" width="15.77734375" style="1" customWidth="1"/>
    <col min="4" max="4" width="12" style="10" customWidth="1"/>
    <col min="5" max="5" width="10" style="1" bestFit="1" customWidth="1"/>
    <col min="6" max="6" width="12" style="1" customWidth="1"/>
    <col min="7" max="7" width="10" style="1" bestFit="1" customWidth="1"/>
    <col min="8" max="8" width="12.6640625" style="1" customWidth="1"/>
    <col min="9" max="9" width="8.88671875" style="1"/>
    <col min="10" max="10" width="11.88671875" style="1" customWidth="1"/>
    <col min="11" max="11" width="8.88671875" style="1"/>
    <col min="12" max="12" width="13.77734375" style="1" customWidth="1"/>
    <col min="13" max="13" width="10.5546875" style="1" bestFit="1" customWidth="1"/>
    <col min="14" max="14" width="12.5546875" style="1" customWidth="1"/>
    <col min="15" max="15" width="10" style="1" customWidth="1"/>
    <col min="16" max="16" width="12.6640625" style="1" customWidth="1"/>
    <col min="17" max="17" width="10" style="1" customWidth="1"/>
    <col min="18" max="18" width="0.88671875" style="6" customWidth="1"/>
    <col min="19" max="19" width="14.5546875" style="2" customWidth="1"/>
    <col min="20" max="20" width="11.5546875" style="2" customWidth="1"/>
    <col min="21" max="21" width="13.6640625" style="2" customWidth="1"/>
    <col min="22" max="22" width="1.109375" style="1" customWidth="1"/>
    <col min="23" max="16384" width="8.88671875" style="1"/>
  </cols>
  <sheetData>
    <row r="1" spans="2:21" ht="6" customHeight="1" x14ac:dyDescent="0.25"/>
    <row r="2" spans="2:21" s="5" customFormat="1" ht="25.2" x14ac:dyDescent="0.45">
      <c r="B2" s="56" t="s">
        <v>26</v>
      </c>
      <c r="C2" s="56"/>
      <c r="D2" s="54">
        <f>'Week 1'!D2:E2</f>
        <v>44682</v>
      </c>
      <c r="E2" s="54"/>
      <c r="R2" s="7"/>
      <c r="S2" s="8"/>
      <c r="T2" s="8"/>
      <c r="U2" s="8"/>
    </row>
    <row r="4" spans="2:21" s="4" customFormat="1" ht="30" customHeight="1" x14ac:dyDescent="0.3">
      <c r="B4" s="55" t="s">
        <v>0</v>
      </c>
      <c r="C4" s="55" t="s">
        <v>13</v>
      </c>
      <c r="D4" s="57">
        <f>IFERROR((IF(MONTH('Week 1'!P4)=MONTH('Week 1'!P4+1),('Week 1'!P4+1),"")),"")</f>
        <v>44689</v>
      </c>
      <c r="E4" s="57"/>
      <c r="F4" s="57">
        <f>IFERROR((IF(MONTH(D4)=MONTH(D4+1),D4+1," ")),"")</f>
        <v>44690</v>
      </c>
      <c r="G4" s="57"/>
      <c r="H4" s="57">
        <f t="shared" ref="H4" si="0">IFERROR((IF(MONTH(F4)=MONTH(F4+1),F4+1," ")),"")</f>
        <v>44691</v>
      </c>
      <c r="I4" s="57"/>
      <c r="J4" s="57">
        <f t="shared" ref="J4" si="1">IFERROR((IF(MONTH(H4)=MONTH(H4+1),H4+1," ")),"")</f>
        <v>44692</v>
      </c>
      <c r="K4" s="57"/>
      <c r="L4" s="57">
        <f t="shared" ref="L4" si="2">IFERROR((IF(MONTH(J4)=MONTH(J4+1),J4+1," ")),"")</f>
        <v>44693</v>
      </c>
      <c r="M4" s="57"/>
      <c r="N4" s="57">
        <f t="shared" ref="N4" si="3">IFERROR((IF(MONTH(L4)=MONTH(L4+1),L4+1," ")),"")</f>
        <v>44694</v>
      </c>
      <c r="O4" s="57"/>
      <c r="P4" s="57">
        <f t="shared" ref="P4" si="4">IFERROR((IF(MONTH(N4)=MONTH(N4+1),N4+1," ")),"")</f>
        <v>44695</v>
      </c>
      <c r="Q4" s="57"/>
      <c r="R4" s="13"/>
      <c r="S4" s="58" t="s">
        <v>24</v>
      </c>
      <c r="T4" s="58"/>
      <c r="U4" s="58"/>
    </row>
    <row r="5" spans="2:21" s="4" customFormat="1" ht="30" customHeight="1" x14ac:dyDescent="0.3">
      <c r="B5" s="55"/>
      <c r="C5" s="55"/>
      <c r="D5" s="55" t="str">
        <f>TEXT(D4,"dddd")</f>
        <v>Sunday</v>
      </c>
      <c r="E5" s="55"/>
      <c r="F5" s="55" t="str">
        <f>TEXT(F4,"dddd")</f>
        <v>Monday</v>
      </c>
      <c r="G5" s="55"/>
      <c r="H5" s="55" t="str">
        <f>TEXT(H4,"dddd")</f>
        <v>Tuesday</v>
      </c>
      <c r="I5" s="55"/>
      <c r="J5" s="55" t="str">
        <f>TEXT(J4,"dddd")</f>
        <v>Wednesday</v>
      </c>
      <c r="K5" s="55"/>
      <c r="L5" s="55" t="str">
        <f>TEXT(L4,"dddd")</f>
        <v>Thursday</v>
      </c>
      <c r="M5" s="55"/>
      <c r="N5" s="55" t="str">
        <f>TEXT(N4,"dddd")</f>
        <v>Friday</v>
      </c>
      <c r="O5" s="55"/>
      <c r="P5" s="55" t="str">
        <f>TEXT(P4,"dddd")</f>
        <v>Saturday</v>
      </c>
      <c r="Q5" s="55"/>
      <c r="R5" s="13"/>
      <c r="S5" s="58"/>
      <c r="T5" s="58"/>
      <c r="U5" s="58"/>
    </row>
    <row r="6" spans="2:21" s="4" customFormat="1" ht="30" customHeight="1" x14ac:dyDescent="0.3">
      <c r="B6" s="55"/>
      <c r="C6" s="55"/>
      <c r="D6" s="14" t="s">
        <v>23</v>
      </c>
      <c r="E6" s="14" t="s">
        <v>3</v>
      </c>
      <c r="F6" s="14" t="s">
        <v>23</v>
      </c>
      <c r="G6" s="14" t="s">
        <v>3</v>
      </c>
      <c r="H6" s="14" t="s">
        <v>23</v>
      </c>
      <c r="I6" s="14" t="s">
        <v>3</v>
      </c>
      <c r="J6" s="14" t="s">
        <v>23</v>
      </c>
      <c r="K6" s="14" t="s">
        <v>3</v>
      </c>
      <c r="L6" s="14" t="s">
        <v>23</v>
      </c>
      <c r="M6" s="14" t="s">
        <v>3</v>
      </c>
      <c r="N6" s="14" t="s">
        <v>23</v>
      </c>
      <c r="O6" s="14" t="s">
        <v>3</v>
      </c>
      <c r="P6" s="14" t="s">
        <v>23</v>
      </c>
      <c r="Q6" s="14" t="s">
        <v>3</v>
      </c>
      <c r="R6" s="13"/>
      <c r="S6" s="14" t="s">
        <v>20</v>
      </c>
      <c r="T6" s="14" t="s">
        <v>21</v>
      </c>
      <c r="U6" s="14" t="s">
        <v>5</v>
      </c>
    </row>
    <row r="7" spans="2:21" s="3" customFormat="1" ht="19.95" customHeight="1" x14ac:dyDescent="0.3">
      <c r="B7" s="15">
        <v>1</v>
      </c>
      <c r="C7" s="16" t="s">
        <v>1</v>
      </c>
      <c r="D7" s="59">
        <v>6</v>
      </c>
      <c r="E7" s="17" t="s">
        <v>4</v>
      </c>
      <c r="F7" s="59">
        <v>6</v>
      </c>
      <c r="G7" s="17" t="s">
        <v>4</v>
      </c>
      <c r="H7" s="59">
        <v>6</v>
      </c>
      <c r="I7" s="17" t="s">
        <v>4</v>
      </c>
      <c r="J7" s="59">
        <v>6</v>
      </c>
      <c r="K7" s="17" t="s">
        <v>4</v>
      </c>
      <c r="L7" s="59">
        <v>6</v>
      </c>
      <c r="M7" s="17" t="s">
        <v>4</v>
      </c>
      <c r="N7" s="59">
        <v>6</v>
      </c>
      <c r="O7" s="17" t="s">
        <v>4</v>
      </c>
      <c r="P7" s="59">
        <v>6</v>
      </c>
      <c r="Q7" s="17" t="s">
        <v>4</v>
      </c>
      <c r="R7" s="18"/>
      <c r="S7" s="61">
        <f>IF(E7="Paid",D7,0)+IF(G7="Paid",F7,0)+IF(I7="Paid",H7,0)+IF(K7="Paid",J7,0)+IF(M7="Paid",L7,0)+IF(O7="Paid",N7,0)+IF(Q7="Paid",P7,0)</f>
        <v>42</v>
      </c>
      <c r="T7" s="61">
        <f>IF(E7="Not Paid",D7,0)+IF(G7="Not Paid",F7,0)+IF(I7="Not Paid",H7,0)+IF(K7="Not Paid",J7,0)+IF(M7="Not Paid",L7,0)+IF(O7="Not Paid",N7,0)+IF(Q7="Not Paid",P7,0)</f>
        <v>0</v>
      </c>
      <c r="U7" s="62">
        <f>T7+S7</f>
        <v>42</v>
      </c>
    </row>
    <row r="8" spans="2:21" s="3" customFormat="1" ht="19.95" customHeight="1" x14ac:dyDescent="0.3">
      <c r="B8" s="15">
        <f>B7+1</f>
        <v>2</v>
      </c>
      <c r="C8" s="16" t="s">
        <v>1</v>
      </c>
      <c r="D8" s="59">
        <v>2</v>
      </c>
      <c r="E8" s="17" t="s">
        <v>4</v>
      </c>
      <c r="F8" s="59">
        <v>2</v>
      </c>
      <c r="G8" s="17" t="s">
        <v>4</v>
      </c>
      <c r="H8" s="59">
        <v>2</v>
      </c>
      <c r="I8" s="17" t="s">
        <v>4</v>
      </c>
      <c r="J8" s="59">
        <v>2</v>
      </c>
      <c r="K8" s="17" t="s">
        <v>4</v>
      </c>
      <c r="L8" s="59">
        <v>2</v>
      </c>
      <c r="M8" s="17" t="s">
        <v>4</v>
      </c>
      <c r="N8" s="59">
        <v>2</v>
      </c>
      <c r="O8" s="17" t="s">
        <v>4</v>
      </c>
      <c r="P8" s="59">
        <v>2</v>
      </c>
      <c r="Q8" s="17" t="s">
        <v>4</v>
      </c>
      <c r="R8" s="18"/>
      <c r="S8" s="61">
        <f t="shared" ref="S8:S19" si="5">IF(E8="Paid",D8,0)+IF(G8="Paid",F8,0)+IF(I8="Paid",H8,0)+IF(K8="Paid",J8,0)+IF(M8="Paid",L8,0)+IF(O8="Paid",N8,0)+IF(Q8="Paid",P8,0)</f>
        <v>14</v>
      </c>
      <c r="T8" s="61">
        <f t="shared" ref="T8:T19" si="6">IF(E8="Not Paid",D8,0)+IF(G8="Not Paid",F8,0)+IF(I8="Not Paid",H8,0)+IF(K8="Not Paid",J8,0)+IF(M8="Not Paid",L8,0)+IF(O8="Not Paid",N8,0)+IF(Q8="Not Paid",P8,0)</f>
        <v>0</v>
      </c>
      <c r="U8" s="62">
        <f t="shared" ref="U8:U19" si="7">T8+S8</f>
        <v>14</v>
      </c>
    </row>
    <row r="9" spans="2:21" s="3" customFormat="1" ht="19.95" customHeight="1" x14ac:dyDescent="0.3">
      <c r="B9" s="15">
        <f t="shared" ref="B9:B36" si="8">B8+1</f>
        <v>3</v>
      </c>
      <c r="C9" s="16" t="s">
        <v>1</v>
      </c>
      <c r="D9" s="59">
        <v>3</v>
      </c>
      <c r="E9" s="17" t="s">
        <v>4</v>
      </c>
      <c r="F9" s="59">
        <v>3</v>
      </c>
      <c r="G9" s="17" t="s">
        <v>4</v>
      </c>
      <c r="H9" s="59">
        <v>3</v>
      </c>
      <c r="I9" s="17" t="s">
        <v>4</v>
      </c>
      <c r="J9" s="59">
        <v>3</v>
      </c>
      <c r="K9" s="17" t="s">
        <v>4</v>
      </c>
      <c r="L9" s="59">
        <v>3</v>
      </c>
      <c r="M9" s="17" t="s">
        <v>4</v>
      </c>
      <c r="N9" s="59">
        <v>3</v>
      </c>
      <c r="O9" s="17" t="s">
        <v>4</v>
      </c>
      <c r="P9" s="59">
        <v>3</v>
      </c>
      <c r="Q9" s="17" t="s">
        <v>4</v>
      </c>
      <c r="R9" s="18"/>
      <c r="S9" s="61">
        <f t="shared" si="5"/>
        <v>21</v>
      </c>
      <c r="T9" s="61">
        <f t="shared" si="6"/>
        <v>0</v>
      </c>
      <c r="U9" s="62">
        <f t="shared" si="7"/>
        <v>21</v>
      </c>
    </row>
    <row r="10" spans="2:21" s="3" customFormat="1" ht="19.95" customHeight="1" x14ac:dyDescent="0.3">
      <c r="B10" s="15">
        <f t="shared" si="8"/>
        <v>4</v>
      </c>
      <c r="C10" s="16" t="s">
        <v>1</v>
      </c>
      <c r="D10" s="59">
        <v>4</v>
      </c>
      <c r="E10" s="17" t="s">
        <v>4</v>
      </c>
      <c r="F10" s="59">
        <v>4</v>
      </c>
      <c r="G10" s="17" t="s">
        <v>4</v>
      </c>
      <c r="H10" s="59">
        <v>4</v>
      </c>
      <c r="I10" s="17" t="s">
        <v>4</v>
      </c>
      <c r="J10" s="59">
        <v>4</v>
      </c>
      <c r="K10" s="17" t="s">
        <v>4</v>
      </c>
      <c r="L10" s="59">
        <v>4</v>
      </c>
      <c r="M10" s="17" t="s">
        <v>4</v>
      </c>
      <c r="N10" s="59">
        <v>4</v>
      </c>
      <c r="O10" s="17" t="s">
        <v>4</v>
      </c>
      <c r="P10" s="59">
        <v>4</v>
      </c>
      <c r="Q10" s="17" t="s">
        <v>4</v>
      </c>
      <c r="R10" s="18"/>
      <c r="S10" s="61">
        <f t="shared" si="5"/>
        <v>28</v>
      </c>
      <c r="T10" s="61">
        <f t="shared" si="6"/>
        <v>0</v>
      </c>
      <c r="U10" s="62">
        <f t="shared" si="7"/>
        <v>28</v>
      </c>
    </row>
    <row r="11" spans="2:21" s="3" customFormat="1" ht="19.95" customHeight="1" x14ac:dyDescent="0.3">
      <c r="B11" s="15">
        <f t="shared" si="8"/>
        <v>5</v>
      </c>
      <c r="C11" s="16" t="s">
        <v>1</v>
      </c>
      <c r="D11" s="59">
        <v>5</v>
      </c>
      <c r="E11" s="17" t="s">
        <v>4</v>
      </c>
      <c r="F11" s="59">
        <v>5</v>
      </c>
      <c r="G11" s="17" t="s">
        <v>4</v>
      </c>
      <c r="H11" s="59">
        <v>5</v>
      </c>
      <c r="I11" s="17" t="s">
        <v>4</v>
      </c>
      <c r="J11" s="59">
        <v>5</v>
      </c>
      <c r="K11" s="17" t="s">
        <v>4</v>
      </c>
      <c r="L11" s="59">
        <v>5</v>
      </c>
      <c r="M11" s="17" t="s">
        <v>4</v>
      </c>
      <c r="N11" s="59">
        <v>5</v>
      </c>
      <c r="O11" s="17" t="s">
        <v>4</v>
      </c>
      <c r="P11" s="59">
        <v>5</v>
      </c>
      <c r="Q11" s="17" t="s">
        <v>4</v>
      </c>
      <c r="R11" s="18"/>
      <c r="S11" s="61">
        <f t="shared" si="5"/>
        <v>35</v>
      </c>
      <c r="T11" s="61">
        <f t="shared" si="6"/>
        <v>0</v>
      </c>
      <c r="U11" s="62">
        <f t="shared" si="7"/>
        <v>35</v>
      </c>
    </row>
    <row r="12" spans="2:21" s="3" customFormat="1" ht="19.95" customHeight="1" x14ac:dyDescent="0.3">
      <c r="B12" s="15">
        <f t="shared" si="8"/>
        <v>6</v>
      </c>
      <c r="C12" s="16" t="s">
        <v>1</v>
      </c>
      <c r="D12" s="59"/>
      <c r="E12" s="17" t="s">
        <v>4</v>
      </c>
      <c r="F12" s="59"/>
      <c r="G12" s="17" t="s">
        <v>4</v>
      </c>
      <c r="H12" s="59"/>
      <c r="I12" s="17" t="s">
        <v>4</v>
      </c>
      <c r="J12" s="59"/>
      <c r="K12" s="17" t="s">
        <v>4</v>
      </c>
      <c r="L12" s="59"/>
      <c r="M12" s="17" t="s">
        <v>4</v>
      </c>
      <c r="N12" s="59"/>
      <c r="O12" s="17" t="s">
        <v>4</v>
      </c>
      <c r="P12" s="59"/>
      <c r="Q12" s="17" t="s">
        <v>4</v>
      </c>
      <c r="R12" s="18"/>
      <c r="S12" s="61">
        <f t="shared" si="5"/>
        <v>0</v>
      </c>
      <c r="T12" s="61">
        <f t="shared" si="6"/>
        <v>0</v>
      </c>
      <c r="U12" s="62">
        <f t="shared" si="7"/>
        <v>0</v>
      </c>
    </row>
    <row r="13" spans="2:21" s="3" customFormat="1" ht="19.95" customHeight="1" x14ac:dyDescent="0.3">
      <c r="B13" s="15">
        <f t="shared" si="8"/>
        <v>7</v>
      </c>
      <c r="C13" s="16" t="s">
        <v>1</v>
      </c>
      <c r="D13" s="59"/>
      <c r="E13" s="17" t="s">
        <v>4</v>
      </c>
      <c r="F13" s="59"/>
      <c r="G13" s="17" t="s">
        <v>4</v>
      </c>
      <c r="H13" s="59"/>
      <c r="I13" s="17" t="s">
        <v>4</v>
      </c>
      <c r="J13" s="59"/>
      <c r="K13" s="17" t="s">
        <v>4</v>
      </c>
      <c r="L13" s="59"/>
      <c r="M13" s="17" t="s">
        <v>4</v>
      </c>
      <c r="N13" s="59"/>
      <c r="O13" s="17" t="s">
        <v>4</v>
      </c>
      <c r="P13" s="59"/>
      <c r="Q13" s="17" t="s">
        <v>4</v>
      </c>
      <c r="R13" s="18"/>
      <c r="S13" s="61">
        <f t="shared" si="5"/>
        <v>0</v>
      </c>
      <c r="T13" s="61">
        <f t="shared" si="6"/>
        <v>0</v>
      </c>
      <c r="U13" s="62">
        <f t="shared" si="7"/>
        <v>0</v>
      </c>
    </row>
    <row r="14" spans="2:21" s="3" customFormat="1" ht="19.95" customHeight="1" x14ac:dyDescent="0.3">
      <c r="B14" s="15">
        <f t="shared" si="8"/>
        <v>8</v>
      </c>
      <c r="C14" s="16" t="s">
        <v>1</v>
      </c>
      <c r="D14" s="59"/>
      <c r="E14" s="17" t="s">
        <v>4</v>
      </c>
      <c r="F14" s="59"/>
      <c r="G14" s="17" t="s">
        <v>4</v>
      </c>
      <c r="H14" s="59"/>
      <c r="I14" s="17" t="s">
        <v>4</v>
      </c>
      <c r="J14" s="59"/>
      <c r="K14" s="17" t="s">
        <v>4</v>
      </c>
      <c r="L14" s="59"/>
      <c r="M14" s="17" t="s">
        <v>4</v>
      </c>
      <c r="N14" s="59"/>
      <c r="O14" s="17" t="s">
        <v>4</v>
      </c>
      <c r="P14" s="59"/>
      <c r="Q14" s="17" t="s">
        <v>4</v>
      </c>
      <c r="R14" s="18"/>
      <c r="S14" s="61">
        <f t="shared" si="5"/>
        <v>0</v>
      </c>
      <c r="T14" s="61">
        <f t="shared" si="6"/>
        <v>0</v>
      </c>
      <c r="U14" s="62">
        <f t="shared" si="7"/>
        <v>0</v>
      </c>
    </row>
    <row r="15" spans="2:21" s="3" customFormat="1" ht="19.95" customHeight="1" x14ac:dyDescent="0.3">
      <c r="B15" s="15">
        <f t="shared" si="8"/>
        <v>9</v>
      </c>
      <c r="C15" s="16" t="s">
        <v>1</v>
      </c>
      <c r="D15" s="59"/>
      <c r="E15" s="17" t="s">
        <v>4</v>
      </c>
      <c r="F15" s="59"/>
      <c r="G15" s="17" t="s">
        <v>4</v>
      </c>
      <c r="H15" s="59"/>
      <c r="I15" s="17" t="s">
        <v>4</v>
      </c>
      <c r="J15" s="59"/>
      <c r="K15" s="17" t="s">
        <v>4</v>
      </c>
      <c r="L15" s="59"/>
      <c r="M15" s="17" t="s">
        <v>4</v>
      </c>
      <c r="N15" s="59"/>
      <c r="O15" s="17" t="s">
        <v>4</v>
      </c>
      <c r="P15" s="59"/>
      <c r="Q15" s="17" t="s">
        <v>4</v>
      </c>
      <c r="R15" s="18"/>
      <c r="S15" s="61">
        <f t="shared" si="5"/>
        <v>0</v>
      </c>
      <c r="T15" s="61">
        <f t="shared" si="6"/>
        <v>0</v>
      </c>
      <c r="U15" s="62">
        <f t="shared" si="7"/>
        <v>0</v>
      </c>
    </row>
    <row r="16" spans="2:21" s="3" customFormat="1" ht="19.95" customHeight="1" x14ac:dyDescent="0.3">
      <c r="B16" s="15">
        <f t="shared" si="8"/>
        <v>10</v>
      </c>
      <c r="C16" s="16" t="s">
        <v>1</v>
      </c>
      <c r="D16" s="59"/>
      <c r="E16" s="17"/>
      <c r="F16" s="59"/>
      <c r="G16" s="17"/>
      <c r="H16" s="59"/>
      <c r="I16" s="17"/>
      <c r="J16" s="59"/>
      <c r="K16" s="17"/>
      <c r="L16" s="59"/>
      <c r="M16" s="17"/>
      <c r="N16" s="59"/>
      <c r="O16" s="17"/>
      <c r="P16" s="59"/>
      <c r="Q16" s="17"/>
      <c r="R16" s="18"/>
      <c r="S16" s="61">
        <f t="shared" si="5"/>
        <v>0</v>
      </c>
      <c r="T16" s="61">
        <f t="shared" si="6"/>
        <v>0</v>
      </c>
      <c r="U16" s="62">
        <f t="shared" si="7"/>
        <v>0</v>
      </c>
    </row>
    <row r="17" spans="2:21" s="3" customFormat="1" ht="19.95" customHeight="1" x14ac:dyDescent="0.3">
      <c r="B17" s="15">
        <f t="shared" si="8"/>
        <v>11</v>
      </c>
      <c r="C17" s="16" t="s">
        <v>1</v>
      </c>
      <c r="D17" s="59"/>
      <c r="E17" s="17"/>
      <c r="F17" s="59"/>
      <c r="G17" s="17"/>
      <c r="H17" s="59"/>
      <c r="I17" s="17"/>
      <c r="J17" s="59"/>
      <c r="K17" s="17"/>
      <c r="L17" s="59"/>
      <c r="M17" s="17"/>
      <c r="N17" s="59"/>
      <c r="O17" s="17"/>
      <c r="P17" s="59"/>
      <c r="Q17" s="17"/>
      <c r="R17" s="18"/>
      <c r="S17" s="61">
        <f t="shared" si="5"/>
        <v>0</v>
      </c>
      <c r="T17" s="61">
        <f t="shared" si="6"/>
        <v>0</v>
      </c>
      <c r="U17" s="62">
        <f t="shared" si="7"/>
        <v>0</v>
      </c>
    </row>
    <row r="18" spans="2:21" s="3" customFormat="1" ht="19.95" customHeight="1" x14ac:dyDescent="0.3">
      <c r="B18" s="15">
        <f t="shared" si="8"/>
        <v>12</v>
      </c>
      <c r="C18" s="16" t="s">
        <v>1</v>
      </c>
      <c r="D18" s="59"/>
      <c r="E18" s="17"/>
      <c r="F18" s="59"/>
      <c r="G18" s="17"/>
      <c r="H18" s="59"/>
      <c r="I18" s="17"/>
      <c r="J18" s="59"/>
      <c r="K18" s="17"/>
      <c r="L18" s="59"/>
      <c r="M18" s="17"/>
      <c r="N18" s="59"/>
      <c r="O18" s="17"/>
      <c r="P18" s="59"/>
      <c r="Q18" s="17"/>
      <c r="R18" s="18"/>
      <c r="S18" s="61">
        <f t="shared" si="5"/>
        <v>0</v>
      </c>
      <c r="T18" s="61">
        <f t="shared" si="6"/>
        <v>0</v>
      </c>
      <c r="U18" s="62">
        <f t="shared" si="7"/>
        <v>0</v>
      </c>
    </row>
    <row r="19" spans="2:21" s="3" customFormat="1" ht="19.95" customHeight="1" x14ac:dyDescent="0.3">
      <c r="B19" s="15">
        <f t="shared" si="8"/>
        <v>13</v>
      </c>
      <c r="C19" s="16" t="s">
        <v>1</v>
      </c>
      <c r="D19" s="59"/>
      <c r="E19" s="17"/>
      <c r="F19" s="59"/>
      <c r="G19" s="17"/>
      <c r="H19" s="59"/>
      <c r="I19" s="17"/>
      <c r="J19" s="59"/>
      <c r="K19" s="17"/>
      <c r="L19" s="59"/>
      <c r="M19" s="17"/>
      <c r="N19" s="59"/>
      <c r="O19" s="17"/>
      <c r="P19" s="59"/>
      <c r="Q19" s="17"/>
      <c r="R19" s="18"/>
      <c r="S19" s="61">
        <f t="shared" si="5"/>
        <v>0</v>
      </c>
      <c r="T19" s="61">
        <f t="shared" si="6"/>
        <v>0</v>
      </c>
      <c r="U19" s="62">
        <f t="shared" si="7"/>
        <v>0</v>
      </c>
    </row>
    <row r="20" spans="2:21" s="3" customFormat="1" ht="19.95" customHeight="1" x14ac:dyDescent="0.3">
      <c r="B20" s="15">
        <f t="shared" si="8"/>
        <v>14</v>
      </c>
      <c r="C20" s="16"/>
      <c r="D20" s="59"/>
      <c r="E20" s="17"/>
      <c r="F20" s="59"/>
      <c r="G20" s="17"/>
      <c r="H20" s="59"/>
      <c r="I20" s="17"/>
      <c r="J20" s="59"/>
      <c r="K20" s="17"/>
      <c r="L20" s="59"/>
      <c r="M20" s="17"/>
      <c r="N20" s="59"/>
      <c r="O20" s="17"/>
      <c r="P20" s="59"/>
      <c r="Q20" s="17"/>
      <c r="R20" s="18"/>
      <c r="S20" s="61">
        <f t="shared" ref="S20:S36" si="9">IF(E20="Paid",D20,0)+IF(G20="Paid",F20,0)+IF(I20="Paid",H20,0)+IF(K20="Paid",J20,0)+IF(M20="Paid",L20,0)+IF(O20="Paid",N20,0)+IF(Q20="Paid",P20,0)</f>
        <v>0</v>
      </c>
      <c r="T20" s="61">
        <f t="shared" ref="T20:T36" si="10">IF(E20="Not Paid",D20,0)+IF(G20="Not Paid",F20,0)+IF(I20="Not Paid",H20,0)+IF(K20="Not Paid",J20,0)+IF(M20="Not Paid",L20,0)+IF(O20="Not Paid",N20,0)+IF(Q20="Not Paid",P20,0)</f>
        <v>0</v>
      </c>
      <c r="U20" s="62">
        <f t="shared" ref="U20:U36" si="11">T20+S20</f>
        <v>0</v>
      </c>
    </row>
    <row r="21" spans="2:21" s="3" customFormat="1" ht="19.95" customHeight="1" x14ac:dyDescent="0.3">
      <c r="B21" s="15">
        <f t="shared" si="8"/>
        <v>15</v>
      </c>
      <c r="C21" s="16"/>
      <c r="D21" s="59"/>
      <c r="E21" s="17"/>
      <c r="F21" s="59"/>
      <c r="G21" s="17"/>
      <c r="H21" s="59"/>
      <c r="I21" s="17"/>
      <c r="J21" s="59"/>
      <c r="K21" s="17"/>
      <c r="L21" s="59"/>
      <c r="M21" s="17"/>
      <c r="N21" s="59"/>
      <c r="O21" s="17"/>
      <c r="P21" s="59"/>
      <c r="Q21" s="17"/>
      <c r="R21" s="18"/>
      <c r="S21" s="61">
        <f t="shared" si="9"/>
        <v>0</v>
      </c>
      <c r="T21" s="61">
        <f t="shared" si="10"/>
        <v>0</v>
      </c>
      <c r="U21" s="62">
        <f t="shared" si="11"/>
        <v>0</v>
      </c>
    </row>
    <row r="22" spans="2:21" s="3" customFormat="1" ht="19.95" customHeight="1" x14ac:dyDescent="0.3">
      <c r="B22" s="15">
        <f t="shared" si="8"/>
        <v>16</v>
      </c>
      <c r="C22" s="16"/>
      <c r="D22" s="59"/>
      <c r="E22" s="17"/>
      <c r="F22" s="59"/>
      <c r="G22" s="17"/>
      <c r="H22" s="59"/>
      <c r="I22" s="17"/>
      <c r="J22" s="59"/>
      <c r="K22" s="17"/>
      <c r="L22" s="59"/>
      <c r="M22" s="17"/>
      <c r="N22" s="59"/>
      <c r="O22" s="17"/>
      <c r="P22" s="59"/>
      <c r="Q22" s="17"/>
      <c r="R22" s="18"/>
      <c r="S22" s="61">
        <f t="shared" si="9"/>
        <v>0</v>
      </c>
      <c r="T22" s="61">
        <f t="shared" si="10"/>
        <v>0</v>
      </c>
      <c r="U22" s="62">
        <f t="shared" si="11"/>
        <v>0</v>
      </c>
    </row>
    <row r="23" spans="2:21" s="3" customFormat="1" ht="19.95" customHeight="1" x14ac:dyDescent="0.3">
      <c r="B23" s="15">
        <f t="shared" si="8"/>
        <v>17</v>
      </c>
      <c r="C23" s="16"/>
      <c r="D23" s="59"/>
      <c r="E23" s="17"/>
      <c r="F23" s="59"/>
      <c r="G23" s="17"/>
      <c r="H23" s="59"/>
      <c r="I23" s="17"/>
      <c r="J23" s="59"/>
      <c r="K23" s="17"/>
      <c r="L23" s="59"/>
      <c r="M23" s="17"/>
      <c r="N23" s="59"/>
      <c r="O23" s="17"/>
      <c r="P23" s="59"/>
      <c r="Q23" s="17"/>
      <c r="R23" s="18"/>
      <c r="S23" s="61">
        <f t="shared" si="9"/>
        <v>0</v>
      </c>
      <c r="T23" s="61">
        <f t="shared" si="10"/>
        <v>0</v>
      </c>
      <c r="U23" s="62">
        <f t="shared" si="11"/>
        <v>0</v>
      </c>
    </row>
    <row r="24" spans="2:21" s="3" customFormat="1" ht="19.95" customHeight="1" x14ac:dyDescent="0.3">
      <c r="B24" s="15">
        <f t="shared" si="8"/>
        <v>18</v>
      </c>
      <c r="C24" s="16"/>
      <c r="D24" s="59"/>
      <c r="E24" s="17"/>
      <c r="F24" s="59"/>
      <c r="G24" s="17"/>
      <c r="H24" s="59"/>
      <c r="I24" s="17"/>
      <c r="J24" s="59"/>
      <c r="K24" s="17"/>
      <c r="L24" s="59"/>
      <c r="M24" s="17"/>
      <c r="N24" s="59"/>
      <c r="O24" s="17"/>
      <c r="P24" s="59"/>
      <c r="Q24" s="17"/>
      <c r="R24" s="18"/>
      <c r="S24" s="61">
        <f t="shared" si="9"/>
        <v>0</v>
      </c>
      <c r="T24" s="61">
        <f t="shared" si="10"/>
        <v>0</v>
      </c>
      <c r="U24" s="62">
        <f t="shared" si="11"/>
        <v>0</v>
      </c>
    </row>
    <row r="25" spans="2:21" s="3" customFormat="1" ht="19.95" customHeight="1" x14ac:dyDescent="0.3">
      <c r="B25" s="15">
        <f t="shared" si="8"/>
        <v>19</v>
      </c>
      <c r="C25" s="16"/>
      <c r="D25" s="59"/>
      <c r="E25" s="17"/>
      <c r="F25" s="59"/>
      <c r="G25" s="17"/>
      <c r="H25" s="59"/>
      <c r="I25" s="17"/>
      <c r="J25" s="59"/>
      <c r="K25" s="17"/>
      <c r="L25" s="59"/>
      <c r="M25" s="17"/>
      <c r="N25" s="59"/>
      <c r="O25" s="17"/>
      <c r="P25" s="59"/>
      <c r="Q25" s="17"/>
      <c r="R25" s="18"/>
      <c r="S25" s="61">
        <f t="shared" si="9"/>
        <v>0</v>
      </c>
      <c r="T25" s="61">
        <f t="shared" si="10"/>
        <v>0</v>
      </c>
      <c r="U25" s="62">
        <f t="shared" si="11"/>
        <v>0</v>
      </c>
    </row>
    <row r="26" spans="2:21" s="3" customFormat="1" ht="19.95" customHeight="1" x14ac:dyDescent="0.3">
      <c r="B26" s="15">
        <f t="shared" si="8"/>
        <v>20</v>
      </c>
      <c r="C26" s="16"/>
      <c r="D26" s="59"/>
      <c r="E26" s="17"/>
      <c r="F26" s="59"/>
      <c r="G26" s="17"/>
      <c r="H26" s="59"/>
      <c r="I26" s="17"/>
      <c r="J26" s="59"/>
      <c r="K26" s="17"/>
      <c r="L26" s="59"/>
      <c r="M26" s="17"/>
      <c r="N26" s="59"/>
      <c r="O26" s="17"/>
      <c r="P26" s="59"/>
      <c r="Q26" s="17"/>
      <c r="R26" s="18"/>
      <c r="S26" s="61">
        <f t="shared" si="9"/>
        <v>0</v>
      </c>
      <c r="T26" s="61">
        <f t="shared" si="10"/>
        <v>0</v>
      </c>
      <c r="U26" s="62">
        <f t="shared" si="11"/>
        <v>0</v>
      </c>
    </row>
    <row r="27" spans="2:21" s="3" customFormat="1" ht="19.95" customHeight="1" x14ac:dyDescent="0.3">
      <c r="B27" s="15">
        <f t="shared" si="8"/>
        <v>21</v>
      </c>
      <c r="C27" s="16"/>
      <c r="D27" s="59"/>
      <c r="E27" s="17"/>
      <c r="F27" s="59"/>
      <c r="G27" s="17"/>
      <c r="H27" s="59"/>
      <c r="I27" s="17"/>
      <c r="J27" s="59"/>
      <c r="K27" s="17"/>
      <c r="L27" s="59"/>
      <c r="M27" s="17"/>
      <c r="N27" s="59"/>
      <c r="O27" s="17"/>
      <c r="P27" s="59"/>
      <c r="Q27" s="17"/>
      <c r="R27" s="18"/>
      <c r="S27" s="61">
        <f t="shared" si="9"/>
        <v>0</v>
      </c>
      <c r="T27" s="61">
        <f t="shared" si="10"/>
        <v>0</v>
      </c>
      <c r="U27" s="62">
        <f t="shared" si="11"/>
        <v>0</v>
      </c>
    </row>
    <row r="28" spans="2:21" s="3" customFormat="1" ht="19.95" customHeight="1" x14ac:dyDescent="0.3">
      <c r="B28" s="15">
        <f t="shared" si="8"/>
        <v>22</v>
      </c>
      <c r="C28" s="16"/>
      <c r="D28" s="59"/>
      <c r="E28" s="17"/>
      <c r="F28" s="59"/>
      <c r="G28" s="17"/>
      <c r="H28" s="59"/>
      <c r="I28" s="17"/>
      <c r="J28" s="59"/>
      <c r="K28" s="17"/>
      <c r="L28" s="59"/>
      <c r="M28" s="17"/>
      <c r="N28" s="59"/>
      <c r="O28" s="17"/>
      <c r="P28" s="59"/>
      <c r="Q28" s="17"/>
      <c r="R28" s="18"/>
      <c r="S28" s="61">
        <f t="shared" si="9"/>
        <v>0</v>
      </c>
      <c r="T28" s="61">
        <f t="shared" si="10"/>
        <v>0</v>
      </c>
      <c r="U28" s="62">
        <f t="shared" si="11"/>
        <v>0</v>
      </c>
    </row>
    <row r="29" spans="2:21" s="3" customFormat="1" ht="19.95" customHeight="1" x14ac:dyDescent="0.3">
      <c r="B29" s="15">
        <f t="shared" si="8"/>
        <v>23</v>
      </c>
      <c r="C29" s="16"/>
      <c r="D29" s="59"/>
      <c r="E29" s="17"/>
      <c r="F29" s="59"/>
      <c r="G29" s="17"/>
      <c r="H29" s="59"/>
      <c r="I29" s="17"/>
      <c r="J29" s="59"/>
      <c r="K29" s="17"/>
      <c r="L29" s="59"/>
      <c r="M29" s="17"/>
      <c r="N29" s="59"/>
      <c r="O29" s="17"/>
      <c r="P29" s="59"/>
      <c r="Q29" s="17"/>
      <c r="R29" s="18"/>
      <c r="S29" s="61">
        <f t="shared" si="9"/>
        <v>0</v>
      </c>
      <c r="T29" s="61">
        <f t="shared" si="10"/>
        <v>0</v>
      </c>
      <c r="U29" s="62">
        <f t="shared" si="11"/>
        <v>0</v>
      </c>
    </row>
    <row r="30" spans="2:21" s="3" customFormat="1" ht="19.95" customHeight="1" x14ac:dyDescent="0.3">
      <c r="B30" s="15">
        <f t="shared" si="8"/>
        <v>24</v>
      </c>
      <c r="C30" s="16"/>
      <c r="D30" s="59"/>
      <c r="E30" s="17"/>
      <c r="F30" s="59"/>
      <c r="G30" s="17"/>
      <c r="H30" s="59"/>
      <c r="I30" s="17"/>
      <c r="J30" s="59"/>
      <c r="K30" s="17"/>
      <c r="L30" s="59"/>
      <c r="M30" s="17"/>
      <c r="N30" s="59"/>
      <c r="O30" s="17"/>
      <c r="P30" s="59"/>
      <c r="Q30" s="17"/>
      <c r="R30" s="18"/>
      <c r="S30" s="61">
        <f t="shared" si="9"/>
        <v>0</v>
      </c>
      <c r="T30" s="61">
        <f t="shared" si="10"/>
        <v>0</v>
      </c>
      <c r="U30" s="62">
        <f t="shared" si="11"/>
        <v>0</v>
      </c>
    </row>
    <row r="31" spans="2:21" s="3" customFormat="1" ht="19.95" customHeight="1" x14ac:dyDescent="0.3">
      <c r="B31" s="15">
        <f t="shared" si="8"/>
        <v>25</v>
      </c>
      <c r="C31" s="16"/>
      <c r="D31" s="59"/>
      <c r="E31" s="17"/>
      <c r="F31" s="59"/>
      <c r="G31" s="17"/>
      <c r="H31" s="59"/>
      <c r="I31" s="17"/>
      <c r="J31" s="59"/>
      <c r="K31" s="17"/>
      <c r="L31" s="59"/>
      <c r="M31" s="17"/>
      <c r="N31" s="59"/>
      <c r="O31" s="17"/>
      <c r="P31" s="59"/>
      <c r="Q31" s="17"/>
      <c r="R31" s="18"/>
      <c r="S31" s="61">
        <f t="shared" si="9"/>
        <v>0</v>
      </c>
      <c r="T31" s="61">
        <f t="shared" si="10"/>
        <v>0</v>
      </c>
      <c r="U31" s="62">
        <f t="shared" si="11"/>
        <v>0</v>
      </c>
    </row>
    <row r="32" spans="2:21" s="3" customFormat="1" ht="19.95" customHeight="1" x14ac:dyDescent="0.3">
      <c r="B32" s="15">
        <f t="shared" si="8"/>
        <v>26</v>
      </c>
      <c r="C32" s="16"/>
      <c r="D32" s="59"/>
      <c r="E32" s="17"/>
      <c r="F32" s="59"/>
      <c r="G32" s="17"/>
      <c r="H32" s="59"/>
      <c r="I32" s="17"/>
      <c r="J32" s="59"/>
      <c r="K32" s="17"/>
      <c r="L32" s="59"/>
      <c r="M32" s="17"/>
      <c r="N32" s="59"/>
      <c r="O32" s="17"/>
      <c r="P32" s="59"/>
      <c r="Q32" s="17"/>
      <c r="R32" s="18"/>
      <c r="S32" s="61">
        <f t="shared" si="9"/>
        <v>0</v>
      </c>
      <c r="T32" s="61">
        <f t="shared" si="10"/>
        <v>0</v>
      </c>
      <c r="U32" s="62">
        <f t="shared" si="11"/>
        <v>0</v>
      </c>
    </row>
    <row r="33" spans="2:21" s="3" customFormat="1" ht="19.95" customHeight="1" x14ac:dyDescent="0.3">
      <c r="B33" s="15">
        <f t="shared" si="8"/>
        <v>27</v>
      </c>
      <c r="C33" s="16"/>
      <c r="D33" s="59"/>
      <c r="E33" s="17"/>
      <c r="F33" s="59"/>
      <c r="G33" s="17"/>
      <c r="H33" s="59"/>
      <c r="I33" s="17"/>
      <c r="J33" s="59"/>
      <c r="K33" s="17"/>
      <c r="L33" s="59"/>
      <c r="M33" s="17"/>
      <c r="N33" s="59"/>
      <c r="O33" s="17"/>
      <c r="P33" s="59"/>
      <c r="Q33" s="17"/>
      <c r="R33" s="18"/>
      <c r="S33" s="61">
        <f t="shared" si="9"/>
        <v>0</v>
      </c>
      <c r="T33" s="61">
        <f t="shared" si="10"/>
        <v>0</v>
      </c>
      <c r="U33" s="62">
        <f t="shared" si="11"/>
        <v>0</v>
      </c>
    </row>
    <row r="34" spans="2:21" s="3" customFormat="1" ht="19.95" customHeight="1" x14ac:dyDescent="0.3">
      <c r="B34" s="15">
        <f t="shared" si="8"/>
        <v>28</v>
      </c>
      <c r="C34" s="16"/>
      <c r="D34" s="59"/>
      <c r="E34" s="17"/>
      <c r="F34" s="59"/>
      <c r="G34" s="17"/>
      <c r="H34" s="59"/>
      <c r="I34" s="17"/>
      <c r="J34" s="59"/>
      <c r="K34" s="17"/>
      <c r="L34" s="59"/>
      <c r="M34" s="17"/>
      <c r="N34" s="59"/>
      <c r="O34" s="17"/>
      <c r="P34" s="59"/>
      <c r="Q34" s="17"/>
      <c r="R34" s="18"/>
      <c r="S34" s="61">
        <f t="shared" si="9"/>
        <v>0</v>
      </c>
      <c r="T34" s="61">
        <f t="shared" si="10"/>
        <v>0</v>
      </c>
      <c r="U34" s="62">
        <f t="shared" si="11"/>
        <v>0</v>
      </c>
    </row>
    <row r="35" spans="2:21" s="3" customFormat="1" ht="19.95" customHeight="1" x14ac:dyDescent="0.3">
      <c r="B35" s="15">
        <f t="shared" si="8"/>
        <v>29</v>
      </c>
      <c r="C35" s="16" t="s">
        <v>1</v>
      </c>
      <c r="D35" s="59"/>
      <c r="E35" s="17"/>
      <c r="F35" s="59"/>
      <c r="G35" s="17"/>
      <c r="H35" s="59"/>
      <c r="I35" s="17"/>
      <c r="J35" s="59"/>
      <c r="K35" s="17"/>
      <c r="L35" s="59"/>
      <c r="M35" s="17"/>
      <c r="N35" s="59"/>
      <c r="O35" s="17"/>
      <c r="P35" s="59"/>
      <c r="Q35" s="17"/>
      <c r="R35" s="18"/>
      <c r="S35" s="61">
        <f t="shared" si="9"/>
        <v>0</v>
      </c>
      <c r="T35" s="61">
        <f t="shared" si="10"/>
        <v>0</v>
      </c>
      <c r="U35" s="62">
        <f t="shared" si="11"/>
        <v>0</v>
      </c>
    </row>
    <row r="36" spans="2:21" s="3" customFormat="1" ht="19.95" customHeight="1" x14ac:dyDescent="0.3">
      <c r="B36" s="15">
        <f t="shared" si="8"/>
        <v>30</v>
      </c>
      <c r="C36" s="16" t="s">
        <v>1</v>
      </c>
      <c r="D36" s="59"/>
      <c r="E36" s="17" t="s">
        <v>4</v>
      </c>
      <c r="F36" s="59"/>
      <c r="G36" s="17" t="s">
        <v>4</v>
      </c>
      <c r="H36" s="59"/>
      <c r="I36" s="17" t="s">
        <v>4</v>
      </c>
      <c r="J36" s="59"/>
      <c r="K36" s="17" t="s">
        <v>4</v>
      </c>
      <c r="L36" s="59"/>
      <c r="M36" s="17" t="s">
        <v>4</v>
      </c>
      <c r="N36" s="59"/>
      <c r="O36" s="17" t="s">
        <v>4</v>
      </c>
      <c r="P36" s="59"/>
      <c r="Q36" s="17" t="s">
        <v>4</v>
      </c>
      <c r="R36" s="18"/>
      <c r="S36" s="61">
        <f t="shared" si="9"/>
        <v>0</v>
      </c>
      <c r="T36" s="61">
        <f t="shared" si="10"/>
        <v>0</v>
      </c>
      <c r="U36" s="62">
        <f t="shared" si="11"/>
        <v>0</v>
      </c>
    </row>
    <row r="37" spans="2:21" ht="10.050000000000001" customHeight="1" x14ac:dyDescent="0.25">
      <c r="F37" s="10"/>
      <c r="H37" s="10"/>
      <c r="J37" s="10"/>
      <c r="L37" s="65"/>
      <c r="M37" s="10"/>
      <c r="S37" s="4"/>
      <c r="T37" s="4"/>
      <c r="U37" s="4"/>
    </row>
    <row r="38" spans="2:21" s="4" customFormat="1" ht="24" customHeight="1" thickBot="1" x14ac:dyDescent="0.35">
      <c r="B38" s="21" t="s">
        <v>2</v>
      </c>
      <c r="C38" s="21"/>
      <c r="D38" s="11">
        <f>SUM(D7:D36)</f>
        <v>20</v>
      </c>
      <c r="E38" s="9"/>
      <c r="F38" s="11">
        <f>SUM(F7:F36)</f>
        <v>20</v>
      </c>
      <c r="G38" s="9"/>
      <c r="H38" s="11">
        <f>SUM(H7:H36)</f>
        <v>20</v>
      </c>
      <c r="I38" s="9"/>
      <c r="J38" s="11">
        <f>SUM(J7:J36)</f>
        <v>20</v>
      </c>
      <c r="K38" s="9"/>
      <c r="L38" s="11">
        <f>SUM(L7:L36)</f>
        <v>20</v>
      </c>
      <c r="M38" s="9"/>
      <c r="N38" s="11">
        <f>SUM(N7:N36)</f>
        <v>20</v>
      </c>
      <c r="O38" s="9"/>
      <c r="P38" s="11">
        <f>SUM(P7:P36)</f>
        <v>20</v>
      </c>
      <c r="Q38" s="9"/>
      <c r="R38" s="12"/>
      <c r="S38" s="63">
        <f>SUM(S7:S36)</f>
        <v>140</v>
      </c>
      <c r="T38" s="63">
        <f>SUM(T7:T36)</f>
        <v>0</v>
      </c>
      <c r="U38" s="63">
        <f>SUM(U7:U36)</f>
        <v>140</v>
      </c>
    </row>
    <row r="39" spans="2:21" ht="14.4" thickTop="1" x14ac:dyDescent="0.25"/>
  </sheetData>
  <mergeCells count="20">
    <mergeCell ref="B2:C2"/>
    <mergeCell ref="D2:E2"/>
    <mergeCell ref="B4:B6"/>
    <mergeCell ref="C4:C6"/>
    <mergeCell ref="D4:E4"/>
    <mergeCell ref="D5:E5"/>
    <mergeCell ref="S4:U5"/>
    <mergeCell ref="H5:I5"/>
    <mergeCell ref="J5:K5"/>
    <mergeCell ref="L5:M5"/>
    <mergeCell ref="N5:O5"/>
    <mergeCell ref="P5:Q5"/>
    <mergeCell ref="P4:Q4"/>
    <mergeCell ref="B38:C38"/>
    <mergeCell ref="H4:I4"/>
    <mergeCell ref="J4:K4"/>
    <mergeCell ref="L4:M4"/>
    <mergeCell ref="N4:O4"/>
    <mergeCell ref="F4:G4"/>
    <mergeCell ref="F5:G5"/>
  </mergeCells>
  <dataValidations count="1">
    <dataValidation type="list" allowBlank="1" showInputMessage="1" showErrorMessage="1" sqref="E7:E36 G7:G36 I7:I36 K7:K36 M7:M36 O7:O36 Q7:Q36" xr:uid="{00000000-0002-0000-0200-000000000000}">
      <formula1>"Paid, Not Paid"</formula1>
    </dataValidation>
  </dataValidations>
  <printOptions horizontalCentered="1"/>
  <pageMargins left="0" right="0" top="0.5" bottom="0" header="0.3" footer="0.3"/>
  <pageSetup scale="7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Summary!$C$7:$C$36</xm:f>
          </x14:formula1>
          <xm:sqref>C7:C36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9"/>
  <sheetViews>
    <sheetView showGridLines="0" showRowColHeaders="0" zoomScaleNormal="100" zoomScaleSheetLayoutView="10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S4" sqref="S4:U6"/>
    </sheetView>
  </sheetViews>
  <sheetFormatPr defaultRowHeight="13.8" x14ac:dyDescent="0.25"/>
  <cols>
    <col min="1" max="1" width="1.109375" style="1" customWidth="1"/>
    <col min="2" max="2" width="6.21875" style="2" customWidth="1"/>
    <col min="3" max="3" width="15.77734375" style="1" customWidth="1"/>
    <col min="4" max="4" width="12.109375" style="10" customWidth="1"/>
    <col min="5" max="5" width="10" style="1" bestFit="1" customWidth="1"/>
    <col min="6" max="6" width="12.5546875" style="1" customWidth="1"/>
    <col min="7" max="7" width="10" style="1" bestFit="1" customWidth="1"/>
    <col min="8" max="8" width="12.88671875" style="1" customWidth="1"/>
    <col min="9" max="9" width="8.88671875" style="1"/>
    <col min="10" max="10" width="12.33203125" style="1" customWidth="1"/>
    <col min="11" max="11" width="8.88671875" style="1"/>
    <col min="12" max="12" width="12.21875" style="1" customWidth="1"/>
    <col min="13" max="13" width="10.5546875" style="1" bestFit="1" customWidth="1"/>
    <col min="14" max="14" width="15" style="1" customWidth="1"/>
    <col min="15" max="15" width="10" style="1" customWidth="1"/>
    <col min="16" max="16" width="13.21875" style="1" customWidth="1"/>
    <col min="17" max="17" width="10" style="1" customWidth="1"/>
    <col min="18" max="18" width="0.88671875" style="6" customWidth="1"/>
    <col min="19" max="19" width="17" style="2" customWidth="1"/>
    <col min="20" max="20" width="11.5546875" style="2" customWidth="1"/>
    <col min="21" max="21" width="15.109375" style="2" customWidth="1"/>
    <col min="22" max="22" width="1.109375" style="1" customWidth="1"/>
    <col min="23" max="16384" width="8.88671875" style="1"/>
  </cols>
  <sheetData>
    <row r="1" spans="2:21" ht="6" customHeight="1" x14ac:dyDescent="0.25"/>
    <row r="2" spans="2:21" s="5" customFormat="1" ht="25.2" x14ac:dyDescent="0.45">
      <c r="B2" s="56" t="s">
        <v>27</v>
      </c>
      <c r="C2" s="56"/>
      <c r="D2" s="54">
        <f>'Week 2'!D2:E2</f>
        <v>44682</v>
      </c>
      <c r="E2" s="54"/>
      <c r="R2" s="7"/>
      <c r="S2" s="8"/>
      <c r="T2" s="8"/>
      <c r="U2" s="8"/>
    </row>
    <row r="4" spans="2:21" s="4" customFormat="1" ht="30" customHeight="1" x14ac:dyDescent="0.3">
      <c r="B4" s="55" t="s">
        <v>0</v>
      </c>
      <c r="C4" s="55" t="s">
        <v>13</v>
      </c>
      <c r="D4" s="57">
        <f>IFERROR((IF(MONTH('Week 2'!P4)=MONTH('Week 2'!P4+1),('Week 2'!P4+1),"")),"")</f>
        <v>44696</v>
      </c>
      <c r="E4" s="57"/>
      <c r="F4" s="57">
        <f>IFERROR((IF(MONTH(D4)=MONTH(D4+1),D4+1," ")),"")</f>
        <v>44697</v>
      </c>
      <c r="G4" s="57"/>
      <c r="H4" s="57">
        <f t="shared" ref="H4" si="0">IFERROR((IF(MONTH(F4)=MONTH(F4+1),F4+1," ")),"")</f>
        <v>44698</v>
      </c>
      <c r="I4" s="57"/>
      <c r="J4" s="57">
        <f t="shared" ref="J4" si="1">IFERROR((IF(MONTH(H4)=MONTH(H4+1),H4+1," ")),"")</f>
        <v>44699</v>
      </c>
      <c r="K4" s="57"/>
      <c r="L4" s="57">
        <f t="shared" ref="L4" si="2">IFERROR((IF(MONTH(J4)=MONTH(J4+1),J4+1," ")),"")</f>
        <v>44700</v>
      </c>
      <c r="M4" s="57"/>
      <c r="N4" s="57">
        <f t="shared" ref="N4" si="3">IFERROR((IF(MONTH(L4)=MONTH(L4+1),L4+1," ")),"")</f>
        <v>44701</v>
      </c>
      <c r="O4" s="57"/>
      <c r="P4" s="57">
        <f t="shared" ref="P4" si="4">IFERROR((IF(MONTH(N4)=MONTH(N4+1),N4+1," ")),"")</f>
        <v>44702</v>
      </c>
      <c r="Q4" s="57"/>
      <c r="R4" s="13"/>
      <c r="S4" s="58" t="s">
        <v>24</v>
      </c>
      <c r="T4" s="58"/>
      <c r="U4" s="58"/>
    </row>
    <row r="5" spans="2:21" s="4" customFormat="1" ht="30" customHeight="1" x14ac:dyDescent="0.3">
      <c r="B5" s="55"/>
      <c r="C5" s="55"/>
      <c r="D5" s="55" t="str">
        <f>TEXT(D4,"dddd")</f>
        <v>Sunday</v>
      </c>
      <c r="E5" s="55"/>
      <c r="F5" s="55" t="str">
        <f>TEXT(F4,"dddd")</f>
        <v>Monday</v>
      </c>
      <c r="G5" s="55"/>
      <c r="H5" s="55" t="str">
        <f>TEXT(H4,"dddd")</f>
        <v>Tuesday</v>
      </c>
      <c r="I5" s="55"/>
      <c r="J5" s="55" t="str">
        <f>TEXT(J4,"dddd")</f>
        <v>Wednesday</v>
      </c>
      <c r="K5" s="55"/>
      <c r="L5" s="55" t="str">
        <f>TEXT(L4,"dddd")</f>
        <v>Thursday</v>
      </c>
      <c r="M5" s="55"/>
      <c r="N5" s="55" t="str">
        <f>TEXT(N4,"dddd")</f>
        <v>Friday</v>
      </c>
      <c r="O5" s="55"/>
      <c r="P5" s="55" t="str">
        <f>TEXT(P4,"dddd")</f>
        <v>Saturday</v>
      </c>
      <c r="Q5" s="55"/>
      <c r="R5" s="13"/>
      <c r="S5" s="58"/>
      <c r="T5" s="58"/>
      <c r="U5" s="58"/>
    </row>
    <row r="6" spans="2:21" s="4" customFormat="1" ht="30" customHeight="1" x14ac:dyDescent="0.3">
      <c r="B6" s="55"/>
      <c r="C6" s="55"/>
      <c r="D6" s="14" t="s">
        <v>23</v>
      </c>
      <c r="E6" s="14" t="s">
        <v>3</v>
      </c>
      <c r="F6" s="14" t="s">
        <v>23</v>
      </c>
      <c r="G6" s="14" t="s">
        <v>3</v>
      </c>
      <c r="H6" s="14" t="s">
        <v>23</v>
      </c>
      <c r="I6" s="14" t="s">
        <v>3</v>
      </c>
      <c r="J6" s="14" t="s">
        <v>23</v>
      </c>
      <c r="K6" s="14" t="s">
        <v>3</v>
      </c>
      <c r="L6" s="14" t="s">
        <v>23</v>
      </c>
      <c r="M6" s="14" t="s">
        <v>3</v>
      </c>
      <c r="N6" s="14" t="s">
        <v>23</v>
      </c>
      <c r="O6" s="14" t="s">
        <v>3</v>
      </c>
      <c r="P6" s="14" t="s">
        <v>23</v>
      </c>
      <c r="Q6" s="14" t="s">
        <v>3</v>
      </c>
      <c r="R6" s="13"/>
      <c r="S6" s="14" t="s">
        <v>20</v>
      </c>
      <c r="T6" s="14" t="s">
        <v>21</v>
      </c>
      <c r="U6" s="14" t="s">
        <v>5</v>
      </c>
    </row>
    <row r="7" spans="2:21" s="3" customFormat="1" ht="19.95" customHeight="1" x14ac:dyDescent="0.3">
      <c r="B7" s="15">
        <v>1</v>
      </c>
      <c r="C7" s="16" t="s">
        <v>1</v>
      </c>
      <c r="D7" s="59">
        <v>6</v>
      </c>
      <c r="E7" s="17" t="s">
        <v>4</v>
      </c>
      <c r="F7" s="59">
        <v>6</v>
      </c>
      <c r="G7" s="17" t="s">
        <v>4</v>
      </c>
      <c r="H7" s="66">
        <v>6</v>
      </c>
      <c r="I7" s="17" t="s">
        <v>11</v>
      </c>
      <c r="J7" s="59">
        <v>6</v>
      </c>
      <c r="K7" s="17" t="s">
        <v>4</v>
      </c>
      <c r="L7" s="59">
        <v>6</v>
      </c>
      <c r="M7" s="17" t="s">
        <v>4</v>
      </c>
      <c r="N7" s="66">
        <v>6</v>
      </c>
      <c r="O7" s="17" t="s">
        <v>4</v>
      </c>
      <c r="P7" s="59">
        <v>6</v>
      </c>
      <c r="Q7" s="17" t="s">
        <v>4</v>
      </c>
      <c r="R7" s="18"/>
      <c r="S7" s="61">
        <f>IF(E7="Paid",D7,0)+IF(G7="Paid",F7,0)+IF(I7="Paid",H7,0)+IF(K7="Paid",J7,0)+IF(M7="Paid",L7,0)+IF(O7="Paid",N7,0)+IF(Q7="Paid",P7,0)</f>
        <v>36</v>
      </c>
      <c r="T7" s="61">
        <f>IF(E7="Not Paid",D7,0)+IF(G7="Not Paid",F7,0)+IF(I7="Not Paid",H7,0)+IF(K7="Not Paid",J7,0)+IF(M7="Not Paid",L7,0)+IF(O7="Not Paid",N7,0)+IF(Q7="Not Paid",P7,0)</f>
        <v>6</v>
      </c>
      <c r="U7" s="62">
        <f>T7+S7</f>
        <v>42</v>
      </c>
    </row>
    <row r="8" spans="2:21" s="3" customFormat="1" ht="19.95" customHeight="1" x14ac:dyDescent="0.3">
      <c r="B8" s="15">
        <f>B7+1</f>
        <v>2</v>
      </c>
      <c r="C8" s="16" t="s">
        <v>1</v>
      </c>
      <c r="D8" s="59">
        <v>2</v>
      </c>
      <c r="E8" s="17" t="s">
        <v>4</v>
      </c>
      <c r="F8" s="59">
        <v>2</v>
      </c>
      <c r="G8" s="17" t="s">
        <v>4</v>
      </c>
      <c r="H8" s="66">
        <v>2</v>
      </c>
      <c r="I8" s="17" t="s">
        <v>4</v>
      </c>
      <c r="J8" s="59">
        <v>2</v>
      </c>
      <c r="K8" s="17" t="s">
        <v>4</v>
      </c>
      <c r="L8" s="59">
        <v>2</v>
      </c>
      <c r="M8" s="17" t="s">
        <v>4</v>
      </c>
      <c r="N8" s="66">
        <v>2</v>
      </c>
      <c r="O8" s="17" t="s">
        <v>4</v>
      </c>
      <c r="P8" s="59">
        <v>2</v>
      </c>
      <c r="Q8" s="17" t="s">
        <v>4</v>
      </c>
      <c r="R8" s="18"/>
      <c r="S8" s="61">
        <f t="shared" ref="S8:S19" si="5">IF(E8="Paid",D8,0)+IF(G8="Paid",F8,0)+IF(I8="Paid",H8,0)+IF(K8="Paid",J8,0)+IF(M8="Paid",L8,0)+IF(O8="Paid",N8,0)+IF(Q8="Paid",P8,0)</f>
        <v>14</v>
      </c>
      <c r="T8" s="61">
        <f t="shared" ref="T8:T19" si="6">IF(E8="Not Paid",D8,0)+IF(G8="Not Paid",F8,0)+IF(I8="Not Paid",H8,0)+IF(K8="Not Paid",J8,0)+IF(M8="Not Paid",L8,0)+IF(O8="Not Paid",N8,0)+IF(Q8="Not Paid",P8,0)</f>
        <v>0</v>
      </c>
      <c r="U8" s="62">
        <f t="shared" ref="U8:U19" si="7">T8+S8</f>
        <v>14</v>
      </c>
    </row>
    <row r="9" spans="2:21" s="3" customFormat="1" ht="19.95" customHeight="1" x14ac:dyDescent="0.3">
      <c r="B9" s="15">
        <f t="shared" ref="B9:B36" si="8">B8+1</f>
        <v>3</v>
      </c>
      <c r="C9" s="16" t="s">
        <v>1</v>
      </c>
      <c r="D9" s="59">
        <v>3</v>
      </c>
      <c r="E9" s="17" t="s">
        <v>4</v>
      </c>
      <c r="F9" s="59">
        <v>3</v>
      </c>
      <c r="G9" s="17" t="s">
        <v>4</v>
      </c>
      <c r="H9" s="66">
        <v>3</v>
      </c>
      <c r="I9" s="17" t="s">
        <v>4</v>
      </c>
      <c r="J9" s="59">
        <v>3</v>
      </c>
      <c r="K9" s="17" t="s">
        <v>4</v>
      </c>
      <c r="L9" s="59">
        <v>3</v>
      </c>
      <c r="M9" s="17" t="s">
        <v>4</v>
      </c>
      <c r="N9" s="66">
        <v>3</v>
      </c>
      <c r="O9" s="17" t="s">
        <v>4</v>
      </c>
      <c r="P9" s="59">
        <v>3</v>
      </c>
      <c r="Q9" s="17" t="s">
        <v>4</v>
      </c>
      <c r="R9" s="18"/>
      <c r="S9" s="61">
        <f t="shared" si="5"/>
        <v>21</v>
      </c>
      <c r="T9" s="61">
        <f t="shared" si="6"/>
        <v>0</v>
      </c>
      <c r="U9" s="62">
        <f t="shared" si="7"/>
        <v>21</v>
      </c>
    </row>
    <row r="10" spans="2:21" s="3" customFormat="1" ht="19.95" customHeight="1" x14ac:dyDescent="0.3">
      <c r="B10" s="15">
        <f t="shared" si="8"/>
        <v>4</v>
      </c>
      <c r="C10" s="16" t="s">
        <v>1</v>
      </c>
      <c r="D10" s="59">
        <v>4</v>
      </c>
      <c r="E10" s="17" t="s">
        <v>4</v>
      </c>
      <c r="F10" s="59">
        <v>4</v>
      </c>
      <c r="G10" s="17" t="s">
        <v>4</v>
      </c>
      <c r="H10" s="66">
        <v>4</v>
      </c>
      <c r="I10" s="17" t="s">
        <v>4</v>
      </c>
      <c r="J10" s="59">
        <v>4</v>
      </c>
      <c r="K10" s="17" t="s">
        <v>4</v>
      </c>
      <c r="L10" s="59">
        <v>4</v>
      </c>
      <c r="M10" s="17" t="s">
        <v>4</v>
      </c>
      <c r="N10" s="66">
        <v>4</v>
      </c>
      <c r="O10" s="17" t="s">
        <v>4</v>
      </c>
      <c r="P10" s="59">
        <v>4</v>
      </c>
      <c r="Q10" s="17" t="s">
        <v>4</v>
      </c>
      <c r="R10" s="18"/>
      <c r="S10" s="61">
        <f t="shared" si="5"/>
        <v>28</v>
      </c>
      <c r="T10" s="61">
        <f t="shared" si="6"/>
        <v>0</v>
      </c>
      <c r="U10" s="62">
        <f t="shared" si="7"/>
        <v>28</v>
      </c>
    </row>
    <row r="11" spans="2:21" s="3" customFormat="1" ht="19.95" customHeight="1" x14ac:dyDescent="0.3">
      <c r="B11" s="15">
        <f t="shared" si="8"/>
        <v>5</v>
      </c>
      <c r="C11" s="16" t="s">
        <v>1</v>
      </c>
      <c r="D11" s="59">
        <v>5</v>
      </c>
      <c r="E11" s="17" t="s">
        <v>4</v>
      </c>
      <c r="F11" s="59">
        <v>5</v>
      </c>
      <c r="G11" s="17" t="s">
        <v>4</v>
      </c>
      <c r="H11" s="66">
        <v>5</v>
      </c>
      <c r="I11" s="17" t="s">
        <v>11</v>
      </c>
      <c r="J11" s="59">
        <v>5</v>
      </c>
      <c r="K11" s="17" t="s">
        <v>4</v>
      </c>
      <c r="L11" s="59">
        <v>5</v>
      </c>
      <c r="M11" s="17" t="s">
        <v>4</v>
      </c>
      <c r="N11" s="66">
        <v>5</v>
      </c>
      <c r="O11" s="17" t="s">
        <v>4</v>
      </c>
      <c r="P11" s="59">
        <v>5</v>
      </c>
      <c r="Q11" s="17" t="s">
        <v>4</v>
      </c>
      <c r="R11" s="18"/>
      <c r="S11" s="61">
        <f t="shared" si="5"/>
        <v>30</v>
      </c>
      <c r="T11" s="61">
        <f t="shared" si="6"/>
        <v>5</v>
      </c>
      <c r="U11" s="62">
        <f t="shared" si="7"/>
        <v>35</v>
      </c>
    </row>
    <row r="12" spans="2:21" s="3" customFormat="1" ht="19.95" customHeight="1" x14ac:dyDescent="0.3">
      <c r="B12" s="15">
        <f t="shared" si="8"/>
        <v>6</v>
      </c>
      <c r="C12" s="16" t="s">
        <v>1</v>
      </c>
      <c r="D12" s="59"/>
      <c r="E12" s="17" t="s">
        <v>4</v>
      </c>
      <c r="F12" s="59"/>
      <c r="G12" s="17" t="s">
        <v>4</v>
      </c>
      <c r="H12" s="66"/>
      <c r="I12" s="17" t="s">
        <v>4</v>
      </c>
      <c r="J12" s="59"/>
      <c r="K12" s="17" t="s">
        <v>4</v>
      </c>
      <c r="L12" s="59"/>
      <c r="M12" s="17" t="s">
        <v>4</v>
      </c>
      <c r="N12" s="66"/>
      <c r="O12" s="17" t="s">
        <v>4</v>
      </c>
      <c r="P12" s="59"/>
      <c r="Q12" s="17" t="s">
        <v>4</v>
      </c>
      <c r="R12" s="18"/>
      <c r="S12" s="61">
        <f t="shared" si="5"/>
        <v>0</v>
      </c>
      <c r="T12" s="61">
        <f t="shared" si="6"/>
        <v>0</v>
      </c>
      <c r="U12" s="62">
        <f t="shared" si="7"/>
        <v>0</v>
      </c>
    </row>
    <row r="13" spans="2:21" s="3" customFormat="1" ht="19.95" customHeight="1" x14ac:dyDescent="0.3">
      <c r="B13" s="15">
        <f t="shared" si="8"/>
        <v>7</v>
      </c>
      <c r="C13" s="16" t="s">
        <v>1</v>
      </c>
      <c r="D13" s="59"/>
      <c r="E13" s="17" t="s">
        <v>4</v>
      </c>
      <c r="F13" s="59"/>
      <c r="G13" s="17" t="s">
        <v>4</v>
      </c>
      <c r="H13" s="66"/>
      <c r="I13" s="17" t="s">
        <v>4</v>
      </c>
      <c r="J13" s="59"/>
      <c r="K13" s="17" t="s">
        <v>4</v>
      </c>
      <c r="L13" s="59"/>
      <c r="M13" s="17" t="s">
        <v>4</v>
      </c>
      <c r="N13" s="66"/>
      <c r="O13" s="17" t="s">
        <v>4</v>
      </c>
      <c r="P13" s="59"/>
      <c r="Q13" s="17" t="s">
        <v>4</v>
      </c>
      <c r="R13" s="18"/>
      <c r="S13" s="61">
        <f t="shared" si="5"/>
        <v>0</v>
      </c>
      <c r="T13" s="61">
        <f t="shared" si="6"/>
        <v>0</v>
      </c>
      <c r="U13" s="62">
        <f t="shared" si="7"/>
        <v>0</v>
      </c>
    </row>
    <row r="14" spans="2:21" s="3" customFormat="1" ht="19.95" customHeight="1" x14ac:dyDescent="0.3">
      <c r="B14" s="15">
        <f t="shared" si="8"/>
        <v>8</v>
      </c>
      <c r="C14" s="16" t="s">
        <v>1</v>
      </c>
      <c r="D14" s="59"/>
      <c r="E14" s="17" t="s">
        <v>4</v>
      </c>
      <c r="F14" s="59"/>
      <c r="G14" s="17" t="s">
        <v>4</v>
      </c>
      <c r="H14" s="66"/>
      <c r="I14" s="17" t="s">
        <v>4</v>
      </c>
      <c r="J14" s="59"/>
      <c r="K14" s="17" t="s">
        <v>4</v>
      </c>
      <c r="L14" s="59"/>
      <c r="M14" s="17" t="s">
        <v>4</v>
      </c>
      <c r="N14" s="66"/>
      <c r="O14" s="17" t="s">
        <v>4</v>
      </c>
      <c r="P14" s="59"/>
      <c r="Q14" s="17" t="s">
        <v>4</v>
      </c>
      <c r="R14" s="18"/>
      <c r="S14" s="61">
        <f t="shared" si="5"/>
        <v>0</v>
      </c>
      <c r="T14" s="61">
        <f t="shared" si="6"/>
        <v>0</v>
      </c>
      <c r="U14" s="62">
        <f t="shared" si="7"/>
        <v>0</v>
      </c>
    </row>
    <row r="15" spans="2:21" s="3" customFormat="1" ht="19.95" customHeight="1" x14ac:dyDescent="0.3">
      <c r="B15" s="15">
        <f t="shared" si="8"/>
        <v>9</v>
      </c>
      <c r="C15" s="16" t="s">
        <v>1</v>
      </c>
      <c r="D15" s="59"/>
      <c r="E15" s="17" t="s">
        <v>4</v>
      </c>
      <c r="F15" s="59"/>
      <c r="G15" s="17" t="s">
        <v>4</v>
      </c>
      <c r="H15" s="66"/>
      <c r="I15" s="17" t="s">
        <v>4</v>
      </c>
      <c r="J15" s="59"/>
      <c r="K15" s="17" t="s">
        <v>4</v>
      </c>
      <c r="L15" s="59"/>
      <c r="M15" s="17" t="s">
        <v>4</v>
      </c>
      <c r="N15" s="66"/>
      <c r="O15" s="17" t="s">
        <v>4</v>
      </c>
      <c r="P15" s="59"/>
      <c r="Q15" s="17" t="s">
        <v>4</v>
      </c>
      <c r="R15" s="18"/>
      <c r="S15" s="61">
        <f t="shared" si="5"/>
        <v>0</v>
      </c>
      <c r="T15" s="61">
        <f t="shared" si="6"/>
        <v>0</v>
      </c>
      <c r="U15" s="62">
        <f t="shared" si="7"/>
        <v>0</v>
      </c>
    </row>
    <row r="16" spans="2:21" s="3" customFormat="1" ht="19.95" customHeight="1" x14ac:dyDescent="0.3">
      <c r="B16" s="15">
        <f t="shared" si="8"/>
        <v>10</v>
      </c>
      <c r="C16" s="16" t="s">
        <v>1</v>
      </c>
      <c r="D16" s="59"/>
      <c r="E16" s="17"/>
      <c r="F16" s="59"/>
      <c r="G16" s="17"/>
      <c r="H16" s="66"/>
      <c r="I16" s="17"/>
      <c r="J16" s="59"/>
      <c r="K16" s="17"/>
      <c r="L16" s="59"/>
      <c r="M16" s="17"/>
      <c r="N16" s="66"/>
      <c r="O16" s="17"/>
      <c r="P16" s="59"/>
      <c r="Q16" s="17"/>
      <c r="R16" s="18"/>
      <c r="S16" s="61">
        <f t="shared" si="5"/>
        <v>0</v>
      </c>
      <c r="T16" s="61">
        <f t="shared" si="6"/>
        <v>0</v>
      </c>
      <c r="U16" s="62">
        <f t="shared" si="7"/>
        <v>0</v>
      </c>
    </row>
    <row r="17" spans="2:21" s="3" customFormat="1" ht="19.95" customHeight="1" x14ac:dyDescent="0.3">
      <c r="B17" s="15">
        <f t="shared" si="8"/>
        <v>11</v>
      </c>
      <c r="C17" s="16" t="s">
        <v>1</v>
      </c>
      <c r="D17" s="59"/>
      <c r="E17" s="17"/>
      <c r="F17" s="59"/>
      <c r="G17" s="17"/>
      <c r="H17" s="66"/>
      <c r="I17" s="17"/>
      <c r="J17" s="59"/>
      <c r="K17" s="17"/>
      <c r="L17" s="59"/>
      <c r="M17" s="17"/>
      <c r="N17" s="66"/>
      <c r="O17" s="17"/>
      <c r="P17" s="59"/>
      <c r="Q17" s="17"/>
      <c r="R17" s="18"/>
      <c r="S17" s="61">
        <f t="shared" si="5"/>
        <v>0</v>
      </c>
      <c r="T17" s="61">
        <f t="shared" si="6"/>
        <v>0</v>
      </c>
      <c r="U17" s="62">
        <f t="shared" si="7"/>
        <v>0</v>
      </c>
    </row>
    <row r="18" spans="2:21" s="3" customFormat="1" ht="19.95" customHeight="1" x14ac:dyDescent="0.3">
      <c r="B18" s="15">
        <f t="shared" si="8"/>
        <v>12</v>
      </c>
      <c r="C18" s="16" t="s">
        <v>1</v>
      </c>
      <c r="D18" s="59"/>
      <c r="E18" s="17"/>
      <c r="F18" s="59"/>
      <c r="G18" s="17"/>
      <c r="H18" s="66"/>
      <c r="I18" s="17"/>
      <c r="J18" s="59"/>
      <c r="K18" s="17"/>
      <c r="L18" s="59"/>
      <c r="M18" s="17"/>
      <c r="N18" s="66"/>
      <c r="O18" s="17"/>
      <c r="P18" s="59"/>
      <c r="Q18" s="17"/>
      <c r="R18" s="18"/>
      <c r="S18" s="61">
        <f t="shared" si="5"/>
        <v>0</v>
      </c>
      <c r="T18" s="61">
        <f t="shared" si="6"/>
        <v>0</v>
      </c>
      <c r="U18" s="62">
        <f t="shared" si="7"/>
        <v>0</v>
      </c>
    </row>
    <row r="19" spans="2:21" s="3" customFormat="1" ht="19.95" customHeight="1" x14ac:dyDescent="0.3">
      <c r="B19" s="15">
        <f t="shared" si="8"/>
        <v>13</v>
      </c>
      <c r="C19" s="16" t="s">
        <v>1</v>
      </c>
      <c r="D19" s="59"/>
      <c r="E19" s="17"/>
      <c r="F19" s="59"/>
      <c r="G19" s="17"/>
      <c r="H19" s="66"/>
      <c r="I19" s="17"/>
      <c r="J19" s="59"/>
      <c r="K19" s="17"/>
      <c r="L19" s="59"/>
      <c r="M19" s="17"/>
      <c r="N19" s="66"/>
      <c r="O19" s="17"/>
      <c r="P19" s="59"/>
      <c r="Q19" s="17"/>
      <c r="R19" s="18"/>
      <c r="S19" s="61">
        <f t="shared" si="5"/>
        <v>0</v>
      </c>
      <c r="T19" s="61">
        <f t="shared" si="6"/>
        <v>0</v>
      </c>
      <c r="U19" s="62">
        <f t="shared" si="7"/>
        <v>0</v>
      </c>
    </row>
    <row r="20" spans="2:21" s="3" customFormat="1" ht="19.95" customHeight="1" x14ac:dyDescent="0.3">
      <c r="B20" s="15">
        <f t="shared" si="8"/>
        <v>14</v>
      </c>
      <c r="C20" s="16"/>
      <c r="D20" s="59"/>
      <c r="E20" s="17"/>
      <c r="F20" s="59"/>
      <c r="G20" s="17"/>
      <c r="H20" s="66"/>
      <c r="I20" s="17"/>
      <c r="J20" s="59"/>
      <c r="K20" s="17"/>
      <c r="L20" s="59"/>
      <c r="M20" s="17"/>
      <c r="N20" s="66"/>
      <c r="O20" s="17"/>
      <c r="P20" s="59"/>
      <c r="Q20" s="17"/>
      <c r="R20" s="18"/>
      <c r="S20" s="61">
        <f t="shared" ref="S20:S36" si="9">IF(E20="Paid",D20,0)+IF(G20="Paid",F20,0)+IF(I20="Paid",H20,0)+IF(K20="Paid",J20,0)+IF(M20="Paid",L20,0)+IF(O20="Paid",N20,0)+IF(Q20="Paid",P20,0)</f>
        <v>0</v>
      </c>
      <c r="T20" s="61">
        <f t="shared" ref="T20:T36" si="10">IF(E20="Not Paid",D20,0)+IF(G20="Not Paid",F20,0)+IF(I20="Not Paid",H20,0)+IF(K20="Not Paid",J20,0)+IF(M20="Not Paid",L20,0)+IF(O20="Not Paid",N20,0)+IF(Q20="Not Paid",P20,0)</f>
        <v>0</v>
      </c>
      <c r="U20" s="62">
        <f t="shared" ref="U20:U36" si="11">T20+S20</f>
        <v>0</v>
      </c>
    </row>
    <row r="21" spans="2:21" s="3" customFormat="1" ht="19.95" customHeight="1" x14ac:dyDescent="0.3">
      <c r="B21" s="15">
        <f t="shared" si="8"/>
        <v>15</v>
      </c>
      <c r="C21" s="16"/>
      <c r="D21" s="59"/>
      <c r="E21" s="17"/>
      <c r="F21" s="59"/>
      <c r="G21" s="17"/>
      <c r="H21" s="66"/>
      <c r="I21" s="17"/>
      <c r="J21" s="59"/>
      <c r="K21" s="17"/>
      <c r="L21" s="59"/>
      <c r="M21" s="17"/>
      <c r="N21" s="66"/>
      <c r="O21" s="17"/>
      <c r="P21" s="59"/>
      <c r="Q21" s="17"/>
      <c r="R21" s="18"/>
      <c r="S21" s="61">
        <f t="shared" si="9"/>
        <v>0</v>
      </c>
      <c r="T21" s="61">
        <f t="shared" si="10"/>
        <v>0</v>
      </c>
      <c r="U21" s="62">
        <f t="shared" si="11"/>
        <v>0</v>
      </c>
    </row>
    <row r="22" spans="2:21" s="3" customFormat="1" ht="19.95" customHeight="1" x14ac:dyDescent="0.3">
      <c r="B22" s="15">
        <f t="shared" si="8"/>
        <v>16</v>
      </c>
      <c r="C22" s="16"/>
      <c r="D22" s="59"/>
      <c r="E22" s="17"/>
      <c r="F22" s="59"/>
      <c r="G22" s="17"/>
      <c r="H22" s="66"/>
      <c r="I22" s="17"/>
      <c r="J22" s="59"/>
      <c r="K22" s="17"/>
      <c r="L22" s="59"/>
      <c r="M22" s="17"/>
      <c r="N22" s="66"/>
      <c r="O22" s="17"/>
      <c r="P22" s="59"/>
      <c r="Q22" s="17"/>
      <c r="R22" s="18"/>
      <c r="S22" s="61">
        <f t="shared" si="9"/>
        <v>0</v>
      </c>
      <c r="T22" s="61">
        <f t="shared" si="10"/>
        <v>0</v>
      </c>
      <c r="U22" s="62">
        <f t="shared" si="11"/>
        <v>0</v>
      </c>
    </row>
    <row r="23" spans="2:21" s="3" customFormat="1" ht="19.95" customHeight="1" x14ac:dyDescent="0.3">
      <c r="B23" s="15">
        <f t="shared" si="8"/>
        <v>17</v>
      </c>
      <c r="C23" s="16"/>
      <c r="D23" s="59"/>
      <c r="E23" s="17"/>
      <c r="F23" s="59"/>
      <c r="G23" s="17"/>
      <c r="H23" s="66"/>
      <c r="I23" s="17"/>
      <c r="J23" s="59"/>
      <c r="K23" s="17"/>
      <c r="L23" s="59"/>
      <c r="M23" s="17"/>
      <c r="N23" s="66"/>
      <c r="O23" s="17"/>
      <c r="P23" s="59"/>
      <c r="Q23" s="17"/>
      <c r="R23" s="18"/>
      <c r="S23" s="61">
        <f t="shared" si="9"/>
        <v>0</v>
      </c>
      <c r="T23" s="61">
        <f t="shared" si="10"/>
        <v>0</v>
      </c>
      <c r="U23" s="62">
        <f t="shared" si="11"/>
        <v>0</v>
      </c>
    </row>
    <row r="24" spans="2:21" s="3" customFormat="1" ht="19.95" customHeight="1" x14ac:dyDescent="0.3">
      <c r="B24" s="15">
        <f t="shared" si="8"/>
        <v>18</v>
      </c>
      <c r="C24" s="16"/>
      <c r="D24" s="59"/>
      <c r="E24" s="17"/>
      <c r="F24" s="59"/>
      <c r="G24" s="17"/>
      <c r="H24" s="66"/>
      <c r="I24" s="17"/>
      <c r="J24" s="59"/>
      <c r="K24" s="17"/>
      <c r="L24" s="59"/>
      <c r="M24" s="17"/>
      <c r="N24" s="66"/>
      <c r="O24" s="17"/>
      <c r="P24" s="59"/>
      <c r="Q24" s="17"/>
      <c r="R24" s="18"/>
      <c r="S24" s="61">
        <f t="shared" si="9"/>
        <v>0</v>
      </c>
      <c r="T24" s="61">
        <f t="shared" si="10"/>
        <v>0</v>
      </c>
      <c r="U24" s="62">
        <f t="shared" si="11"/>
        <v>0</v>
      </c>
    </row>
    <row r="25" spans="2:21" s="3" customFormat="1" ht="19.95" customHeight="1" x14ac:dyDescent="0.3">
      <c r="B25" s="15">
        <f t="shared" si="8"/>
        <v>19</v>
      </c>
      <c r="C25" s="16"/>
      <c r="D25" s="59"/>
      <c r="E25" s="17"/>
      <c r="F25" s="59"/>
      <c r="G25" s="17"/>
      <c r="H25" s="66"/>
      <c r="I25" s="17"/>
      <c r="J25" s="59"/>
      <c r="K25" s="17"/>
      <c r="L25" s="59"/>
      <c r="M25" s="17"/>
      <c r="N25" s="66"/>
      <c r="O25" s="17"/>
      <c r="P25" s="59"/>
      <c r="Q25" s="17"/>
      <c r="R25" s="18"/>
      <c r="S25" s="61">
        <f t="shared" si="9"/>
        <v>0</v>
      </c>
      <c r="T25" s="61">
        <f t="shared" si="10"/>
        <v>0</v>
      </c>
      <c r="U25" s="62">
        <f t="shared" si="11"/>
        <v>0</v>
      </c>
    </row>
    <row r="26" spans="2:21" s="3" customFormat="1" ht="19.95" customHeight="1" x14ac:dyDescent="0.3">
      <c r="B26" s="15">
        <f t="shared" si="8"/>
        <v>20</v>
      </c>
      <c r="C26" s="16"/>
      <c r="D26" s="59"/>
      <c r="E26" s="17"/>
      <c r="F26" s="59"/>
      <c r="G26" s="17"/>
      <c r="H26" s="66"/>
      <c r="I26" s="17"/>
      <c r="J26" s="59"/>
      <c r="K26" s="17"/>
      <c r="L26" s="59"/>
      <c r="M26" s="17"/>
      <c r="N26" s="66"/>
      <c r="O26" s="17"/>
      <c r="P26" s="59"/>
      <c r="Q26" s="17"/>
      <c r="R26" s="18"/>
      <c r="S26" s="61">
        <f t="shared" si="9"/>
        <v>0</v>
      </c>
      <c r="T26" s="61">
        <f t="shared" si="10"/>
        <v>0</v>
      </c>
      <c r="U26" s="62">
        <f t="shared" si="11"/>
        <v>0</v>
      </c>
    </row>
    <row r="27" spans="2:21" s="3" customFormat="1" ht="19.95" customHeight="1" x14ac:dyDescent="0.3">
      <c r="B27" s="15">
        <f t="shared" si="8"/>
        <v>21</v>
      </c>
      <c r="C27" s="16"/>
      <c r="D27" s="59"/>
      <c r="E27" s="17"/>
      <c r="F27" s="59"/>
      <c r="G27" s="17"/>
      <c r="H27" s="66"/>
      <c r="I27" s="17"/>
      <c r="J27" s="59"/>
      <c r="K27" s="17"/>
      <c r="L27" s="59"/>
      <c r="M27" s="17"/>
      <c r="N27" s="66"/>
      <c r="O27" s="17"/>
      <c r="P27" s="59"/>
      <c r="Q27" s="17"/>
      <c r="R27" s="18"/>
      <c r="S27" s="61">
        <f t="shared" si="9"/>
        <v>0</v>
      </c>
      <c r="T27" s="61">
        <f t="shared" si="10"/>
        <v>0</v>
      </c>
      <c r="U27" s="62">
        <f t="shared" si="11"/>
        <v>0</v>
      </c>
    </row>
    <row r="28" spans="2:21" s="3" customFormat="1" ht="19.95" customHeight="1" x14ac:dyDescent="0.3">
      <c r="B28" s="15">
        <f t="shared" si="8"/>
        <v>22</v>
      </c>
      <c r="C28" s="16"/>
      <c r="D28" s="59"/>
      <c r="E28" s="17"/>
      <c r="F28" s="59"/>
      <c r="G28" s="17"/>
      <c r="H28" s="66"/>
      <c r="I28" s="17"/>
      <c r="J28" s="59"/>
      <c r="K28" s="17"/>
      <c r="L28" s="59"/>
      <c r="M28" s="17"/>
      <c r="N28" s="66"/>
      <c r="O28" s="17"/>
      <c r="P28" s="59"/>
      <c r="Q28" s="17"/>
      <c r="R28" s="18"/>
      <c r="S28" s="61">
        <f t="shared" si="9"/>
        <v>0</v>
      </c>
      <c r="T28" s="61">
        <f t="shared" si="10"/>
        <v>0</v>
      </c>
      <c r="U28" s="62">
        <f t="shared" si="11"/>
        <v>0</v>
      </c>
    </row>
    <row r="29" spans="2:21" s="3" customFormat="1" ht="19.95" customHeight="1" x14ac:dyDescent="0.3">
      <c r="B29" s="15">
        <f t="shared" si="8"/>
        <v>23</v>
      </c>
      <c r="C29" s="16"/>
      <c r="D29" s="59"/>
      <c r="E29" s="17"/>
      <c r="F29" s="59"/>
      <c r="G29" s="17"/>
      <c r="H29" s="66"/>
      <c r="I29" s="17"/>
      <c r="J29" s="59"/>
      <c r="K29" s="17"/>
      <c r="L29" s="59"/>
      <c r="M29" s="17"/>
      <c r="N29" s="66"/>
      <c r="O29" s="17"/>
      <c r="P29" s="59"/>
      <c r="Q29" s="17"/>
      <c r="R29" s="18"/>
      <c r="S29" s="61">
        <f t="shared" si="9"/>
        <v>0</v>
      </c>
      <c r="T29" s="61">
        <f t="shared" si="10"/>
        <v>0</v>
      </c>
      <c r="U29" s="62">
        <f t="shared" si="11"/>
        <v>0</v>
      </c>
    </row>
    <row r="30" spans="2:21" s="3" customFormat="1" ht="19.95" customHeight="1" x14ac:dyDescent="0.3">
      <c r="B30" s="15">
        <f t="shared" si="8"/>
        <v>24</v>
      </c>
      <c r="C30" s="16"/>
      <c r="D30" s="59"/>
      <c r="E30" s="17"/>
      <c r="F30" s="59"/>
      <c r="G30" s="17"/>
      <c r="H30" s="66"/>
      <c r="I30" s="17"/>
      <c r="J30" s="59"/>
      <c r="K30" s="17"/>
      <c r="L30" s="59"/>
      <c r="M30" s="17"/>
      <c r="N30" s="66"/>
      <c r="O30" s="17"/>
      <c r="P30" s="59"/>
      <c r="Q30" s="17"/>
      <c r="R30" s="18"/>
      <c r="S30" s="61">
        <f t="shared" si="9"/>
        <v>0</v>
      </c>
      <c r="T30" s="61">
        <f t="shared" si="10"/>
        <v>0</v>
      </c>
      <c r="U30" s="62">
        <f t="shared" si="11"/>
        <v>0</v>
      </c>
    </row>
    <row r="31" spans="2:21" s="3" customFormat="1" ht="19.95" customHeight="1" x14ac:dyDescent="0.3">
      <c r="B31" s="15">
        <f t="shared" si="8"/>
        <v>25</v>
      </c>
      <c r="C31" s="16"/>
      <c r="D31" s="59"/>
      <c r="E31" s="17"/>
      <c r="F31" s="59"/>
      <c r="G31" s="17"/>
      <c r="H31" s="66"/>
      <c r="I31" s="17"/>
      <c r="J31" s="59"/>
      <c r="K31" s="17"/>
      <c r="L31" s="59"/>
      <c r="M31" s="17"/>
      <c r="N31" s="66"/>
      <c r="O31" s="17"/>
      <c r="P31" s="59"/>
      <c r="Q31" s="17"/>
      <c r="R31" s="18"/>
      <c r="S31" s="61">
        <f t="shared" si="9"/>
        <v>0</v>
      </c>
      <c r="T31" s="61">
        <f t="shared" si="10"/>
        <v>0</v>
      </c>
      <c r="U31" s="62">
        <f t="shared" si="11"/>
        <v>0</v>
      </c>
    </row>
    <row r="32" spans="2:21" s="3" customFormat="1" ht="19.95" customHeight="1" x14ac:dyDescent="0.3">
      <c r="B32" s="15">
        <f t="shared" si="8"/>
        <v>26</v>
      </c>
      <c r="C32" s="16"/>
      <c r="D32" s="59"/>
      <c r="E32" s="17"/>
      <c r="F32" s="59"/>
      <c r="G32" s="17"/>
      <c r="H32" s="66"/>
      <c r="I32" s="17"/>
      <c r="J32" s="59"/>
      <c r="K32" s="17"/>
      <c r="L32" s="59"/>
      <c r="M32" s="17"/>
      <c r="N32" s="66"/>
      <c r="O32" s="17"/>
      <c r="P32" s="59"/>
      <c r="Q32" s="17"/>
      <c r="R32" s="18"/>
      <c r="S32" s="61">
        <f t="shared" si="9"/>
        <v>0</v>
      </c>
      <c r="T32" s="61">
        <f t="shared" si="10"/>
        <v>0</v>
      </c>
      <c r="U32" s="62">
        <f t="shared" si="11"/>
        <v>0</v>
      </c>
    </row>
    <row r="33" spans="2:21" s="3" customFormat="1" ht="19.95" customHeight="1" x14ac:dyDescent="0.3">
      <c r="B33" s="15">
        <f t="shared" si="8"/>
        <v>27</v>
      </c>
      <c r="C33" s="16"/>
      <c r="D33" s="59"/>
      <c r="E33" s="17"/>
      <c r="F33" s="59"/>
      <c r="G33" s="17"/>
      <c r="H33" s="66"/>
      <c r="I33" s="17"/>
      <c r="J33" s="59"/>
      <c r="K33" s="17"/>
      <c r="L33" s="59"/>
      <c r="M33" s="17"/>
      <c r="N33" s="66"/>
      <c r="O33" s="17"/>
      <c r="P33" s="59"/>
      <c r="Q33" s="17"/>
      <c r="R33" s="18"/>
      <c r="S33" s="61">
        <f t="shared" si="9"/>
        <v>0</v>
      </c>
      <c r="T33" s="61">
        <f t="shared" si="10"/>
        <v>0</v>
      </c>
      <c r="U33" s="62">
        <f t="shared" si="11"/>
        <v>0</v>
      </c>
    </row>
    <row r="34" spans="2:21" s="3" customFormat="1" ht="19.95" customHeight="1" x14ac:dyDescent="0.3">
      <c r="B34" s="15">
        <f t="shared" si="8"/>
        <v>28</v>
      </c>
      <c r="C34" s="16"/>
      <c r="D34" s="59"/>
      <c r="E34" s="17"/>
      <c r="F34" s="59"/>
      <c r="G34" s="17"/>
      <c r="H34" s="66"/>
      <c r="I34" s="17"/>
      <c r="J34" s="59"/>
      <c r="K34" s="17"/>
      <c r="L34" s="59"/>
      <c r="M34" s="17"/>
      <c r="N34" s="66"/>
      <c r="O34" s="17"/>
      <c r="P34" s="59"/>
      <c r="Q34" s="17"/>
      <c r="R34" s="18"/>
      <c r="S34" s="61">
        <f t="shared" si="9"/>
        <v>0</v>
      </c>
      <c r="T34" s="61">
        <f t="shared" si="10"/>
        <v>0</v>
      </c>
      <c r="U34" s="62">
        <f t="shared" si="11"/>
        <v>0</v>
      </c>
    </row>
    <row r="35" spans="2:21" s="3" customFormat="1" ht="19.95" customHeight="1" x14ac:dyDescent="0.3">
      <c r="B35" s="15">
        <f t="shared" si="8"/>
        <v>29</v>
      </c>
      <c r="C35" s="16" t="s">
        <v>1</v>
      </c>
      <c r="D35" s="59"/>
      <c r="E35" s="17"/>
      <c r="F35" s="59"/>
      <c r="G35" s="17"/>
      <c r="H35" s="66"/>
      <c r="I35" s="17"/>
      <c r="J35" s="59"/>
      <c r="K35" s="17"/>
      <c r="L35" s="59"/>
      <c r="M35" s="17"/>
      <c r="N35" s="66"/>
      <c r="O35" s="17"/>
      <c r="P35" s="59"/>
      <c r="Q35" s="17"/>
      <c r="R35" s="18"/>
      <c r="S35" s="61">
        <f t="shared" si="9"/>
        <v>0</v>
      </c>
      <c r="T35" s="61">
        <f t="shared" si="10"/>
        <v>0</v>
      </c>
      <c r="U35" s="62">
        <f t="shared" si="11"/>
        <v>0</v>
      </c>
    </row>
    <row r="36" spans="2:21" s="3" customFormat="1" ht="19.95" customHeight="1" x14ac:dyDescent="0.3">
      <c r="B36" s="15">
        <f t="shared" si="8"/>
        <v>30</v>
      </c>
      <c r="C36" s="16" t="s">
        <v>1</v>
      </c>
      <c r="D36" s="59"/>
      <c r="E36" s="17" t="s">
        <v>4</v>
      </c>
      <c r="F36" s="59"/>
      <c r="G36" s="17" t="s">
        <v>4</v>
      </c>
      <c r="H36" s="66"/>
      <c r="I36" s="17" t="s">
        <v>4</v>
      </c>
      <c r="J36" s="59"/>
      <c r="K36" s="17" t="s">
        <v>4</v>
      </c>
      <c r="L36" s="59"/>
      <c r="M36" s="17" t="s">
        <v>4</v>
      </c>
      <c r="N36" s="66"/>
      <c r="O36" s="17" t="s">
        <v>4</v>
      </c>
      <c r="P36" s="59"/>
      <c r="Q36" s="17" t="s">
        <v>4</v>
      </c>
      <c r="R36" s="18"/>
      <c r="S36" s="61">
        <f t="shared" si="9"/>
        <v>0</v>
      </c>
      <c r="T36" s="61">
        <f t="shared" si="10"/>
        <v>0</v>
      </c>
      <c r="U36" s="62">
        <f t="shared" si="11"/>
        <v>0</v>
      </c>
    </row>
    <row r="37" spans="2:21" ht="10.050000000000001" customHeight="1" x14ac:dyDescent="0.25">
      <c r="F37" s="10"/>
      <c r="H37" s="10"/>
      <c r="J37" s="10"/>
      <c r="L37" s="10"/>
      <c r="M37" s="10"/>
      <c r="S37" s="64"/>
      <c r="T37" s="64"/>
      <c r="U37" s="64"/>
    </row>
    <row r="38" spans="2:21" s="4" customFormat="1" ht="24" customHeight="1" thickBot="1" x14ac:dyDescent="0.35">
      <c r="B38" s="21" t="s">
        <v>2</v>
      </c>
      <c r="C38" s="21"/>
      <c r="D38" s="11">
        <f>SUM(D7:D36)</f>
        <v>20</v>
      </c>
      <c r="E38" s="9"/>
      <c r="F38" s="11">
        <f>SUM(F7:F36)</f>
        <v>20</v>
      </c>
      <c r="G38" s="9"/>
      <c r="H38" s="11">
        <f>SUM(H7:H36)</f>
        <v>20</v>
      </c>
      <c r="I38" s="9"/>
      <c r="J38" s="11">
        <f>SUM(J7:J36)</f>
        <v>20</v>
      </c>
      <c r="K38" s="9"/>
      <c r="L38" s="11">
        <f>SUM(L7:L36)</f>
        <v>20</v>
      </c>
      <c r="M38" s="9"/>
      <c r="N38" s="11">
        <f>SUM(N7:N36)</f>
        <v>20</v>
      </c>
      <c r="O38" s="9"/>
      <c r="P38" s="11">
        <f>SUM(P7:P36)</f>
        <v>20</v>
      </c>
      <c r="Q38" s="9"/>
      <c r="R38" s="12"/>
      <c r="S38" s="63">
        <f>SUM(S7:S36)</f>
        <v>129</v>
      </c>
      <c r="T38" s="63">
        <f>SUM(T7:T36)</f>
        <v>11</v>
      </c>
      <c r="U38" s="63">
        <f>SUM(U7:U36)</f>
        <v>140</v>
      </c>
    </row>
    <row r="39" spans="2:21" ht="14.4" thickTop="1" x14ac:dyDescent="0.25"/>
  </sheetData>
  <mergeCells count="20">
    <mergeCell ref="B2:C2"/>
    <mergeCell ref="D2:E2"/>
    <mergeCell ref="B4:B6"/>
    <mergeCell ref="C4:C6"/>
    <mergeCell ref="D4:E4"/>
    <mergeCell ref="D5:E5"/>
    <mergeCell ref="S4:U5"/>
    <mergeCell ref="H5:I5"/>
    <mergeCell ref="J5:K5"/>
    <mergeCell ref="L5:M5"/>
    <mergeCell ref="N5:O5"/>
    <mergeCell ref="P5:Q5"/>
    <mergeCell ref="P4:Q4"/>
    <mergeCell ref="B38:C38"/>
    <mergeCell ref="H4:I4"/>
    <mergeCell ref="J4:K4"/>
    <mergeCell ref="L4:M4"/>
    <mergeCell ref="N4:O4"/>
    <mergeCell ref="F4:G4"/>
    <mergeCell ref="F5:G5"/>
  </mergeCells>
  <dataValidations count="1">
    <dataValidation type="list" allowBlank="1" showInputMessage="1" showErrorMessage="1" sqref="E7:E36 G7:G36 I7:I36 K7:K36 M7:M36 O7:O36 Q7:Q36" xr:uid="{00000000-0002-0000-0300-000000000000}">
      <formula1>"Paid, Not Paid"</formula1>
    </dataValidation>
  </dataValidations>
  <printOptions horizontalCentered="1"/>
  <pageMargins left="0" right="0" top="0.5" bottom="0" header="0.3" footer="0.3"/>
  <pageSetup scale="7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Summary!$C$7:$C$36</xm:f>
          </x14:formula1>
          <xm:sqref>C7:C36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39"/>
  <sheetViews>
    <sheetView showGridLines="0" showRowColHeaders="0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S4" sqref="S4:U6"/>
    </sheetView>
  </sheetViews>
  <sheetFormatPr defaultRowHeight="13.8" x14ac:dyDescent="0.25"/>
  <cols>
    <col min="1" max="1" width="1.109375" style="1" customWidth="1"/>
    <col min="2" max="2" width="6.21875" style="2" customWidth="1"/>
    <col min="3" max="3" width="15.77734375" style="1" customWidth="1"/>
    <col min="4" max="4" width="12.109375" style="10" customWidth="1"/>
    <col min="5" max="5" width="10" style="1" bestFit="1" customWidth="1"/>
    <col min="6" max="6" width="12.33203125" style="1" customWidth="1"/>
    <col min="7" max="7" width="10" style="1" bestFit="1" customWidth="1"/>
    <col min="8" max="8" width="12.44140625" style="1" customWidth="1"/>
    <col min="9" max="9" width="8.88671875" style="1"/>
    <col min="10" max="10" width="12.77734375" style="1" customWidth="1"/>
    <col min="11" max="11" width="8.88671875" style="1"/>
    <col min="12" max="12" width="11.6640625" style="1" customWidth="1"/>
    <col min="13" max="13" width="10.5546875" style="1" bestFit="1" customWidth="1"/>
    <col min="14" max="14" width="13.88671875" style="1" customWidth="1"/>
    <col min="15" max="15" width="10" style="1" customWidth="1"/>
    <col min="16" max="16" width="15.5546875" style="1" customWidth="1"/>
    <col min="17" max="17" width="10" style="1" customWidth="1"/>
    <col min="18" max="18" width="0.88671875" style="6" customWidth="1"/>
    <col min="19" max="21" width="11.5546875" style="2" customWidth="1"/>
    <col min="22" max="22" width="1.109375" style="1" customWidth="1"/>
    <col min="23" max="16384" width="8.88671875" style="1"/>
  </cols>
  <sheetData>
    <row r="1" spans="2:21" ht="6" customHeight="1" x14ac:dyDescent="0.25"/>
    <row r="2" spans="2:21" s="5" customFormat="1" ht="25.2" x14ac:dyDescent="0.45">
      <c r="B2" s="56" t="s">
        <v>28</v>
      </c>
      <c r="C2" s="56"/>
      <c r="D2" s="54">
        <f>'Week 3'!D2:E2</f>
        <v>44682</v>
      </c>
      <c r="E2" s="54"/>
      <c r="R2" s="7"/>
      <c r="S2" s="8"/>
      <c r="T2" s="8"/>
      <c r="U2" s="8"/>
    </row>
    <row r="4" spans="2:21" s="4" customFormat="1" ht="30" customHeight="1" x14ac:dyDescent="0.3">
      <c r="B4" s="55" t="s">
        <v>0</v>
      </c>
      <c r="C4" s="55" t="s">
        <v>13</v>
      </c>
      <c r="D4" s="57">
        <f>IFERROR((IF(MONTH('Week 3'!P4)=MONTH('Week 3'!P4+1),('Week 3'!P4+1),"")),"")</f>
        <v>44703</v>
      </c>
      <c r="E4" s="57"/>
      <c r="F4" s="57">
        <f>IFERROR((IF(MONTH(D4)=MONTH(D4+1),D4+1," ")),"")</f>
        <v>44704</v>
      </c>
      <c r="G4" s="57"/>
      <c r="H4" s="57">
        <f t="shared" ref="H4" si="0">IFERROR((IF(MONTH(F4)=MONTH(F4+1),F4+1," ")),"")</f>
        <v>44705</v>
      </c>
      <c r="I4" s="57"/>
      <c r="J4" s="57">
        <f t="shared" ref="J4" si="1">IFERROR((IF(MONTH(H4)=MONTH(H4+1),H4+1," ")),"")</f>
        <v>44706</v>
      </c>
      <c r="K4" s="57"/>
      <c r="L4" s="57">
        <f t="shared" ref="L4" si="2">IFERROR((IF(MONTH(J4)=MONTH(J4+1),J4+1," ")),"")</f>
        <v>44707</v>
      </c>
      <c r="M4" s="57"/>
      <c r="N4" s="57">
        <f t="shared" ref="N4" si="3">IFERROR((IF(MONTH(L4)=MONTH(L4+1),L4+1," ")),"")</f>
        <v>44708</v>
      </c>
      <c r="O4" s="57"/>
      <c r="P4" s="57">
        <f t="shared" ref="P4" si="4">IFERROR((IF(MONTH(N4)=MONTH(N4+1),N4+1," ")),"")</f>
        <v>44709</v>
      </c>
      <c r="Q4" s="57"/>
      <c r="R4" s="13"/>
      <c r="S4" s="58" t="s">
        <v>24</v>
      </c>
      <c r="T4" s="58"/>
      <c r="U4" s="58"/>
    </row>
    <row r="5" spans="2:21" s="4" customFormat="1" ht="30" customHeight="1" x14ac:dyDescent="0.3">
      <c r="B5" s="55"/>
      <c r="C5" s="55"/>
      <c r="D5" s="55" t="str">
        <f>TEXT(D4,"dddd")</f>
        <v>Sunday</v>
      </c>
      <c r="E5" s="55"/>
      <c r="F5" s="55" t="str">
        <f>TEXT(F4,"dddd")</f>
        <v>Monday</v>
      </c>
      <c r="G5" s="55"/>
      <c r="H5" s="55" t="str">
        <f>TEXT(H4,"dddd")</f>
        <v>Tuesday</v>
      </c>
      <c r="I5" s="55"/>
      <c r="J5" s="55" t="str">
        <f>TEXT(J4,"dddd")</f>
        <v>Wednesday</v>
      </c>
      <c r="K5" s="55"/>
      <c r="L5" s="55" t="str">
        <f>TEXT(L4,"dddd")</f>
        <v>Thursday</v>
      </c>
      <c r="M5" s="55"/>
      <c r="N5" s="55" t="str">
        <f>TEXT(N4,"dddd")</f>
        <v>Friday</v>
      </c>
      <c r="O5" s="55"/>
      <c r="P5" s="55" t="str">
        <f>TEXT(P4,"dddd")</f>
        <v>Saturday</v>
      </c>
      <c r="Q5" s="55"/>
      <c r="R5" s="13"/>
      <c r="S5" s="58"/>
      <c r="T5" s="58"/>
      <c r="U5" s="58"/>
    </row>
    <row r="6" spans="2:21" s="4" customFormat="1" ht="30" customHeight="1" x14ac:dyDescent="0.3">
      <c r="B6" s="55"/>
      <c r="C6" s="55"/>
      <c r="D6" s="14" t="s">
        <v>23</v>
      </c>
      <c r="E6" s="14" t="s">
        <v>3</v>
      </c>
      <c r="F6" s="14" t="s">
        <v>23</v>
      </c>
      <c r="G6" s="14" t="s">
        <v>3</v>
      </c>
      <c r="H6" s="14" t="s">
        <v>23</v>
      </c>
      <c r="I6" s="14" t="s">
        <v>3</v>
      </c>
      <c r="J6" s="14" t="s">
        <v>23</v>
      </c>
      <c r="K6" s="14" t="s">
        <v>3</v>
      </c>
      <c r="L6" s="14" t="s">
        <v>23</v>
      </c>
      <c r="M6" s="14" t="s">
        <v>3</v>
      </c>
      <c r="N6" s="14" t="s">
        <v>23</v>
      </c>
      <c r="O6" s="14" t="s">
        <v>3</v>
      </c>
      <c r="P6" s="14" t="s">
        <v>23</v>
      </c>
      <c r="Q6" s="14" t="s">
        <v>3</v>
      </c>
      <c r="R6" s="13"/>
      <c r="S6" s="14" t="s">
        <v>20</v>
      </c>
      <c r="T6" s="14" t="s">
        <v>21</v>
      </c>
      <c r="U6" s="14" t="s">
        <v>5</v>
      </c>
    </row>
    <row r="7" spans="2:21" s="3" customFormat="1" ht="19.95" customHeight="1" x14ac:dyDescent="0.3">
      <c r="B7" s="15">
        <v>1</v>
      </c>
      <c r="C7" s="16" t="s">
        <v>1</v>
      </c>
      <c r="D7" s="59">
        <v>6</v>
      </c>
      <c r="E7" s="17" t="s">
        <v>4</v>
      </c>
      <c r="F7" s="59">
        <v>6</v>
      </c>
      <c r="G7" s="17" t="s">
        <v>4</v>
      </c>
      <c r="H7" s="59">
        <v>6</v>
      </c>
      <c r="I7" s="17" t="s">
        <v>4</v>
      </c>
      <c r="J7" s="59">
        <v>6</v>
      </c>
      <c r="K7" s="17" t="s">
        <v>4</v>
      </c>
      <c r="L7" s="59">
        <v>6</v>
      </c>
      <c r="M7" s="17" t="s">
        <v>4</v>
      </c>
      <c r="N7" s="59">
        <v>6</v>
      </c>
      <c r="O7" s="17" t="s">
        <v>4</v>
      </c>
      <c r="P7" s="59">
        <v>6</v>
      </c>
      <c r="Q7" s="17" t="s">
        <v>4</v>
      </c>
      <c r="R7" s="18"/>
      <c r="S7" s="59">
        <f>IF(E7="Paid",D7,0)+IF(G7="Paid",F7,0)+IF(I7="Paid",H7,0)+IF(K7="Paid",J7,0)+IF(M7="Paid",L7,0)+IF(O7="Paid",N7,0)+IF(Q7="Paid",P7,0)</f>
        <v>42</v>
      </c>
      <c r="T7" s="59">
        <f>IF(E7="Not Paid",D7,0)+IF(G7="Not Paid",F7,0)+IF(I7="Not Paid",H7,0)+IF(K7="Not Paid",J7,0)+IF(M7="Not Paid",L7,0)+IF(O7="Not Paid",N7,0)+IF(Q7="Not Paid",P7,0)</f>
        <v>0</v>
      </c>
      <c r="U7" s="62">
        <f>T7+S7</f>
        <v>42</v>
      </c>
    </row>
    <row r="8" spans="2:21" s="3" customFormat="1" ht="19.95" customHeight="1" x14ac:dyDescent="0.3">
      <c r="B8" s="15">
        <f>B7+1</f>
        <v>2</v>
      </c>
      <c r="C8" s="16" t="s">
        <v>1</v>
      </c>
      <c r="D8" s="59">
        <v>2</v>
      </c>
      <c r="E8" s="17" t="s">
        <v>4</v>
      </c>
      <c r="F8" s="59">
        <v>2</v>
      </c>
      <c r="G8" s="17" t="s">
        <v>4</v>
      </c>
      <c r="H8" s="59">
        <v>2</v>
      </c>
      <c r="I8" s="17" t="s">
        <v>4</v>
      </c>
      <c r="J8" s="59">
        <v>2</v>
      </c>
      <c r="K8" s="17" t="s">
        <v>4</v>
      </c>
      <c r="L8" s="59">
        <v>2</v>
      </c>
      <c r="M8" s="17" t="s">
        <v>4</v>
      </c>
      <c r="N8" s="59">
        <v>2</v>
      </c>
      <c r="O8" s="17" t="s">
        <v>4</v>
      </c>
      <c r="P8" s="59">
        <v>2</v>
      </c>
      <c r="Q8" s="17" t="s">
        <v>4</v>
      </c>
      <c r="R8" s="18"/>
      <c r="S8" s="59">
        <f t="shared" ref="S8:S19" si="5">IF(E8="Paid",D8,0)+IF(G8="Paid",F8,0)+IF(I8="Paid",H8,0)+IF(K8="Paid",J8,0)+IF(M8="Paid",L8,0)+IF(O8="Paid",N8,0)+IF(Q8="Paid",P8,0)</f>
        <v>14</v>
      </c>
      <c r="T8" s="59">
        <f t="shared" ref="T8:T19" si="6">IF(E8="Not Paid",D8,0)+IF(G8="Not Paid",F8,0)+IF(I8="Not Paid",H8,0)+IF(K8="Not Paid",J8,0)+IF(M8="Not Paid",L8,0)+IF(O8="Not Paid",N8,0)+IF(Q8="Not Paid",P8,0)</f>
        <v>0</v>
      </c>
      <c r="U8" s="62">
        <f t="shared" ref="U8:U19" si="7">T8+S8</f>
        <v>14</v>
      </c>
    </row>
    <row r="9" spans="2:21" s="3" customFormat="1" ht="19.95" customHeight="1" x14ac:dyDescent="0.3">
      <c r="B9" s="15">
        <f t="shared" ref="B9:B36" si="8">B8+1</f>
        <v>3</v>
      </c>
      <c r="C9" s="16" t="s">
        <v>1</v>
      </c>
      <c r="D9" s="59">
        <v>3</v>
      </c>
      <c r="E9" s="17" t="s">
        <v>4</v>
      </c>
      <c r="F9" s="59">
        <v>3</v>
      </c>
      <c r="G9" s="17" t="s">
        <v>4</v>
      </c>
      <c r="H9" s="59">
        <v>3</v>
      </c>
      <c r="I9" s="17" t="s">
        <v>4</v>
      </c>
      <c r="J9" s="59">
        <v>3</v>
      </c>
      <c r="K9" s="17" t="s">
        <v>4</v>
      </c>
      <c r="L9" s="59">
        <v>3</v>
      </c>
      <c r="M9" s="17" t="s">
        <v>4</v>
      </c>
      <c r="N9" s="59">
        <v>3</v>
      </c>
      <c r="O9" s="17" t="s">
        <v>4</v>
      </c>
      <c r="P9" s="59">
        <v>3</v>
      </c>
      <c r="Q9" s="17" t="s">
        <v>4</v>
      </c>
      <c r="R9" s="18"/>
      <c r="S9" s="59">
        <f t="shared" si="5"/>
        <v>21</v>
      </c>
      <c r="T9" s="59">
        <f t="shared" si="6"/>
        <v>0</v>
      </c>
      <c r="U9" s="62">
        <f t="shared" si="7"/>
        <v>21</v>
      </c>
    </row>
    <row r="10" spans="2:21" s="3" customFormat="1" ht="19.95" customHeight="1" x14ac:dyDescent="0.3">
      <c r="B10" s="15">
        <f t="shared" si="8"/>
        <v>4</v>
      </c>
      <c r="C10" s="16" t="s">
        <v>1</v>
      </c>
      <c r="D10" s="59">
        <v>4</v>
      </c>
      <c r="E10" s="17" t="s">
        <v>4</v>
      </c>
      <c r="F10" s="59">
        <v>4</v>
      </c>
      <c r="G10" s="17" t="s">
        <v>4</v>
      </c>
      <c r="H10" s="59">
        <v>4</v>
      </c>
      <c r="I10" s="17" t="s">
        <v>4</v>
      </c>
      <c r="J10" s="59">
        <v>4</v>
      </c>
      <c r="K10" s="17" t="s">
        <v>4</v>
      </c>
      <c r="L10" s="59">
        <v>4</v>
      </c>
      <c r="M10" s="17" t="s">
        <v>4</v>
      </c>
      <c r="N10" s="59">
        <v>4</v>
      </c>
      <c r="O10" s="17" t="s">
        <v>4</v>
      </c>
      <c r="P10" s="59">
        <v>4</v>
      </c>
      <c r="Q10" s="17" t="s">
        <v>4</v>
      </c>
      <c r="R10" s="18"/>
      <c r="S10" s="59">
        <f t="shared" si="5"/>
        <v>28</v>
      </c>
      <c r="T10" s="59">
        <f t="shared" si="6"/>
        <v>0</v>
      </c>
      <c r="U10" s="62">
        <f t="shared" si="7"/>
        <v>28</v>
      </c>
    </row>
    <row r="11" spans="2:21" s="3" customFormat="1" ht="19.95" customHeight="1" x14ac:dyDescent="0.3">
      <c r="B11" s="15">
        <f t="shared" si="8"/>
        <v>5</v>
      </c>
      <c r="C11" s="16" t="s">
        <v>1</v>
      </c>
      <c r="D11" s="59">
        <v>5</v>
      </c>
      <c r="E11" s="17" t="s">
        <v>4</v>
      </c>
      <c r="F11" s="59">
        <v>5</v>
      </c>
      <c r="G11" s="17" t="s">
        <v>4</v>
      </c>
      <c r="H11" s="59">
        <v>5</v>
      </c>
      <c r="I11" s="17" t="s">
        <v>4</v>
      </c>
      <c r="J11" s="59">
        <v>5</v>
      </c>
      <c r="K11" s="17" t="s">
        <v>4</v>
      </c>
      <c r="L11" s="59">
        <v>5</v>
      </c>
      <c r="M11" s="17" t="s">
        <v>4</v>
      </c>
      <c r="N11" s="59">
        <v>5</v>
      </c>
      <c r="O11" s="17" t="s">
        <v>4</v>
      </c>
      <c r="P11" s="59">
        <v>5</v>
      </c>
      <c r="Q11" s="17" t="s">
        <v>4</v>
      </c>
      <c r="R11" s="18"/>
      <c r="S11" s="59">
        <f t="shared" si="5"/>
        <v>35</v>
      </c>
      <c r="T11" s="59">
        <f t="shared" si="6"/>
        <v>0</v>
      </c>
      <c r="U11" s="62">
        <f t="shared" si="7"/>
        <v>35</v>
      </c>
    </row>
    <row r="12" spans="2:21" s="3" customFormat="1" ht="19.95" customHeight="1" x14ac:dyDescent="0.3">
      <c r="B12" s="15">
        <f t="shared" si="8"/>
        <v>6</v>
      </c>
      <c r="C12" s="16" t="s">
        <v>1</v>
      </c>
      <c r="D12" s="59"/>
      <c r="E12" s="17" t="s">
        <v>4</v>
      </c>
      <c r="F12" s="59"/>
      <c r="G12" s="17" t="s">
        <v>4</v>
      </c>
      <c r="H12" s="59"/>
      <c r="I12" s="17" t="s">
        <v>4</v>
      </c>
      <c r="J12" s="59"/>
      <c r="K12" s="17" t="s">
        <v>4</v>
      </c>
      <c r="L12" s="59"/>
      <c r="M12" s="17" t="s">
        <v>4</v>
      </c>
      <c r="N12" s="59"/>
      <c r="O12" s="17" t="s">
        <v>4</v>
      </c>
      <c r="P12" s="59"/>
      <c r="Q12" s="17" t="s">
        <v>4</v>
      </c>
      <c r="R12" s="18"/>
      <c r="S12" s="59">
        <f t="shared" si="5"/>
        <v>0</v>
      </c>
      <c r="T12" s="59">
        <f t="shared" si="6"/>
        <v>0</v>
      </c>
      <c r="U12" s="62">
        <f t="shared" si="7"/>
        <v>0</v>
      </c>
    </row>
    <row r="13" spans="2:21" s="3" customFormat="1" ht="19.95" customHeight="1" x14ac:dyDescent="0.3">
      <c r="B13" s="15">
        <f t="shared" si="8"/>
        <v>7</v>
      </c>
      <c r="C13" s="16" t="s">
        <v>1</v>
      </c>
      <c r="D13" s="59"/>
      <c r="E13" s="17" t="s">
        <v>4</v>
      </c>
      <c r="F13" s="59"/>
      <c r="G13" s="17" t="s">
        <v>4</v>
      </c>
      <c r="H13" s="59"/>
      <c r="I13" s="17" t="s">
        <v>4</v>
      </c>
      <c r="J13" s="59"/>
      <c r="K13" s="17" t="s">
        <v>4</v>
      </c>
      <c r="L13" s="59"/>
      <c r="M13" s="17" t="s">
        <v>4</v>
      </c>
      <c r="N13" s="59"/>
      <c r="O13" s="17" t="s">
        <v>4</v>
      </c>
      <c r="P13" s="59"/>
      <c r="Q13" s="17" t="s">
        <v>4</v>
      </c>
      <c r="R13" s="18"/>
      <c r="S13" s="59">
        <f t="shared" si="5"/>
        <v>0</v>
      </c>
      <c r="T13" s="59">
        <f t="shared" si="6"/>
        <v>0</v>
      </c>
      <c r="U13" s="62">
        <f t="shared" si="7"/>
        <v>0</v>
      </c>
    </row>
    <row r="14" spans="2:21" s="3" customFormat="1" ht="19.95" customHeight="1" x14ac:dyDescent="0.3">
      <c r="B14" s="15">
        <f t="shared" si="8"/>
        <v>8</v>
      </c>
      <c r="C14" s="16" t="s">
        <v>1</v>
      </c>
      <c r="D14" s="59"/>
      <c r="E14" s="17" t="s">
        <v>4</v>
      </c>
      <c r="F14" s="59"/>
      <c r="G14" s="17" t="s">
        <v>4</v>
      </c>
      <c r="H14" s="59"/>
      <c r="I14" s="17" t="s">
        <v>4</v>
      </c>
      <c r="J14" s="59"/>
      <c r="K14" s="17" t="s">
        <v>4</v>
      </c>
      <c r="L14" s="59"/>
      <c r="M14" s="17" t="s">
        <v>4</v>
      </c>
      <c r="N14" s="59"/>
      <c r="O14" s="17" t="s">
        <v>4</v>
      </c>
      <c r="P14" s="59"/>
      <c r="Q14" s="17" t="s">
        <v>4</v>
      </c>
      <c r="R14" s="18"/>
      <c r="S14" s="59">
        <f t="shared" si="5"/>
        <v>0</v>
      </c>
      <c r="T14" s="59">
        <f t="shared" si="6"/>
        <v>0</v>
      </c>
      <c r="U14" s="62">
        <f t="shared" si="7"/>
        <v>0</v>
      </c>
    </row>
    <row r="15" spans="2:21" s="3" customFormat="1" ht="19.95" customHeight="1" x14ac:dyDescent="0.3">
      <c r="B15" s="15">
        <f t="shared" si="8"/>
        <v>9</v>
      </c>
      <c r="C15" s="16" t="s">
        <v>1</v>
      </c>
      <c r="D15" s="59"/>
      <c r="E15" s="17" t="s">
        <v>4</v>
      </c>
      <c r="F15" s="59"/>
      <c r="G15" s="17" t="s">
        <v>4</v>
      </c>
      <c r="H15" s="59"/>
      <c r="I15" s="17" t="s">
        <v>4</v>
      </c>
      <c r="J15" s="59"/>
      <c r="K15" s="17" t="s">
        <v>4</v>
      </c>
      <c r="L15" s="59"/>
      <c r="M15" s="17" t="s">
        <v>4</v>
      </c>
      <c r="N15" s="59"/>
      <c r="O15" s="17" t="s">
        <v>4</v>
      </c>
      <c r="P15" s="59"/>
      <c r="Q15" s="17" t="s">
        <v>4</v>
      </c>
      <c r="R15" s="18"/>
      <c r="S15" s="59">
        <f t="shared" si="5"/>
        <v>0</v>
      </c>
      <c r="T15" s="59">
        <f t="shared" si="6"/>
        <v>0</v>
      </c>
      <c r="U15" s="62">
        <f t="shared" si="7"/>
        <v>0</v>
      </c>
    </row>
    <row r="16" spans="2:21" s="3" customFormat="1" ht="19.95" customHeight="1" x14ac:dyDescent="0.3">
      <c r="B16" s="15">
        <f t="shared" si="8"/>
        <v>10</v>
      </c>
      <c r="C16" s="16" t="s">
        <v>1</v>
      </c>
      <c r="D16" s="59"/>
      <c r="E16" s="17"/>
      <c r="F16" s="59"/>
      <c r="G16" s="17"/>
      <c r="H16" s="59"/>
      <c r="I16" s="17"/>
      <c r="J16" s="59"/>
      <c r="K16" s="17"/>
      <c r="L16" s="59"/>
      <c r="M16" s="17"/>
      <c r="N16" s="59"/>
      <c r="O16" s="17"/>
      <c r="P16" s="59"/>
      <c r="Q16" s="17"/>
      <c r="R16" s="18"/>
      <c r="S16" s="59">
        <f t="shared" si="5"/>
        <v>0</v>
      </c>
      <c r="T16" s="59">
        <f t="shared" si="6"/>
        <v>0</v>
      </c>
      <c r="U16" s="62">
        <f t="shared" si="7"/>
        <v>0</v>
      </c>
    </row>
    <row r="17" spans="2:21" s="3" customFormat="1" ht="19.95" customHeight="1" x14ac:dyDescent="0.3">
      <c r="B17" s="15">
        <f t="shared" si="8"/>
        <v>11</v>
      </c>
      <c r="C17" s="16" t="s">
        <v>1</v>
      </c>
      <c r="D17" s="59"/>
      <c r="E17" s="17"/>
      <c r="F17" s="59"/>
      <c r="G17" s="17"/>
      <c r="H17" s="59"/>
      <c r="I17" s="17"/>
      <c r="J17" s="59"/>
      <c r="K17" s="17"/>
      <c r="L17" s="59"/>
      <c r="M17" s="17"/>
      <c r="N17" s="59"/>
      <c r="O17" s="17"/>
      <c r="P17" s="59"/>
      <c r="Q17" s="17"/>
      <c r="R17" s="18"/>
      <c r="S17" s="59">
        <f t="shared" si="5"/>
        <v>0</v>
      </c>
      <c r="T17" s="59">
        <f t="shared" si="6"/>
        <v>0</v>
      </c>
      <c r="U17" s="62">
        <f t="shared" si="7"/>
        <v>0</v>
      </c>
    </row>
    <row r="18" spans="2:21" s="3" customFormat="1" ht="19.95" customHeight="1" x14ac:dyDescent="0.3">
      <c r="B18" s="15">
        <f t="shared" si="8"/>
        <v>12</v>
      </c>
      <c r="C18" s="16" t="s">
        <v>1</v>
      </c>
      <c r="D18" s="59"/>
      <c r="E18" s="17"/>
      <c r="F18" s="59"/>
      <c r="G18" s="17"/>
      <c r="H18" s="59"/>
      <c r="I18" s="17"/>
      <c r="J18" s="59"/>
      <c r="K18" s="17"/>
      <c r="L18" s="59"/>
      <c r="M18" s="17"/>
      <c r="N18" s="59"/>
      <c r="O18" s="17"/>
      <c r="P18" s="59"/>
      <c r="Q18" s="17"/>
      <c r="R18" s="18"/>
      <c r="S18" s="59">
        <f t="shared" si="5"/>
        <v>0</v>
      </c>
      <c r="T18" s="59">
        <f t="shared" si="6"/>
        <v>0</v>
      </c>
      <c r="U18" s="62">
        <f t="shared" si="7"/>
        <v>0</v>
      </c>
    </row>
    <row r="19" spans="2:21" s="3" customFormat="1" ht="19.95" customHeight="1" x14ac:dyDescent="0.3">
      <c r="B19" s="15">
        <f t="shared" si="8"/>
        <v>13</v>
      </c>
      <c r="C19" s="16" t="s">
        <v>1</v>
      </c>
      <c r="D19" s="59"/>
      <c r="E19" s="17"/>
      <c r="F19" s="59"/>
      <c r="G19" s="17"/>
      <c r="H19" s="59"/>
      <c r="I19" s="17"/>
      <c r="J19" s="59"/>
      <c r="K19" s="17"/>
      <c r="L19" s="59"/>
      <c r="M19" s="17"/>
      <c r="N19" s="59"/>
      <c r="O19" s="17"/>
      <c r="P19" s="59"/>
      <c r="Q19" s="17"/>
      <c r="R19" s="18"/>
      <c r="S19" s="59">
        <f t="shared" si="5"/>
        <v>0</v>
      </c>
      <c r="T19" s="59">
        <f t="shared" si="6"/>
        <v>0</v>
      </c>
      <c r="U19" s="62">
        <f t="shared" si="7"/>
        <v>0</v>
      </c>
    </row>
    <row r="20" spans="2:21" s="3" customFormat="1" ht="19.95" customHeight="1" x14ac:dyDescent="0.3">
      <c r="B20" s="15">
        <f t="shared" si="8"/>
        <v>14</v>
      </c>
      <c r="C20" s="16"/>
      <c r="D20" s="59"/>
      <c r="E20" s="17"/>
      <c r="F20" s="59"/>
      <c r="G20" s="17"/>
      <c r="H20" s="59"/>
      <c r="I20" s="17"/>
      <c r="J20" s="59"/>
      <c r="K20" s="17"/>
      <c r="L20" s="59"/>
      <c r="M20" s="17"/>
      <c r="N20" s="59"/>
      <c r="O20" s="17"/>
      <c r="P20" s="59"/>
      <c r="Q20" s="17"/>
      <c r="R20" s="18"/>
      <c r="S20" s="59">
        <f t="shared" ref="S20:S36" si="9">IF(E20="Paid",D20,0)+IF(G20="Paid",F20,0)+IF(I20="Paid",H20,0)+IF(K20="Paid",J20,0)+IF(M20="Paid",L20,0)+IF(O20="Paid",N20,0)+IF(Q20="Paid",P20,0)</f>
        <v>0</v>
      </c>
      <c r="T20" s="59">
        <f t="shared" ref="T20:T36" si="10">IF(E20="Not Paid",D20,0)+IF(G20="Not Paid",F20,0)+IF(I20="Not Paid",H20,0)+IF(K20="Not Paid",J20,0)+IF(M20="Not Paid",L20,0)+IF(O20="Not Paid",N20,0)+IF(Q20="Not Paid",P20,0)</f>
        <v>0</v>
      </c>
      <c r="U20" s="62">
        <f t="shared" ref="U20:U36" si="11">T20+S20</f>
        <v>0</v>
      </c>
    </row>
    <row r="21" spans="2:21" s="3" customFormat="1" ht="19.95" customHeight="1" x14ac:dyDescent="0.3">
      <c r="B21" s="15">
        <f t="shared" si="8"/>
        <v>15</v>
      </c>
      <c r="C21" s="16"/>
      <c r="D21" s="59"/>
      <c r="E21" s="17"/>
      <c r="F21" s="59"/>
      <c r="G21" s="17"/>
      <c r="H21" s="59"/>
      <c r="I21" s="17"/>
      <c r="J21" s="59"/>
      <c r="K21" s="17"/>
      <c r="L21" s="59"/>
      <c r="M21" s="17"/>
      <c r="N21" s="59"/>
      <c r="O21" s="17"/>
      <c r="P21" s="59"/>
      <c r="Q21" s="17"/>
      <c r="R21" s="18"/>
      <c r="S21" s="59">
        <f t="shared" si="9"/>
        <v>0</v>
      </c>
      <c r="T21" s="59">
        <f t="shared" si="10"/>
        <v>0</v>
      </c>
      <c r="U21" s="62">
        <f t="shared" si="11"/>
        <v>0</v>
      </c>
    </row>
    <row r="22" spans="2:21" s="3" customFormat="1" ht="19.95" customHeight="1" x14ac:dyDescent="0.3">
      <c r="B22" s="15">
        <f t="shared" si="8"/>
        <v>16</v>
      </c>
      <c r="C22" s="16"/>
      <c r="D22" s="59"/>
      <c r="E22" s="17"/>
      <c r="F22" s="59"/>
      <c r="G22" s="17"/>
      <c r="H22" s="59"/>
      <c r="I22" s="17"/>
      <c r="J22" s="59"/>
      <c r="K22" s="17"/>
      <c r="L22" s="59"/>
      <c r="M22" s="17"/>
      <c r="N22" s="59"/>
      <c r="O22" s="17"/>
      <c r="P22" s="59"/>
      <c r="Q22" s="17"/>
      <c r="R22" s="18"/>
      <c r="S22" s="59">
        <f t="shared" si="9"/>
        <v>0</v>
      </c>
      <c r="T22" s="59">
        <f t="shared" si="10"/>
        <v>0</v>
      </c>
      <c r="U22" s="62">
        <f t="shared" si="11"/>
        <v>0</v>
      </c>
    </row>
    <row r="23" spans="2:21" s="3" customFormat="1" ht="19.95" customHeight="1" x14ac:dyDescent="0.3">
      <c r="B23" s="15">
        <f t="shared" si="8"/>
        <v>17</v>
      </c>
      <c r="C23" s="16"/>
      <c r="D23" s="59"/>
      <c r="E23" s="17"/>
      <c r="F23" s="59"/>
      <c r="G23" s="17"/>
      <c r="H23" s="59"/>
      <c r="I23" s="17"/>
      <c r="J23" s="59"/>
      <c r="K23" s="17"/>
      <c r="L23" s="59"/>
      <c r="M23" s="17"/>
      <c r="N23" s="59"/>
      <c r="O23" s="17"/>
      <c r="P23" s="59"/>
      <c r="Q23" s="17"/>
      <c r="R23" s="18"/>
      <c r="S23" s="59">
        <f t="shared" si="9"/>
        <v>0</v>
      </c>
      <c r="T23" s="59">
        <f t="shared" si="10"/>
        <v>0</v>
      </c>
      <c r="U23" s="62">
        <f t="shared" si="11"/>
        <v>0</v>
      </c>
    </row>
    <row r="24" spans="2:21" s="3" customFormat="1" ht="19.95" customHeight="1" x14ac:dyDescent="0.3">
      <c r="B24" s="15">
        <f t="shared" si="8"/>
        <v>18</v>
      </c>
      <c r="C24" s="16"/>
      <c r="D24" s="59"/>
      <c r="E24" s="17"/>
      <c r="F24" s="59"/>
      <c r="G24" s="17"/>
      <c r="H24" s="59"/>
      <c r="I24" s="17"/>
      <c r="J24" s="59"/>
      <c r="K24" s="17"/>
      <c r="L24" s="59"/>
      <c r="M24" s="17"/>
      <c r="N24" s="59"/>
      <c r="O24" s="17"/>
      <c r="P24" s="59"/>
      <c r="Q24" s="17"/>
      <c r="R24" s="18"/>
      <c r="S24" s="59">
        <f t="shared" si="9"/>
        <v>0</v>
      </c>
      <c r="T24" s="59">
        <f t="shared" si="10"/>
        <v>0</v>
      </c>
      <c r="U24" s="62">
        <f t="shared" si="11"/>
        <v>0</v>
      </c>
    </row>
    <row r="25" spans="2:21" s="3" customFormat="1" ht="19.95" customHeight="1" x14ac:dyDescent="0.3">
      <c r="B25" s="15">
        <f t="shared" si="8"/>
        <v>19</v>
      </c>
      <c r="C25" s="16"/>
      <c r="D25" s="59"/>
      <c r="E25" s="17"/>
      <c r="F25" s="59"/>
      <c r="G25" s="17"/>
      <c r="H25" s="59"/>
      <c r="I25" s="17"/>
      <c r="J25" s="59"/>
      <c r="K25" s="17"/>
      <c r="L25" s="59"/>
      <c r="M25" s="17"/>
      <c r="N25" s="59"/>
      <c r="O25" s="17"/>
      <c r="P25" s="59"/>
      <c r="Q25" s="17"/>
      <c r="R25" s="18"/>
      <c r="S25" s="59">
        <f t="shared" si="9"/>
        <v>0</v>
      </c>
      <c r="T25" s="59">
        <f t="shared" si="10"/>
        <v>0</v>
      </c>
      <c r="U25" s="62">
        <f t="shared" si="11"/>
        <v>0</v>
      </c>
    </row>
    <row r="26" spans="2:21" s="3" customFormat="1" ht="19.95" customHeight="1" x14ac:dyDescent="0.3">
      <c r="B26" s="15">
        <f t="shared" si="8"/>
        <v>20</v>
      </c>
      <c r="C26" s="16"/>
      <c r="D26" s="59"/>
      <c r="E26" s="17"/>
      <c r="F26" s="59"/>
      <c r="G26" s="17"/>
      <c r="H26" s="59"/>
      <c r="I26" s="17"/>
      <c r="J26" s="59"/>
      <c r="K26" s="17"/>
      <c r="L26" s="59"/>
      <c r="M26" s="17"/>
      <c r="N26" s="59"/>
      <c r="O26" s="17"/>
      <c r="P26" s="59"/>
      <c r="Q26" s="17"/>
      <c r="R26" s="18"/>
      <c r="S26" s="59">
        <f t="shared" si="9"/>
        <v>0</v>
      </c>
      <c r="T26" s="59">
        <f t="shared" si="10"/>
        <v>0</v>
      </c>
      <c r="U26" s="62">
        <f t="shared" si="11"/>
        <v>0</v>
      </c>
    </row>
    <row r="27" spans="2:21" s="3" customFormat="1" ht="19.95" customHeight="1" x14ac:dyDescent="0.3">
      <c r="B27" s="15">
        <f t="shared" si="8"/>
        <v>21</v>
      </c>
      <c r="C27" s="16"/>
      <c r="D27" s="59"/>
      <c r="E27" s="17"/>
      <c r="F27" s="59"/>
      <c r="G27" s="17"/>
      <c r="H27" s="59"/>
      <c r="I27" s="17"/>
      <c r="J27" s="59"/>
      <c r="K27" s="17"/>
      <c r="L27" s="59"/>
      <c r="M27" s="17"/>
      <c r="N27" s="59"/>
      <c r="O27" s="17"/>
      <c r="P27" s="59"/>
      <c r="Q27" s="17"/>
      <c r="R27" s="18"/>
      <c r="S27" s="59">
        <f t="shared" si="9"/>
        <v>0</v>
      </c>
      <c r="T27" s="59">
        <f t="shared" si="10"/>
        <v>0</v>
      </c>
      <c r="U27" s="62">
        <f t="shared" si="11"/>
        <v>0</v>
      </c>
    </row>
    <row r="28" spans="2:21" s="3" customFormat="1" ht="19.95" customHeight="1" x14ac:dyDescent="0.3">
      <c r="B28" s="15">
        <f t="shared" si="8"/>
        <v>22</v>
      </c>
      <c r="C28" s="16"/>
      <c r="D28" s="59"/>
      <c r="E28" s="17"/>
      <c r="F28" s="59"/>
      <c r="G28" s="17"/>
      <c r="H28" s="59"/>
      <c r="I28" s="17"/>
      <c r="J28" s="59"/>
      <c r="K28" s="17"/>
      <c r="L28" s="59"/>
      <c r="M28" s="17"/>
      <c r="N28" s="59"/>
      <c r="O28" s="17"/>
      <c r="P28" s="59"/>
      <c r="Q28" s="17"/>
      <c r="R28" s="18"/>
      <c r="S28" s="59">
        <f t="shared" si="9"/>
        <v>0</v>
      </c>
      <c r="T28" s="59">
        <f t="shared" si="10"/>
        <v>0</v>
      </c>
      <c r="U28" s="62">
        <f t="shared" si="11"/>
        <v>0</v>
      </c>
    </row>
    <row r="29" spans="2:21" s="3" customFormat="1" ht="19.95" customHeight="1" x14ac:dyDescent="0.3">
      <c r="B29" s="15">
        <f t="shared" si="8"/>
        <v>23</v>
      </c>
      <c r="C29" s="16"/>
      <c r="D29" s="59"/>
      <c r="E29" s="17"/>
      <c r="F29" s="59"/>
      <c r="G29" s="17"/>
      <c r="H29" s="59"/>
      <c r="I29" s="17"/>
      <c r="J29" s="59"/>
      <c r="K29" s="17"/>
      <c r="L29" s="59"/>
      <c r="M29" s="17"/>
      <c r="N29" s="59"/>
      <c r="O29" s="17"/>
      <c r="P29" s="59"/>
      <c r="Q29" s="17"/>
      <c r="R29" s="18"/>
      <c r="S29" s="59">
        <f t="shared" si="9"/>
        <v>0</v>
      </c>
      <c r="T29" s="59">
        <f t="shared" si="10"/>
        <v>0</v>
      </c>
      <c r="U29" s="62">
        <f t="shared" si="11"/>
        <v>0</v>
      </c>
    </row>
    <row r="30" spans="2:21" s="3" customFormat="1" ht="19.95" customHeight="1" x14ac:dyDescent="0.3">
      <c r="B30" s="15">
        <f t="shared" si="8"/>
        <v>24</v>
      </c>
      <c r="C30" s="16"/>
      <c r="D30" s="59"/>
      <c r="E30" s="17"/>
      <c r="F30" s="59"/>
      <c r="G30" s="17"/>
      <c r="H30" s="59"/>
      <c r="I30" s="17"/>
      <c r="J30" s="59"/>
      <c r="K30" s="17"/>
      <c r="L30" s="59"/>
      <c r="M30" s="17"/>
      <c r="N30" s="59"/>
      <c r="O30" s="17"/>
      <c r="P30" s="59"/>
      <c r="Q30" s="17"/>
      <c r="R30" s="18"/>
      <c r="S30" s="59">
        <f t="shared" si="9"/>
        <v>0</v>
      </c>
      <c r="T30" s="59">
        <f t="shared" si="10"/>
        <v>0</v>
      </c>
      <c r="U30" s="62">
        <f t="shared" si="11"/>
        <v>0</v>
      </c>
    </row>
    <row r="31" spans="2:21" s="3" customFormat="1" ht="19.95" customHeight="1" x14ac:dyDescent="0.3">
      <c r="B31" s="15">
        <f t="shared" si="8"/>
        <v>25</v>
      </c>
      <c r="C31" s="16"/>
      <c r="D31" s="59"/>
      <c r="E31" s="17"/>
      <c r="F31" s="59"/>
      <c r="G31" s="17"/>
      <c r="H31" s="59"/>
      <c r="I31" s="17"/>
      <c r="J31" s="59"/>
      <c r="K31" s="17"/>
      <c r="L31" s="59"/>
      <c r="M31" s="17"/>
      <c r="N31" s="59"/>
      <c r="O31" s="17"/>
      <c r="P31" s="59"/>
      <c r="Q31" s="17"/>
      <c r="R31" s="18"/>
      <c r="S31" s="59">
        <f t="shared" si="9"/>
        <v>0</v>
      </c>
      <c r="T31" s="59">
        <f t="shared" si="10"/>
        <v>0</v>
      </c>
      <c r="U31" s="62">
        <f t="shared" si="11"/>
        <v>0</v>
      </c>
    </row>
    <row r="32" spans="2:21" s="3" customFormat="1" ht="19.95" customHeight="1" x14ac:dyDescent="0.3">
      <c r="B32" s="15">
        <f t="shared" si="8"/>
        <v>26</v>
      </c>
      <c r="C32" s="16"/>
      <c r="D32" s="59"/>
      <c r="E32" s="17"/>
      <c r="F32" s="59"/>
      <c r="G32" s="17"/>
      <c r="H32" s="59"/>
      <c r="I32" s="17"/>
      <c r="J32" s="59"/>
      <c r="K32" s="17"/>
      <c r="L32" s="59"/>
      <c r="M32" s="17"/>
      <c r="N32" s="59"/>
      <c r="O32" s="17"/>
      <c r="P32" s="59"/>
      <c r="Q32" s="17"/>
      <c r="R32" s="18"/>
      <c r="S32" s="59">
        <f t="shared" si="9"/>
        <v>0</v>
      </c>
      <c r="T32" s="59">
        <f t="shared" si="10"/>
        <v>0</v>
      </c>
      <c r="U32" s="62">
        <f t="shared" si="11"/>
        <v>0</v>
      </c>
    </row>
    <row r="33" spans="2:21" s="3" customFormat="1" ht="19.95" customHeight="1" x14ac:dyDescent="0.3">
      <c r="B33" s="15">
        <f t="shared" si="8"/>
        <v>27</v>
      </c>
      <c r="C33" s="16"/>
      <c r="D33" s="59"/>
      <c r="E33" s="17"/>
      <c r="F33" s="59"/>
      <c r="G33" s="17"/>
      <c r="H33" s="59"/>
      <c r="I33" s="17"/>
      <c r="J33" s="59"/>
      <c r="K33" s="17"/>
      <c r="L33" s="59"/>
      <c r="M33" s="17"/>
      <c r="N33" s="59"/>
      <c r="O33" s="17"/>
      <c r="P33" s="59"/>
      <c r="Q33" s="17"/>
      <c r="R33" s="18"/>
      <c r="S33" s="59">
        <f t="shared" si="9"/>
        <v>0</v>
      </c>
      <c r="T33" s="59">
        <f t="shared" si="10"/>
        <v>0</v>
      </c>
      <c r="U33" s="62">
        <f t="shared" si="11"/>
        <v>0</v>
      </c>
    </row>
    <row r="34" spans="2:21" s="3" customFormat="1" ht="19.95" customHeight="1" x14ac:dyDescent="0.3">
      <c r="B34" s="15">
        <f t="shared" si="8"/>
        <v>28</v>
      </c>
      <c r="C34" s="16"/>
      <c r="D34" s="59"/>
      <c r="E34" s="17"/>
      <c r="F34" s="59"/>
      <c r="G34" s="17"/>
      <c r="H34" s="59"/>
      <c r="I34" s="17"/>
      <c r="J34" s="59"/>
      <c r="K34" s="17"/>
      <c r="L34" s="59"/>
      <c r="M34" s="17"/>
      <c r="N34" s="59"/>
      <c r="O34" s="17"/>
      <c r="P34" s="59"/>
      <c r="Q34" s="17"/>
      <c r="R34" s="18"/>
      <c r="S34" s="59">
        <f t="shared" si="9"/>
        <v>0</v>
      </c>
      <c r="T34" s="59">
        <f t="shared" si="10"/>
        <v>0</v>
      </c>
      <c r="U34" s="62">
        <f t="shared" si="11"/>
        <v>0</v>
      </c>
    </row>
    <row r="35" spans="2:21" s="3" customFormat="1" ht="19.95" customHeight="1" x14ac:dyDescent="0.3">
      <c r="B35" s="15">
        <f t="shared" si="8"/>
        <v>29</v>
      </c>
      <c r="C35" s="16" t="s">
        <v>1</v>
      </c>
      <c r="D35" s="59"/>
      <c r="E35" s="17"/>
      <c r="F35" s="59"/>
      <c r="G35" s="17"/>
      <c r="H35" s="59"/>
      <c r="I35" s="17"/>
      <c r="J35" s="59"/>
      <c r="K35" s="17"/>
      <c r="L35" s="59"/>
      <c r="M35" s="17"/>
      <c r="N35" s="59"/>
      <c r="O35" s="17"/>
      <c r="P35" s="59"/>
      <c r="Q35" s="17"/>
      <c r="R35" s="18"/>
      <c r="S35" s="59">
        <f t="shared" si="9"/>
        <v>0</v>
      </c>
      <c r="T35" s="59">
        <f t="shared" si="10"/>
        <v>0</v>
      </c>
      <c r="U35" s="62">
        <f t="shared" si="11"/>
        <v>0</v>
      </c>
    </row>
    <row r="36" spans="2:21" s="3" customFormat="1" ht="19.95" customHeight="1" x14ac:dyDescent="0.3">
      <c r="B36" s="15">
        <f t="shared" si="8"/>
        <v>30</v>
      </c>
      <c r="C36" s="16" t="s">
        <v>1</v>
      </c>
      <c r="D36" s="59"/>
      <c r="E36" s="17" t="s">
        <v>4</v>
      </c>
      <c r="F36" s="59"/>
      <c r="G36" s="17" t="s">
        <v>4</v>
      </c>
      <c r="H36" s="59"/>
      <c r="I36" s="17" t="s">
        <v>4</v>
      </c>
      <c r="J36" s="59"/>
      <c r="K36" s="17" t="s">
        <v>4</v>
      </c>
      <c r="L36" s="59"/>
      <c r="M36" s="17" t="s">
        <v>4</v>
      </c>
      <c r="N36" s="59"/>
      <c r="O36" s="17" t="s">
        <v>4</v>
      </c>
      <c r="P36" s="59"/>
      <c r="Q36" s="17" t="s">
        <v>4</v>
      </c>
      <c r="R36" s="18"/>
      <c r="S36" s="59">
        <f t="shared" si="9"/>
        <v>0</v>
      </c>
      <c r="T36" s="59">
        <f t="shared" si="10"/>
        <v>0</v>
      </c>
      <c r="U36" s="62">
        <f t="shared" si="11"/>
        <v>0</v>
      </c>
    </row>
    <row r="37" spans="2:21" ht="10.050000000000001" customHeight="1" x14ac:dyDescent="0.25">
      <c r="F37" s="10"/>
      <c r="H37" s="10"/>
      <c r="J37" s="10"/>
      <c r="L37" s="10"/>
      <c r="M37" s="10"/>
      <c r="S37" s="64"/>
      <c r="T37" s="64"/>
      <c r="U37" s="64"/>
    </row>
    <row r="38" spans="2:21" s="4" customFormat="1" ht="24" customHeight="1" thickBot="1" x14ac:dyDescent="0.35">
      <c r="B38" s="21" t="s">
        <v>2</v>
      </c>
      <c r="C38" s="21"/>
      <c r="D38" s="11">
        <f>SUM(D7:D36)</f>
        <v>20</v>
      </c>
      <c r="E38" s="9"/>
      <c r="F38" s="11">
        <f>SUM(F7:F36)</f>
        <v>20</v>
      </c>
      <c r="G38" s="9"/>
      <c r="H38" s="11">
        <f>SUM(H7:H36)</f>
        <v>20</v>
      </c>
      <c r="I38" s="9"/>
      <c r="J38" s="11">
        <f>SUM(J7:J36)</f>
        <v>20</v>
      </c>
      <c r="K38" s="9"/>
      <c r="L38" s="11">
        <f>SUM(L7:L36)</f>
        <v>20</v>
      </c>
      <c r="M38" s="9"/>
      <c r="N38" s="11">
        <f>SUM(N7:N36)</f>
        <v>20</v>
      </c>
      <c r="O38" s="9"/>
      <c r="P38" s="11">
        <f>SUM(P7:P36)</f>
        <v>20</v>
      </c>
      <c r="Q38" s="9"/>
      <c r="R38" s="12"/>
      <c r="S38" s="63">
        <f>SUM(S7:S36)</f>
        <v>140</v>
      </c>
      <c r="T38" s="63">
        <f>SUM(T7:T36)</f>
        <v>0</v>
      </c>
      <c r="U38" s="63">
        <f>SUM(U7:U36)</f>
        <v>140</v>
      </c>
    </row>
    <row r="39" spans="2:21" ht="14.4" thickTop="1" x14ac:dyDescent="0.25"/>
  </sheetData>
  <mergeCells count="20">
    <mergeCell ref="B2:C2"/>
    <mergeCell ref="D2:E2"/>
    <mergeCell ref="B4:B6"/>
    <mergeCell ref="C4:C6"/>
    <mergeCell ref="D4:E4"/>
    <mergeCell ref="D5:E5"/>
    <mergeCell ref="S4:U5"/>
    <mergeCell ref="H5:I5"/>
    <mergeCell ref="J5:K5"/>
    <mergeCell ref="L5:M5"/>
    <mergeCell ref="N5:O5"/>
    <mergeCell ref="P5:Q5"/>
    <mergeCell ref="P4:Q4"/>
    <mergeCell ref="B38:C38"/>
    <mergeCell ref="H4:I4"/>
    <mergeCell ref="J4:K4"/>
    <mergeCell ref="L4:M4"/>
    <mergeCell ref="N4:O4"/>
    <mergeCell ref="F4:G4"/>
    <mergeCell ref="F5:G5"/>
  </mergeCells>
  <dataValidations count="1">
    <dataValidation type="list" allowBlank="1" showInputMessage="1" showErrorMessage="1" sqref="E7:E36 G7:G36 I7:I36 K7:K36 M7:M36 O7:O36 Q7:Q36" xr:uid="{00000000-0002-0000-0400-000000000000}">
      <formula1>"Paid, Not Paid"</formula1>
    </dataValidation>
  </dataValidations>
  <printOptions horizontalCentered="1"/>
  <pageMargins left="0" right="0" top="0.5" bottom="0" header="0.3" footer="0.3"/>
  <pageSetup scale="7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Summary!$C$7:$C$36</xm:f>
          </x14:formula1>
          <xm:sqref>C7:C36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9"/>
  <sheetViews>
    <sheetView showGridLines="0" showRowColHeaders="0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S7" sqref="S7:U38"/>
    </sheetView>
  </sheetViews>
  <sheetFormatPr defaultRowHeight="13.8" x14ac:dyDescent="0.25"/>
  <cols>
    <col min="1" max="1" width="1.109375" style="1" customWidth="1"/>
    <col min="2" max="2" width="6.21875" style="2" customWidth="1"/>
    <col min="3" max="3" width="15.77734375" style="1" customWidth="1"/>
    <col min="4" max="4" width="14.88671875" style="10" customWidth="1"/>
    <col min="5" max="5" width="10" style="1" bestFit="1" customWidth="1"/>
    <col min="6" max="6" width="14.33203125" style="1" customWidth="1"/>
    <col min="7" max="7" width="10" style="1" bestFit="1" customWidth="1"/>
    <col min="8" max="8" width="13.33203125" style="1" customWidth="1"/>
    <col min="9" max="9" width="8.88671875" style="1"/>
    <col min="10" max="10" width="13.109375" style="1" customWidth="1"/>
    <col min="11" max="11" width="8.88671875" style="1"/>
    <col min="12" max="12" width="14.44140625" style="1" customWidth="1"/>
    <col min="13" max="13" width="10.5546875" style="1" bestFit="1" customWidth="1"/>
    <col min="14" max="14" width="15.5546875" style="1" customWidth="1"/>
    <col min="15" max="15" width="10" style="1" customWidth="1"/>
    <col min="16" max="16" width="15.6640625" style="1" customWidth="1"/>
    <col min="17" max="17" width="10" style="1" customWidth="1"/>
    <col min="18" max="18" width="0.88671875" style="6" customWidth="1"/>
    <col min="19" max="19" width="16.33203125" style="2" customWidth="1"/>
    <col min="20" max="20" width="11.5546875" style="2" customWidth="1"/>
    <col min="21" max="21" width="13.77734375" style="2" customWidth="1"/>
    <col min="22" max="22" width="1.109375" style="1" customWidth="1"/>
    <col min="23" max="16384" width="8.88671875" style="1"/>
  </cols>
  <sheetData>
    <row r="1" spans="2:21" ht="6" customHeight="1" x14ac:dyDescent="0.25"/>
    <row r="2" spans="2:21" s="5" customFormat="1" ht="25.2" x14ac:dyDescent="0.45">
      <c r="B2" s="56" t="s">
        <v>29</v>
      </c>
      <c r="C2" s="56"/>
      <c r="D2" s="54">
        <f>'Week 4'!D2:E2</f>
        <v>44682</v>
      </c>
      <c r="E2" s="54"/>
      <c r="R2" s="7"/>
      <c r="S2" s="8"/>
      <c r="T2" s="8"/>
      <c r="U2" s="8"/>
    </row>
    <row r="4" spans="2:21" s="4" customFormat="1" ht="30" customHeight="1" x14ac:dyDescent="0.3">
      <c r="B4" s="55" t="s">
        <v>0</v>
      </c>
      <c r="C4" s="55" t="s">
        <v>13</v>
      </c>
      <c r="D4" s="57">
        <f>IFERROR((IF(MONTH('Week 4'!P4)=MONTH('Week 4'!P4+1),('Week 4'!P4+1),"")),"")</f>
        <v>44710</v>
      </c>
      <c r="E4" s="57"/>
      <c r="F4" s="57">
        <f>IFERROR((IF(MONTH(D4)=MONTH(D4+1),D4+1," ")),"")</f>
        <v>44711</v>
      </c>
      <c r="G4" s="57"/>
      <c r="H4" s="57">
        <f t="shared" ref="H4" si="0">IFERROR((IF(MONTH(F4)=MONTH(F4+1),F4+1," ")),"")</f>
        <v>44712</v>
      </c>
      <c r="I4" s="57"/>
      <c r="J4" s="57" t="str">
        <f t="shared" ref="J4" si="1">IFERROR((IF(MONTH(H4)=MONTH(H4+1),H4+1," ")),"")</f>
        <v xml:space="preserve"> </v>
      </c>
      <c r="K4" s="57"/>
      <c r="L4" s="57" t="str">
        <f t="shared" ref="L4" si="2">IFERROR((IF(MONTH(J4)=MONTH(J4+1),J4+1," ")),"")</f>
        <v/>
      </c>
      <c r="M4" s="57"/>
      <c r="N4" s="57" t="str">
        <f t="shared" ref="N4" si="3">IFERROR((IF(MONTH(L4)=MONTH(L4+1),L4+1," ")),"")</f>
        <v/>
      </c>
      <c r="O4" s="57"/>
      <c r="P4" s="57" t="str">
        <f t="shared" ref="P4" si="4">IFERROR((IF(MONTH(N4)=MONTH(N4+1),N4+1," ")),"")</f>
        <v/>
      </c>
      <c r="Q4" s="57"/>
      <c r="R4" s="13"/>
      <c r="S4" s="58" t="s">
        <v>24</v>
      </c>
      <c r="T4" s="58"/>
      <c r="U4" s="58"/>
    </row>
    <row r="5" spans="2:21" s="4" customFormat="1" ht="30" customHeight="1" x14ac:dyDescent="0.3">
      <c r="B5" s="55"/>
      <c r="C5" s="55"/>
      <c r="D5" s="55" t="str">
        <f>TEXT(D4,"dddd")</f>
        <v>Sunday</v>
      </c>
      <c r="E5" s="55"/>
      <c r="F5" s="55" t="str">
        <f>TEXT(F4,"dddd")</f>
        <v>Monday</v>
      </c>
      <c r="G5" s="55"/>
      <c r="H5" s="55" t="str">
        <f>TEXT(H4,"dddd")</f>
        <v>Tuesday</v>
      </c>
      <c r="I5" s="55"/>
      <c r="J5" s="55" t="str">
        <f>TEXT(J4,"dddd")</f>
        <v xml:space="preserve"> </v>
      </c>
      <c r="K5" s="55"/>
      <c r="L5" s="55" t="str">
        <f>TEXT(L4,"dddd")</f>
        <v/>
      </c>
      <c r="M5" s="55"/>
      <c r="N5" s="55" t="str">
        <f>TEXT(N4,"dddd")</f>
        <v/>
      </c>
      <c r="O5" s="55"/>
      <c r="P5" s="55" t="str">
        <f>TEXT(P4,"dddd")</f>
        <v/>
      </c>
      <c r="Q5" s="55"/>
      <c r="R5" s="13"/>
      <c r="S5" s="58"/>
      <c r="T5" s="58"/>
      <c r="U5" s="58"/>
    </row>
    <row r="6" spans="2:21" s="4" customFormat="1" ht="30" customHeight="1" x14ac:dyDescent="0.3">
      <c r="B6" s="55"/>
      <c r="C6" s="55"/>
      <c r="D6" s="14" t="s">
        <v>23</v>
      </c>
      <c r="E6" s="14" t="s">
        <v>3</v>
      </c>
      <c r="F6" s="14" t="s">
        <v>23</v>
      </c>
      <c r="G6" s="14" t="s">
        <v>3</v>
      </c>
      <c r="H6" s="14" t="s">
        <v>23</v>
      </c>
      <c r="I6" s="14" t="s">
        <v>3</v>
      </c>
      <c r="J6" s="14" t="s">
        <v>23</v>
      </c>
      <c r="K6" s="14" t="s">
        <v>3</v>
      </c>
      <c r="L6" s="14" t="s">
        <v>23</v>
      </c>
      <c r="M6" s="14" t="s">
        <v>3</v>
      </c>
      <c r="N6" s="14" t="s">
        <v>23</v>
      </c>
      <c r="O6" s="14" t="s">
        <v>3</v>
      </c>
      <c r="P6" s="14" t="s">
        <v>23</v>
      </c>
      <c r="Q6" s="14" t="s">
        <v>3</v>
      </c>
      <c r="R6" s="13"/>
      <c r="S6" s="14" t="s">
        <v>20</v>
      </c>
      <c r="T6" s="14" t="s">
        <v>21</v>
      </c>
      <c r="U6" s="14" t="s">
        <v>5</v>
      </c>
    </row>
    <row r="7" spans="2:21" s="3" customFormat="1" ht="19.95" customHeight="1" x14ac:dyDescent="0.3">
      <c r="B7" s="15">
        <v>1</v>
      </c>
      <c r="C7" s="16" t="s">
        <v>1</v>
      </c>
      <c r="D7" s="59">
        <v>6</v>
      </c>
      <c r="E7" s="17" t="s">
        <v>4</v>
      </c>
      <c r="F7" s="59">
        <v>6</v>
      </c>
      <c r="G7" s="17" t="s">
        <v>4</v>
      </c>
      <c r="H7" s="59">
        <v>6</v>
      </c>
      <c r="I7" s="17" t="s">
        <v>4</v>
      </c>
      <c r="J7" s="59">
        <v>6</v>
      </c>
      <c r="K7" s="17" t="s">
        <v>4</v>
      </c>
      <c r="L7" s="59">
        <v>6</v>
      </c>
      <c r="M7" s="17" t="s">
        <v>4</v>
      </c>
      <c r="N7" s="59">
        <v>6</v>
      </c>
      <c r="O7" s="17" t="s">
        <v>4</v>
      </c>
      <c r="P7" s="59">
        <v>6</v>
      </c>
      <c r="Q7" s="17" t="s">
        <v>4</v>
      </c>
      <c r="R7" s="18"/>
      <c r="S7" s="59">
        <f>IF(E7="Paid",D7,0)+IF(G7="Paid",F7,0)+IF(I7="Paid",H7,0)+IF(K7="Paid",J7,0)+IF(M7="Paid",L7,0)+IF(O7="Paid",N7,0)+IF(Q7="Paid",P7,0)</f>
        <v>42</v>
      </c>
      <c r="T7" s="59">
        <f>IF(E7="Not Paid",D7,0)+IF(G7="Not Paid",F7,0)+IF(I7="Not Paid",H7,0)+IF(K7="Not Paid",J7,0)+IF(M7="Not Paid",L7,0)+IF(O7="Not Paid",N7,0)+IF(Q7="Not Paid",P7,0)</f>
        <v>0</v>
      </c>
      <c r="U7" s="62">
        <f>T7+S7</f>
        <v>42</v>
      </c>
    </row>
    <row r="8" spans="2:21" s="3" customFormat="1" ht="19.95" customHeight="1" x14ac:dyDescent="0.3">
      <c r="B8" s="15">
        <f>B7+1</f>
        <v>2</v>
      </c>
      <c r="C8" s="16" t="s">
        <v>1</v>
      </c>
      <c r="D8" s="59">
        <v>2</v>
      </c>
      <c r="E8" s="17" t="s">
        <v>4</v>
      </c>
      <c r="F8" s="59">
        <v>2</v>
      </c>
      <c r="G8" s="17" t="s">
        <v>4</v>
      </c>
      <c r="H8" s="59">
        <v>2</v>
      </c>
      <c r="I8" s="17" t="s">
        <v>4</v>
      </c>
      <c r="J8" s="59">
        <v>2</v>
      </c>
      <c r="K8" s="17" t="s">
        <v>4</v>
      </c>
      <c r="L8" s="59">
        <v>2</v>
      </c>
      <c r="M8" s="17" t="s">
        <v>4</v>
      </c>
      <c r="N8" s="59">
        <v>2</v>
      </c>
      <c r="O8" s="17" t="s">
        <v>4</v>
      </c>
      <c r="P8" s="59">
        <v>2</v>
      </c>
      <c r="Q8" s="17" t="s">
        <v>4</v>
      </c>
      <c r="R8" s="18"/>
      <c r="S8" s="59">
        <f t="shared" ref="S8:S19" si="5">IF(E8="Paid",D8,0)+IF(G8="Paid",F8,0)+IF(I8="Paid",H8,0)+IF(K8="Paid",J8,0)+IF(M8="Paid",L8,0)+IF(O8="Paid",N8,0)+IF(Q8="Paid",P8,0)</f>
        <v>14</v>
      </c>
      <c r="T8" s="59">
        <f t="shared" ref="T8:T19" si="6">IF(E8="Not Paid",D8,0)+IF(G8="Not Paid",F8,0)+IF(I8="Not Paid",H8,0)+IF(K8="Not Paid",J8,0)+IF(M8="Not Paid",L8,0)+IF(O8="Not Paid",N8,0)+IF(Q8="Not Paid",P8,0)</f>
        <v>0</v>
      </c>
      <c r="U8" s="62">
        <f t="shared" ref="U8:U19" si="7">T8+S8</f>
        <v>14</v>
      </c>
    </row>
    <row r="9" spans="2:21" s="3" customFormat="1" ht="19.95" customHeight="1" x14ac:dyDescent="0.3">
      <c r="B9" s="15">
        <f t="shared" ref="B9:B36" si="8">B8+1</f>
        <v>3</v>
      </c>
      <c r="C9" s="16" t="s">
        <v>1</v>
      </c>
      <c r="D9" s="59">
        <v>3</v>
      </c>
      <c r="E9" s="17" t="s">
        <v>4</v>
      </c>
      <c r="F9" s="59">
        <v>3</v>
      </c>
      <c r="G9" s="17" t="s">
        <v>4</v>
      </c>
      <c r="H9" s="59">
        <v>3</v>
      </c>
      <c r="I9" s="17" t="s">
        <v>4</v>
      </c>
      <c r="J9" s="59">
        <v>3</v>
      </c>
      <c r="K9" s="17" t="s">
        <v>4</v>
      </c>
      <c r="L9" s="59">
        <v>3</v>
      </c>
      <c r="M9" s="17" t="s">
        <v>4</v>
      </c>
      <c r="N9" s="59">
        <v>3</v>
      </c>
      <c r="O9" s="17" t="s">
        <v>4</v>
      </c>
      <c r="P9" s="59">
        <v>3</v>
      </c>
      <c r="Q9" s="17" t="s">
        <v>4</v>
      </c>
      <c r="R9" s="18"/>
      <c r="S9" s="59">
        <f t="shared" si="5"/>
        <v>21</v>
      </c>
      <c r="T9" s="59">
        <f t="shared" si="6"/>
        <v>0</v>
      </c>
      <c r="U9" s="62">
        <f t="shared" si="7"/>
        <v>21</v>
      </c>
    </row>
    <row r="10" spans="2:21" s="3" customFormat="1" ht="19.95" customHeight="1" x14ac:dyDescent="0.3">
      <c r="B10" s="15">
        <f t="shared" si="8"/>
        <v>4</v>
      </c>
      <c r="C10" s="16" t="s">
        <v>1</v>
      </c>
      <c r="D10" s="59">
        <v>4</v>
      </c>
      <c r="E10" s="17" t="s">
        <v>4</v>
      </c>
      <c r="F10" s="59">
        <v>4</v>
      </c>
      <c r="G10" s="17" t="s">
        <v>4</v>
      </c>
      <c r="H10" s="59">
        <v>4</v>
      </c>
      <c r="I10" s="17" t="s">
        <v>4</v>
      </c>
      <c r="J10" s="59">
        <v>4</v>
      </c>
      <c r="K10" s="17" t="s">
        <v>4</v>
      </c>
      <c r="L10" s="59">
        <v>4</v>
      </c>
      <c r="M10" s="17" t="s">
        <v>4</v>
      </c>
      <c r="N10" s="59">
        <v>4</v>
      </c>
      <c r="O10" s="17" t="s">
        <v>4</v>
      </c>
      <c r="P10" s="59">
        <v>4</v>
      </c>
      <c r="Q10" s="17" t="s">
        <v>4</v>
      </c>
      <c r="R10" s="18"/>
      <c r="S10" s="59">
        <f t="shared" si="5"/>
        <v>28</v>
      </c>
      <c r="T10" s="59">
        <f t="shared" si="6"/>
        <v>0</v>
      </c>
      <c r="U10" s="62">
        <f t="shared" si="7"/>
        <v>28</v>
      </c>
    </row>
    <row r="11" spans="2:21" s="3" customFormat="1" ht="19.95" customHeight="1" x14ac:dyDescent="0.3">
      <c r="B11" s="15">
        <f t="shared" si="8"/>
        <v>5</v>
      </c>
      <c r="C11" s="16" t="s">
        <v>1</v>
      </c>
      <c r="D11" s="59">
        <v>5</v>
      </c>
      <c r="E11" s="17" t="s">
        <v>4</v>
      </c>
      <c r="F11" s="59">
        <v>5</v>
      </c>
      <c r="G11" s="17" t="s">
        <v>4</v>
      </c>
      <c r="H11" s="59">
        <v>5</v>
      </c>
      <c r="I11" s="17" t="s">
        <v>4</v>
      </c>
      <c r="J11" s="59">
        <v>5</v>
      </c>
      <c r="K11" s="17" t="s">
        <v>4</v>
      </c>
      <c r="L11" s="59">
        <v>5</v>
      </c>
      <c r="M11" s="17" t="s">
        <v>4</v>
      </c>
      <c r="N11" s="59">
        <v>5</v>
      </c>
      <c r="O11" s="17" t="s">
        <v>4</v>
      </c>
      <c r="P11" s="59">
        <v>5</v>
      </c>
      <c r="Q11" s="17" t="s">
        <v>4</v>
      </c>
      <c r="R11" s="18"/>
      <c r="S11" s="59">
        <f t="shared" si="5"/>
        <v>35</v>
      </c>
      <c r="T11" s="59">
        <f t="shared" si="6"/>
        <v>0</v>
      </c>
      <c r="U11" s="62">
        <f t="shared" si="7"/>
        <v>35</v>
      </c>
    </row>
    <row r="12" spans="2:21" s="3" customFormat="1" ht="19.95" customHeight="1" x14ac:dyDescent="0.3">
      <c r="B12" s="15">
        <f t="shared" si="8"/>
        <v>6</v>
      </c>
      <c r="C12" s="16" t="s">
        <v>1</v>
      </c>
      <c r="D12" s="59"/>
      <c r="E12" s="17" t="s">
        <v>4</v>
      </c>
      <c r="F12" s="59"/>
      <c r="G12" s="17" t="s">
        <v>4</v>
      </c>
      <c r="H12" s="59"/>
      <c r="I12" s="17" t="s">
        <v>4</v>
      </c>
      <c r="J12" s="59"/>
      <c r="K12" s="17" t="s">
        <v>4</v>
      </c>
      <c r="L12" s="59"/>
      <c r="M12" s="17" t="s">
        <v>4</v>
      </c>
      <c r="N12" s="59"/>
      <c r="O12" s="17" t="s">
        <v>4</v>
      </c>
      <c r="P12" s="59"/>
      <c r="Q12" s="17" t="s">
        <v>4</v>
      </c>
      <c r="R12" s="18"/>
      <c r="S12" s="59">
        <f t="shared" si="5"/>
        <v>0</v>
      </c>
      <c r="T12" s="59">
        <f t="shared" si="6"/>
        <v>0</v>
      </c>
      <c r="U12" s="62">
        <f t="shared" si="7"/>
        <v>0</v>
      </c>
    </row>
    <row r="13" spans="2:21" s="3" customFormat="1" ht="19.95" customHeight="1" x14ac:dyDescent="0.3">
      <c r="B13" s="15">
        <f t="shared" si="8"/>
        <v>7</v>
      </c>
      <c r="C13" s="16" t="s">
        <v>1</v>
      </c>
      <c r="D13" s="59"/>
      <c r="E13" s="17" t="s">
        <v>4</v>
      </c>
      <c r="F13" s="59"/>
      <c r="G13" s="17" t="s">
        <v>4</v>
      </c>
      <c r="H13" s="59"/>
      <c r="I13" s="17" t="s">
        <v>4</v>
      </c>
      <c r="J13" s="59"/>
      <c r="K13" s="17" t="s">
        <v>4</v>
      </c>
      <c r="L13" s="59"/>
      <c r="M13" s="17" t="s">
        <v>4</v>
      </c>
      <c r="N13" s="59"/>
      <c r="O13" s="17" t="s">
        <v>4</v>
      </c>
      <c r="P13" s="59"/>
      <c r="Q13" s="17" t="s">
        <v>4</v>
      </c>
      <c r="R13" s="18"/>
      <c r="S13" s="59">
        <f t="shared" si="5"/>
        <v>0</v>
      </c>
      <c r="T13" s="59">
        <f t="shared" si="6"/>
        <v>0</v>
      </c>
      <c r="U13" s="62">
        <f t="shared" si="7"/>
        <v>0</v>
      </c>
    </row>
    <row r="14" spans="2:21" s="3" customFormat="1" ht="19.95" customHeight="1" x14ac:dyDescent="0.3">
      <c r="B14" s="15">
        <f t="shared" si="8"/>
        <v>8</v>
      </c>
      <c r="C14" s="16" t="s">
        <v>1</v>
      </c>
      <c r="D14" s="59"/>
      <c r="E14" s="17" t="s">
        <v>4</v>
      </c>
      <c r="F14" s="59"/>
      <c r="G14" s="17" t="s">
        <v>4</v>
      </c>
      <c r="H14" s="59"/>
      <c r="I14" s="17" t="s">
        <v>4</v>
      </c>
      <c r="J14" s="59"/>
      <c r="K14" s="17" t="s">
        <v>4</v>
      </c>
      <c r="L14" s="59"/>
      <c r="M14" s="17" t="s">
        <v>4</v>
      </c>
      <c r="N14" s="59"/>
      <c r="O14" s="17" t="s">
        <v>4</v>
      </c>
      <c r="P14" s="59"/>
      <c r="Q14" s="17" t="s">
        <v>4</v>
      </c>
      <c r="R14" s="18"/>
      <c r="S14" s="59">
        <f t="shared" si="5"/>
        <v>0</v>
      </c>
      <c r="T14" s="59">
        <f t="shared" si="6"/>
        <v>0</v>
      </c>
      <c r="U14" s="62">
        <f t="shared" si="7"/>
        <v>0</v>
      </c>
    </row>
    <row r="15" spans="2:21" s="3" customFormat="1" ht="19.95" customHeight="1" x14ac:dyDescent="0.3">
      <c r="B15" s="15">
        <f t="shared" si="8"/>
        <v>9</v>
      </c>
      <c r="C15" s="16" t="s">
        <v>1</v>
      </c>
      <c r="D15" s="59"/>
      <c r="E15" s="17" t="s">
        <v>4</v>
      </c>
      <c r="F15" s="59"/>
      <c r="G15" s="17" t="s">
        <v>4</v>
      </c>
      <c r="H15" s="59"/>
      <c r="I15" s="17" t="s">
        <v>4</v>
      </c>
      <c r="J15" s="59"/>
      <c r="K15" s="17" t="s">
        <v>4</v>
      </c>
      <c r="L15" s="59"/>
      <c r="M15" s="17" t="s">
        <v>4</v>
      </c>
      <c r="N15" s="59"/>
      <c r="O15" s="17" t="s">
        <v>4</v>
      </c>
      <c r="P15" s="59"/>
      <c r="Q15" s="17" t="s">
        <v>4</v>
      </c>
      <c r="R15" s="18"/>
      <c r="S15" s="59">
        <f t="shared" si="5"/>
        <v>0</v>
      </c>
      <c r="T15" s="59">
        <f t="shared" si="6"/>
        <v>0</v>
      </c>
      <c r="U15" s="62">
        <f t="shared" si="7"/>
        <v>0</v>
      </c>
    </row>
    <row r="16" spans="2:21" s="3" customFormat="1" ht="19.95" customHeight="1" x14ac:dyDescent="0.3">
      <c r="B16" s="15">
        <f t="shared" si="8"/>
        <v>10</v>
      </c>
      <c r="C16" s="16" t="s">
        <v>1</v>
      </c>
      <c r="D16" s="59"/>
      <c r="E16" s="17"/>
      <c r="F16" s="59"/>
      <c r="G16" s="17"/>
      <c r="H16" s="59"/>
      <c r="I16" s="17"/>
      <c r="J16" s="59"/>
      <c r="K16" s="17"/>
      <c r="L16" s="59"/>
      <c r="M16" s="17"/>
      <c r="N16" s="59"/>
      <c r="O16" s="17"/>
      <c r="P16" s="59"/>
      <c r="Q16" s="17"/>
      <c r="R16" s="18"/>
      <c r="S16" s="59">
        <f t="shared" si="5"/>
        <v>0</v>
      </c>
      <c r="T16" s="59">
        <f t="shared" si="6"/>
        <v>0</v>
      </c>
      <c r="U16" s="62">
        <f t="shared" si="7"/>
        <v>0</v>
      </c>
    </row>
    <row r="17" spans="2:21" s="3" customFormat="1" ht="19.95" customHeight="1" x14ac:dyDescent="0.3">
      <c r="B17" s="15">
        <f t="shared" si="8"/>
        <v>11</v>
      </c>
      <c r="C17" s="16" t="s">
        <v>1</v>
      </c>
      <c r="D17" s="59"/>
      <c r="E17" s="17"/>
      <c r="F17" s="59"/>
      <c r="G17" s="17"/>
      <c r="H17" s="59"/>
      <c r="I17" s="17"/>
      <c r="J17" s="59"/>
      <c r="K17" s="17"/>
      <c r="L17" s="59"/>
      <c r="M17" s="17"/>
      <c r="N17" s="59"/>
      <c r="O17" s="17"/>
      <c r="P17" s="59"/>
      <c r="Q17" s="17"/>
      <c r="R17" s="18"/>
      <c r="S17" s="59">
        <f t="shared" si="5"/>
        <v>0</v>
      </c>
      <c r="T17" s="59">
        <f t="shared" si="6"/>
        <v>0</v>
      </c>
      <c r="U17" s="62">
        <f t="shared" si="7"/>
        <v>0</v>
      </c>
    </row>
    <row r="18" spans="2:21" s="3" customFormat="1" ht="19.95" customHeight="1" x14ac:dyDescent="0.3">
      <c r="B18" s="15">
        <f t="shared" si="8"/>
        <v>12</v>
      </c>
      <c r="C18" s="16" t="s">
        <v>1</v>
      </c>
      <c r="D18" s="59"/>
      <c r="E18" s="17"/>
      <c r="F18" s="59"/>
      <c r="G18" s="17"/>
      <c r="H18" s="59"/>
      <c r="I18" s="17"/>
      <c r="J18" s="59"/>
      <c r="K18" s="17"/>
      <c r="L18" s="59"/>
      <c r="M18" s="17"/>
      <c r="N18" s="59"/>
      <c r="O18" s="17"/>
      <c r="P18" s="59"/>
      <c r="Q18" s="17"/>
      <c r="R18" s="18"/>
      <c r="S18" s="59">
        <f t="shared" si="5"/>
        <v>0</v>
      </c>
      <c r="T18" s="59">
        <f t="shared" si="6"/>
        <v>0</v>
      </c>
      <c r="U18" s="62">
        <f t="shared" si="7"/>
        <v>0</v>
      </c>
    </row>
    <row r="19" spans="2:21" s="3" customFormat="1" ht="19.95" customHeight="1" x14ac:dyDescent="0.3">
      <c r="B19" s="15">
        <f t="shared" si="8"/>
        <v>13</v>
      </c>
      <c r="C19" s="16" t="s">
        <v>1</v>
      </c>
      <c r="D19" s="59"/>
      <c r="E19" s="17"/>
      <c r="F19" s="59"/>
      <c r="G19" s="17"/>
      <c r="H19" s="59"/>
      <c r="I19" s="17"/>
      <c r="J19" s="59"/>
      <c r="K19" s="17"/>
      <c r="L19" s="59"/>
      <c r="M19" s="17"/>
      <c r="N19" s="59"/>
      <c r="O19" s="17"/>
      <c r="P19" s="59"/>
      <c r="Q19" s="17"/>
      <c r="R19" s="18"/>
      <c r="S19" s="59">
        <f t="shared" si="5"/>
        <v>0</v>
      </c>
      <c r="T19" s="59">
        <f t="shared" si="6"/>
        <v>0</v>
      </c>
      <c r="U19" s="62">
        <f t="shared" si="7"/>
        <v>0</v>
      </c>
    </row>
    <row r="20" spans="2:21" s="3" customFormat="1" ht="19.95" customHeight="1" x14ac:dyDescent="0.3">
      <c r="B20" s="15">
        <f t="shared" si="8"/>
        <v>14</v>
      </c>
      <c r="C20" s="16"/>
      <c r="D20" s="59"/>
      <c r="E20" s="17"/>
      <c r="F20" s="59"/>
      <c r="G20" s="17"/>
      <c r="H20" s="59"/>
      <c r="I20" s="17"/>
      <c r="J20" s="59"/>
      <c r="K20" s="17"/>
      <c r="L20" s="59"/>
      <c r="M20" s="17"/>
      <c r="N20" s="59"/>
      <c r="O20" s="17"/>
      <c r="P20" s="59"/>
      <c r="Q20" s="17"/>
      <c r="R20" s="18"/>
      <c r="S20" s="59">
        <f t="shared" ref="S20:S36" si="9">IF(E20="Paid",D20,0)+IF(G20="Paid",F20,0)+IF(I20="Paid",H20,0)+IF(K20="Paid",J20,0)+IF(M20="Paid",L20,0)+IF(O20="Paid",N20,0)+IF(Q20="Paid",P20,0)</f>
        <v>0</v>
      </c>
      <c r="T20" s="59">
        <f t="shared" ref="T20:T36" si="10">IF(E20="Not Paid",D20,0)+IF(G20="Not Paid",F20,0)+IF(I20="Not Paid",H20,0)+IF(K20="Not Paid",J20,0)+IF(M20="Not Paid",L20,0)+IF(O20="Not Paid",N20,0)+IF(Q20="Not Paid",P20,0)</f>
        <v>0</v>
      </c>
      <c r="U20" s="62">
        <f t="shared" ref="U20:U36" si="11">T20+S20</f>
        <v>0</v>
      </c>
    </row>
    <row r="21" spans="2:21" s="3" customFormat="1" ht="19.95" customHeight="1" x14ac:dyDescent="0.3">
      <c r="B21" s="15">
        <f t="shared" si="8"/>
        <v>15</v>
      </c>
      <c r="C21" s="16"/>
      <c r="D21" s="59"/>
      <c r="E21" s="17"/>
      <c r="F21" s="59"/>
      <c r="G21" s="17"/>
      <c r="H21" s="59"/>
      <c r="I21" s="17"/>
      <c r="J21" s="59"/>
      <c r="K21" s="17"/>
      <c r="L21" s="59"/>
      <c r="M21" s="17"/>
      <c r="N21" s="59"/>
      <c r="O21" s="17"/>
      <c r="P21" s="59"/>
      <c r="Q21" s="17"/>
      <c r="R21" s="18"/>
      <c r="S21" s="59">
        <f t="shared" si="9"/>
        <v>0</v>
      </c>
      <c r="T21" s="59">
        <f t="shared" si="10"/>
        <v>0</v>
      </c>
      <c r="U21" s="62">
        <f t="shared" si="11"/>
        <v>0</v>
      </c>
    </row>
    <row r="22" spans="2:21" s="3" customFormat="1" ht="19.95" customHeight="1" x14ac:dyDescent="0.3">
      <c r="B22" s="15">
        <f t="shared" si="8"/>
        <v>16</v>
      </c>
      <c r="C22" s="16"/>
      <c r="D22" s="59"/>
      <c r="E22" s="17"/>
      <c r="F22" s="59"/>
      <c r="G22" s="17"/>
      <c r="H22" s="59"/>
      <c r="I22" s="17"/>
      <c r="J22" s="59"/>
      <c r="K22" s="17"/>
      <c r="L22" s="59"/>
      <c r="M22" s="17"/>
      <c r="N22" s="59"/>
      <c r="O22" s="17"/>
      <c r="P22" s="59"/>
      <c r="Q22" s="17"/>
      <c r="R22" s="18"/>
      <c r="S22" s="59">
        <f t="shared" si="9"/>
        <v>0</v>
      </c>
      <c r="T22" s="59">
        <f t="shared" si="10"/>
        <v>0</v>
      </c>
      <c r="U22" s="62">
        <f t="shared" si="11"/>
        <v>0</v>
      </c>
    </row>
    <row r="23" spans="2:21" s="3" customFormat="1" ht="19.95" customHeight="1" x14ac:dyDescent="0.3">
      <c r="B23" s="15">
        <f t="shared" si="8"/>
        <v>17</v>
      </c>
      <c r="C23" s="16"/>
      <c r="D23" s="59"/>
      <c r="E23" s="17"/>
      <c r="F23" s="59"/>
      <c r="G23" s="17"/>
      <c r="H23" s="59"/>
      <c r="I23" s="17"/>
      <c r="J23" s="59"/>
      <c r="K23" s="17"/>
      <c r="L23" s="59"/>
      <c r="M23" s="17"/>
      <c r="N23" s="59"/>
      <c r="O23" s="17"/>
      <c r="P23" s="59"/>
      <c r="Q23" s="17"/>
      <c r="R23" s="18"/>
      <c r="S23" s="59">
        <f t="shared" si="9"/>
        <v>0</v>
      </c>
      <c r="T23" s="59">
        <f t="shared" si="10"/>
        <v>0</v>
      </c>
      <c r="U23" s="62">
        <f t="shared" si="11"/>
        <v>0</v>
      </c>
    </row>
    <row r="24" spans="2:21" s="3" customFormat="1" ht="19.95" customHeight="1" x14ac:dyDescent="0.3">
      <c r="B24" s="15">
        <f t="shared" si="8"/>
        <v>18</v>
      </c>
      <c r="C24" s="16"/>
      <c r="D24" s="59"/>
      <c r="E24" s="17"/>
      <c r="F24" s="59"/>
      <c r="G24" s="17"/>
      <c r="H24" s="59"/>
      <c r="I24" s="17"/>
      <c r="J24" s="59"/>
      <c r="K24" s="17"/>
      <c r="L24" s="59"/>
      <c r="M24" s="17"/>
      <c r="N24" s="59"/>
      <c r="O24" s="17"/>
      <c r="P24" s="59"/>
      <c r="Q24" s="17"/>
      <c r="R24" s="18"/>
      <c r="S24" s="59">
        <f t="shared" si="9"/>
        <v>0</v>
      </c>
      <c r="T24" s="59">
        <f t="shared" si="10"/>
        <v>0</v>
      </c>
      <c r="U24" s="62">
        <f t="shared" si="11"/>
        <v>0</v>
      </c>
    </row>
    <row r="25" spans="2:21" s="3" customFormat="1" ht="19.95" customHeight="1" x14ac:dyDescent="0.3">
      <c r="B25" s="15">
        <f t="shared" si="8"/>
        <v>19</v>
      </c>
      <c r="C25" s="16"/>
      <c r="D25" s="59"/>
      <c r="E25" s="17"/>
      <c r="F25" s="59"/>
      <c r="G25" s="17"/>
      <c r="H25" s="59"/>
      <c r="I25" s="17"/>
      <c r="J25" s="59"/>
      <c r="K25" s="17"/>
      <c r="L25" s="59"/>
      <c r="M25" s="17"/>
      <c r="N25" s="59"/>
      <c r="O25" s="17"/>
      <c r="P25" s="59"/>
      <c r="Q25" s="17"/>
      <c r="R25" s="18"/>
      <c r="S25" s="59">
        <f t="shared" si="9"/>
        <v>0</v>
      </c>
      <c r="T25" s="59">
        <f t="shared" si="10"/>
        <v>0</v>
      </c>
      <c r="U25" s="62">
        <f t="shared" si="11"/>
        <v>0</v>
      </c>
    </row>
    <row r="26" spans="2:21" s="3" customFormat="1" ht="19.95" customHeight="1" x14ac:dyDescent="0.3">
      <c r="B26" s="15">
        <f t="shared" si="8"/>
        <v>20</v>
      </c>
      <c r="C26" s="16"/>
      <c r="D26" s="59"/>
      <c r="E26" s="17"/>
      <c r="F26" s="59"/>
      <c r="G26" s="17"/>
      <c r="H26" s="59"/>
      <c r="I26" s="17"/>
      <c r="J26" s="59"/>
      <c r="K26" s="17"/>
      <c r="L26" s="59"/>
      <c r="M26" s="17"/>
      <c r="N26" s="59"/>
      <c r="O26" s="17"/>
      <c r="P26" s="59"/>
      <c r="Q26" s="17"/>
      <c r="R26" s="18"/>
      <c r="S26" s="59">
        <f t="shared" si="9"/>
        <v>0</v>
      </c>
      <c r="T26" s="59">
        <f t="shared" si="10"/>
        <v>0</v>
      </c>
      <c r="U26" s="62">
        <f t="shared" si="11"/>
        <v>0</v>
      </c>
    </row>
    <row r="27" spans="2:21" s="3" customFormat="1" ht="19.95" customHeight="1" x14ac:dyDescent="0.3">
      <c r="B27" s="15">
        <f t="shared" si="8"/>
        <v>21</v>
      </c>
      <c r="C27" s="16"/>
      <c r="D27" s="59"/>
      <c r="E27" s="17"/>
      <c r="F27" s="59"/>
      <c r="G27" s="17"/>
      <c r="H27" s="59"/>
      <c r="I27" s="17"/>
      <c r="J27" s="59"/>
      <c r="K27" s="17"/>
      <c r="L27" s="59"/>
      <c r="M27" s="17"/>
      <c r="N27" s="59"/>
      <c r="O27" s="17"/>
      <c r="P27" s="59"/>
      <c r="Q27" s="17"/>
      <c r="R27" s="18"/>
      <c r="S27" s="59">
        <f t="shared" si="9"/>
        <v>0</v>
      </c>
      <c r="T27" s="59">
        <f t="shared" si="10"/>
        <v>0</v>
      </c>
      <c r="U27" s="62">
        <f t="shared" si="11"/>
        <v>0</v>
      </c>
    </row>
    <row r="28" spans="2:21" s="3" customFormat="1" ht="19.95" customHeight="1" x14ac:dyDescent="0.3">
      <c r="B28" s="15">
        <f t="shared" si="8"/>
        <v>22</v>
      </c>
      <c r="C28" s="16"/>
      <c r="D28" s="59"/>
      <c r="E28" s="17"/>
      <c r="F28" s="59"/>
      <c r="G28" s="17"/>
      <c r="H28" s="59"/>
      <c r="I28" s="17"/>
      <c r="J28" s="59"/>
      <c r="K28" s="17"/>
      <c r="L28" s="59"/>
      <c r="M28" s="17"/>
      <c r="N28" s="59"/>
      <c r="O28" s="17"/>
      <c r="P28" s="59"/>
      <c r="Q28" s="17"/>
      <c r="R28" s="18"/>
      <c r="S28" s="59">
        <f t="shared" si="9"/>
        <v>0</v>
      </c>
      <c r="T28" s="59">
        <f t="shared" si="10"/>
        <v>0</v>
      </c>
      <c r="U28" s="62">
        <f t="shared" si="11"/>
        <v>0</v>
      </c>
    </row>
    <row r="29" spans="2:21" s="3" customFormat="1" ht="19.95" customHeight="1" x14ac:dyDescent="0.3">
      <c r="B29" s="15">
        <f t="shared" si="8"/>
        <v>23</v>
      </c>
      <c r="C29" s="16"/>
      <c r="D29" s="59"/>
      <c r="E29" s="17"/>
      <c r="F29" s="59"/>
      <c r="G29" s="17"/>
      <c r="H29" s="59"/>
      <c r="I29" s="17"/>
      <c r="J29" s="59"/>
      <c r="K29" s="17"/>
      <c r="L29" s="59"/>
      <c r="M29" s="17"/>
      <c r="N29" s="59"/>
      <c r="O29" s="17"/>
      <c r="P29" s="59"/>
      <c r="Q29" s="17"/>
      <c r="R29" s="18"/>
      <c r="S29" s="59">
        <f t="shared" si="9"/>
        <v>0</v>
      </c>
      <c r="T29" s="59">
        <f t="shared" si="10"/>
        <v>0</v>
      </c>
      <c r="U29" s="62">
        <f t="shared" si="11"/>
        <v>0</v>
      </c>
    </row>
    <row r="30" spans="2:21" s="3" customFormat="1" ht="19.95" customHeight="1" x14ac:dyDescent="0.3">
      <c r="B30" s="15">
        <f t="shared" si="8"/>
        <v>24</v>
      </c>
      <c r="C30" s="16"/>
      <c r="D30" s="59"/>
      <c r="E30" s="17"/>
      <c r="F30" s="59"/>
      <c r="G30" s="17"/>
      <c r="H30" s="59"/>
      <c r="I30" s="17"/>
      <c r="J30" s="59"/>
      <c r="K30" s="17"/>
      <c r="L30" s="59"/>
      <c r="M30" s="17"/>
      <c r="N30" s="59"/>
      <c r="O30" s="17"/>
      <c r="P30" s="59"/>
      <c r="Q30" s="17"/>
      <c r="R30" s="18"/>
      <c r="S30" s="59">
        <f t="shared" si="9"/>
        <v>0</v>
      </c>
      <c r="T30" s="59">
        <f t="shared" si="10"/>
        <v>0</v>
      </c>
      <c r="U30" s="62">
        <f t="shared" si="11"/>
        <v>0</v>
      </c>
    </row>
    <row r="31" spans="2:21" s="3" customFormat="1" ht="19.95" customHeight="1" x14ac:dyDescent="0.3">
      <c r="B31" s="15">
        <f t="shared" si="8"/>
        <v>25</v>
      </c>
      <c r="C31" s="16"/>
      <c r="D31" s="59"/>
      <c r="E31" s="17"/>
      <c r="F31" s="59"/>
      <c r="G31" s="17"/>
      <c r="H31" s="59"/>
      <c r="I31" s="17"/>
      <c r="J31" s="59"/>
      <c r="K31" s="17"/>
      <c r="L31" s="59"/>
      <c r="M31" s="17"/>
      <c r="N31" s="59"/>
      <c r="O31" s="17"/>
      <c r="P31" s="59"/>
      <c r="Q31" s="17"/>
      <c r="R31" s="18"/>
      <c r="S31" s="59">
        <f t="shared" si="9"/>
        <v>0</v>
      </c>
      <c r="T31" s="59">
        <f t="shared" si="10"/>
        <v>0</v>
      </c>
      <c r="U31" s="62">
        <f t="shared" si="11"/>
        <v>0</v>
      </c>
    </row>
    <row r="32" spans="2:21" s="3" customFormat="1" ht="19.95" customHeight="1" x14ac:dyDescent="0.3">
      <c r="B32" s="15">
        <f t="shared" si="8"/>
        <v>26</v>
      </c>
      <c r="C32" s="16"/>
      <c r="D32" s="59"/>
      <c r="E32" s="17"/>
      <c r="F32" s="59"/>
      <c r="G32" s="17"/>
      <c r="H32" s="59"/>
      <c r="I32" s="17"/>
      <c r="J32" s="59"/>
      <c r="K32" s="17"/>
      <c r="L32" s="59"/>
      <c r="M32" s="17"/>
      <c r="N32" s="59"/>
      <c r="O32" s="17"/>
      <c r="P32" s="59"/>
      <c r="Q32" s="17"/>
      <c r="R32" s="18"/>
      <c r="S32" s="59">
        <f t="shared" si="9"/>
        <v>0</v>
      </c>
      <c r="T32" s="59">
        <f t="shared" si="10"/>
        <v>0</v>
      </c>
      <c r="U32" s="62">
        <f t="shared" si="11"/>
        <v>0</v>
      </c>
    </row>
    <row r="33" spans="2:21" s="3" customFormat="1" ht="19.95" customHeight="1" x14ac:dyDescent="0.3">
      <c r="B33" s="15">
        <f t="shared" si="8"/>
        <v>27</v>
      </c>
      <c r="C33" s="16"/>
      <c r="D33" s="59"/>
      <c r="E33" s="17"/>
      <c r="F33" s="59"/>
      <c r="G33" s="17"/>
      <c r="H33" s="59"/>
      <c r="I33" s="17"/>
      <c r="J33" s="59"/>
      <c r="K33" s="17"/>
      <c r="L33" s="59"/>
      <c r="M33" s="17"/>
      <c r="N33" s="59"/>
      <c r="O33" s="17"/>
      <c r="P33" s="59"/>
      <c r="Q33" s="17"/>
      <c r="R33" s="18"/>
      <c r="S33" s="59">
        <f t="shared" si="9"/>
        <v>0</v>
      </c>
      <c r="T33" s="59">
        <f t="shared" si="10"/>
        <v>0</v>
      </c>
      <c r="U33" s="62">
        <f t="shared" si="11"/>
        <v>0</v>
      </c>
    </row>
    <row r="34" spans="2:21" s="3" customFormat="1" ht="19.95" customHeight="1" x14ac:dyDescent="0.3">
      <c r="B34" s="15">
        <f t="shared" si="8"/>
        <v>28</v>
      </c>
      <c r="C34" s="16"/>
      <c r="D34" s="59"/>
      <c r="E34" s="17"/>
      <c r="F34" s="59"/>
      <c r="G34" s="17"/>
      <c r="H34" s="59"/>
      <c r="I34" s="17"/>
      <c r="J34" s="59"/>
      <c r="K34" s="17"/>
      <c r="L34" s="59"/>
      <c r="M34" s="17"/>
      <c r="N34" s="59"/>
      <c r="O34" s="17"/>
      <c r="P34" s="59"/>
      <c r="Q34" s="17"/>
      <c r="R34" s="18"/>
      <c r="S34" s="59">
        <f t="shared" si="9"/>
        <v>0</v>
      </c>
      <c r="T34" s="59">
        <f t="shared" si="10"/>
        <v>0</v>
      </c>
      <c r="U34" s="62">
        <f t="shared" si="11"/>
        <v>0</v>
      </c>
    </row>
    <row r="35" spans="2:21" s="3" customFormat="1" ht="19.95" customHeight="1" x14ac:dyDescent="0.3">
      <c r="B35" s="15">
        <f t="shared" si="8"/>
        <v>29</v>
      </c>
      <c r="C35" s="16" t="s">
        <v>1</v>
      </c>
      <c r="D35" s="59"/>
      <c r="E35" s="17"/>
      <c r="F35" s="59"/>
      <c r="G35" s="17"/>
      <c r="H35" s="59"/>
      <c r="I35" s="17"/>
      <c r="J35" s="59"/>
      <c r="K35" s="17"/>
      <c r="L35" s="59"/>
      <c r="M35" s="17"/>
      <c r="N35" s="59"/>
      <c r="O35" s="17"/>
      <c r="P35" s="59"/>
      <c r="Q35" s="17"/>
      <c r="R35" s="18"/>
      <c r="S35" s="59">
        <f t="shared" si="9"/>
        <v>0</v>
      </c>
      <c r="T35" s="59">
        <f t="shared" si="10"/>
        <v>0</v>
      </c>
      <c r="U35" s="62">
        <f t="shared" si="11"/>
        <v>0</v>
      </c>
    </row>
    <row r="36" spans="2:21" s="3" customFormat="1" ht="19.95" customHeight="1" x14ac:dyDescent="0.3">
      <c r="B36" s="15">
        <f t="shared" si="8"/>
        <v>30</v>
      </c>
      <c r="C36" s="16" t="s">
        <v>1</v>
      </c>
      <c r="D36" s="59"/>
      <c r="E36" s="17" t="s">
        <v>4</v>
      </c>
      <c r="F36" s="59"/>
      <c r="G36" s="17" t="s">
        <v>4</v>
      </c>
      <c r="H36" s="59"/>
      <c r="I36" s="17" t="s">
        <v>4</v>
      </c>
      <c r="J36" s="59"/>
      <c r="K36" s="17" t="s">
        <v>4</v>
      </c>
      <c r="L36" s="59"/>
      <c r="M36" s="17" t="s">
        <v>4</v>
      </c>
      <c r="N36" s="59"/>
      <c r="O36" s="17" t="s">
        <v>4</v>
      </c>
      <c r="P36" s="59"/>
      <c r="Q36" s="17" t="s">
        <v>4</v>
      </c>
      <c r="R36" s="18"/>
      <c r="S36" s="59">
        <f t="shared" si="9"/>
        <v>0</v>
      </c>
      <c r="T36" s="59">
        <f t="shared" si="10"/>
        <v>0</v>
      </c>
      <c r="U36" s="62">
        <f t="shared" si="11"/>
        <v>0</v>
      </c>
    </row>
    <row r="37" spans="2:21" ht="10.050000000000001" customHeight="1" x14ac:dyDescent="0.25">
      <c r="F37" s="10"/>
      <c r="H37" s="10"/>
      <c r="J37" s="10"/>
      <c r="L37" s="10"/>
      <c r="M37" s="10"/>
      <c r="S37" s="64"/>
      <c r="T37" s="64"/>
      <c r="U37" s="64"/>
    </row>
    <row r="38" spans="2:21" s="4" customFormat="1" ht="24" customHeight="1" thickBot="1" x14ac:dyDescent="0.35">
      <c r="B38" s="21" t="s">
        <v>2</v>
      </c>
      <c r="C38" s="21"/>
      <c r="D38" s="11">
        <f>SUM(D7:D36)</f>
        <v>20</v>
      </c>
      <c r="E38" s="9"/>
      <c r="F38" s="11">
        <f>SUM(F7:F36)</f>
        <v>20</v>
      </c>
      <c r="G38" s="9"/>
      <c r="H38" s="11">
        <f>SUM(H7:H36)</f>
        <v>20</v>
      </c>
      <c r="I38" s="9"/>
      <c r="J38" s="11">
        <f>SUM(J7:J36)</f>
        <v>20</v>
      </c>
      <c r="K38" s="9"/>
      <c r="L38" s="11">
        <f>SUM(L7:L36)</f>
        <v>20</v>
      </c>
      <c r="M38" s="9"/>
      <c r="N38" s="11">
        <f>SUM(N7:N36)</f>
        <v>20</v>
      </c>
      <c r="O38" s="9"/>
      <c r="P38" s="11">
        <f>SUM(P7:P36)</f>
        <v>20</v>
      </c>
      <c r="Q38" s="9"/>
      <c r="R38" s="12"/>
      <c r="S38" s="63">
        <f>SUM(S7:S36)</f>
        <v>140</v>
      </c>
      <c r="T38" s="63">
        <f>SUM(T7:T36)</f>
        <v>0</v>
      </c>
      <c r="U38" s="63">
        <f>SUM(U7:U36)</f>
        <v>140</v>
      </c>
    </row>
    <row r="39" spans="2:21" ht="14.4" thickTop="1" x14ac:dyDescent="0.25"/>
  </sheetData>
  <mergeCells count="20">
    <mergeCell ref="B2:C2"/>
    <mergeCell ref="D2:E2"/>
    <mergeCell ref="B4:B6"/>
    <mergeCell ref="C4:C6"/>
    <mergeCell ref="D4:E4"/>
    <mergeCell ref="D5:E5"/>
    <mergeCell ref="S4:U5"/>
    <mergeCell ref="H5:I5"/>
    <mergeCell ref="J5:K5"/>
    <mergeCell ref="L5:M5"/>
    <mergeCell ref="N5:O5"/>
    <mergeCell ref="P5:Q5"/>
    <mergeCell ref="P4:Q4"/>
    <mergeCell ref="B38:C38"/>
    <mergeCell ref="H4:I4"/>
    <mergeCell ref="J4:K4"/>
    <mergeCell ref="L4:M4"/>
    <mergeCell ref="N4:O4"/>
    <mergeCell ref="F4:G4"/>
    <mergeCell ref="F5:G5"/>
  </mergeCells>
  <dataValidations count="1">
    <dataValidation type="list" allowBlank="1" showInputMessage="1" showErrorMessage="1" sqref="E7:E36 G7:G36 I7:I36 K7:K36 M7:M36 O7:O36 Q7:Q36" xr:uid="{00000000-0002-0000-0500-000000000000}">
      <formula1>"Paid, Not Paid"</formula1>
    </dataValidation>
  </dataValidations>
  <printOptions horizontalCentered="1"/>
  <pageMargins left="0" right="0" top="0.5" bottom="0" header="0.3" footer="0.3"/>
  <pageSetup scale="7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Summary!$C$7:$C$36</xm:f>
          </x14:formula1>
          <xm:sqref>C7:C36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</vt:lpstr>
      <vt:lpstr>Week 1</vt:lpstr>
      <vt:lpstr>Week 2</vt:lpstr>
      <vt:lpstr>Week 3</vt:lpstr>
      <vt:lpstr>Week 4</vt:lpstr>
      <vt:lpstr>Week 5</vt:lpstr>
      <vt:lpstr>Summary!Print_Area</vt:lpstr>
      <vt:lpstr>'Week 1'!Print_Area</vt:lpstr>
      <vt:lpstr>'Week 2'!Print_Area</vt:lpstr>
      <vt:lpstr>'Week 3'!Print_Area</vt:lpstr>
      <vt:lpstr>'Week 4'!Print_Area</vt:lpstr>
      <vt:lpstr>'Week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2023-07-10T05:08:52Z</dcterms:modified>
</cp:coreProperties>
</file>