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irus Media Localize\ProFinance Premium\Time Sheets\"/>
    </mc:Choice>
  </mc:AlternateContent>
  <xr:revisionPtr revIDLastSave="0" documentId="13_ncr:1_{039ABA39-1B0F-4DB0-8A5F-85B1AAC7F7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7" r:id="rId1"/>
    <sheet name="(Drop Down) Data Base " sheetId="16" r:id="rId2"/>
    <sheet name="1st week" sheetId="11" r:id="rId3"/>
    <sheet name="2nd week" sheetId="12" r:id="rId4"/>
    <sheet name="3rd week" sheetId="13" r:id="rId5"/>
    <sheet name="4th week" sheetId="14" r:id="rId6"/>
    <sheet name="5th week" sheetId="15" r:id="rId7"/>
  </sheets>
  <definedNames>
    <definedName name="_xlnm.Print_Area" localSheetId="2">'1st week'!$A$1:$N$82</definedName>
    <definedName name="_xlnm.Print_Area" localSheetId="3">'2nd week'!$A$1:$N$82</definedName>
    <definedName name="_xlnm.Print_Area" localSheetId="4">'3rd week'!$A$1:$N$82</definedName>
    <definedName name="_xlnm.Print_Area" localSheetId="5">'4th week'!$A$1:$N$82</definedName>
    <definedName name="_xlnm.Print_Area" localSheetId="6">'5th week'!$A$1:$N$82</definedName>
    <definedName name="_xlnm.Print_Area" localSheetId="0">Dashboard!$A$1:$AM$36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5" l="1"/>
  <c r="C7" i="14"/>
  <c r="C7" i="13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8" i="17"/>
  <c r="M32" i="17" l="1"/>
  <c r="P32" i="17" s="1"/>
  <c r="O32" i="17" l="1"/>
  <c r="S32" i="17"/>
  <c r="R32" i="17"/>
  <c r="Q32" i="17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2" i="15" a="1"/>
  <c r="C22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41" i="15" a="1"/>
  <c r="C41" i="15" s="1"/>
  <c r="C42" i="15" a="1"/>
  <c r="C42" i="15" s="1"/>
  <c r="C43" i="15" a="1"/>
  <c r="C43" i="15" s="1"/>
  <c r="C44" i="15" a="1"/>
  <c r="C44" i="15" s="1"/>
  <c r="C45" i="15" a="1"/>
  <c r="C45" i="15" s="1"/>
  <c r="C46" i="15" a="1"/>
  <c r="C46" i="15" s="1"/>
  <c r="C47" i="15" a="1"/>
  <c r="C47" i="15" s="1"/>
  <c r="C48" i="15" a="1"/>
  <c r="C48" i="15" s="1"/>
  <c r="C49" i="15" a="1"/>
  <c r="C49" i="15" s="1"/>
  <c r="C50" i="15" a="1"/>
  <c r="C50" i="15" s="1"/>
  <c r="C51" i="15" a="1"/>
  <c r="C51" i="15" s="1"/>
  <c r="C52" i="15" a="1"/>
  <c r="C52" i="15" s="1"/>
  <c r="C53" i="15" a="1"/>
  <c r="C53" i="15" s="1"/>
  <c r="C54" i="15" a="1"/>
  <c r="C54" i="15" s="1"/>
  <c r="C55" i="15" a="1"/>
  <c r="C55" i="15" s="1"/>
  <c r="C56" i="15" a="1"/>
  <c r="C56" i="15" s="1"/>
  <c r="C57" i="15" a="1"/>
  <c r="C57" i="15" s="1"/>
  <c r="C58" i="15" a="1"/>
  <c r="C58" i="15" s="1"/>
  <c r="C59" i="15" a="1"/>
  <c r="C59" i="15" s="1"/>
  <c r="C60" i="15" a="1"/>
  <c r="C60" i="15" s="1"/>
  <c r="C12" i="15" a="1"/>
  <c r="C12" i="15" s="1"/>
  <c r="C13" i="13" a="1"/>
  <c r="C13" i="13" s="1"/>
  <c r="C14" i="13" a="1"/>
  <c r="C14" i="13" s="1"/>
  <c r="C15" i="13" a="1"/>
  <c r="C15" i="13" s="1"/>
  <c r="C16" i="13" a="1"/>
  <c r="C16" i="13" s="1"/>
  <c r="C17" i="13" a="1"/>
  <c r="C17" i="13" s="1"/>
  <c r="C18" i="13" a="1"/>
  <c r="C18" i="13" s="1"/>
  <c r="C19" i="13" a="1"/>
  <c r="C19" i="13" s="1"/>
  <c r="C20" i="13" a="1"/>
  <c r="C20" i="13"/>
  <c r="C21" i="13" a="1"/>
  <c r="C21" i="13" s="1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/>
  <c r="C49" i="13" a="1"/>
  <c r="C49" i="13" s="1"/>
  <c r="C50" i="13" a="1"/>
  <c r="C50" i="13" s="1"/>
  <c r="C51" i="13" a="1"/>
  <c r="C51" i="13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12" i="13" a="1"/>
  <c r="C12" i="13" s="1"/>
  <c r="C13" i="14" a="1"/>
  <c r="C13" i="14" s="1"/>
  <c r="C14" i="14" a="1"/>
  <c r="C14" i="14" s="1"/>
  <c r="C15" i="14" a="1"/>
  <c r="C15" i="14" s="1"/>
  <c r="C16" i="14" a="1"/>
  <c r="C16" i="14" s="1"/>
  <c r="C17" i="14" a="1"/>
  <c r="C17" i="14" s="1"/>
  <c r="C18" i="14" a="1"/>
  <c r="C18" i="14" s="1"/>
  <c r="C19" i="14" a="1"/>
  <c r="C19" i="14" s="1"/>
  <c r="C20" i="14" a="1"/>
  <c r="C20" i="14" s="1"/>
  <c r="C21" i="14" a="1"/>
  <c r="C21" i="14" s="1"/>
  <c r="C22" i="14" a="1"/>
  <c r="C22" i="14" s="1"/>
  <c r="C23" i="14" a="1"/>
  <c r="C23" i="14" s="1"/>
  <c r="C24" i="14" a="1"/>
  <c r="C24" i="14" s="1"/>
  <c r="C25" i="14" a="1"/>
  <c r="C25" i="14" s="1"/>
  <c r="C26" i="14" a="1"/>
  <c r="C26" i="14" s="1"/>
  <c r="C27" i="14" a="1"/>
  <c r="C27" i="14" s="1"/>
  <c r="C28" i="14" a="1"/>
  <c r="C28" i="14" s="1"/>
  <c r="C29" i="14" a="1"/>
  <c r="C29" i="14" s="1"/>
  <c r="C30" i="14" a="1"/>
  <c r="C30" i="14" s="1"/>
  <c r="C31" i="14" a="1"/>
  <c r="C31" i="14" s="1"/>
  <c r="C32" i="14" a="1"/>
  <c r="C32" i="14" s="1"/>
  <c r="C33" i="14" a="1"/>
  <c r="C33" i="14" s="1"/>
  <c r="C34" i="14" a="1"/>
  <c r="C34" i="14" s="1"/>
  <c r="C35" i="14" a="1"/>
  <c r="C35" i="14" s="1"/>
  <c r="C36" i="14" a="1"/>
  <c r="C36" i="14" s="1"/>
  <c r="C37" i="14" a="1"/>
  <c r="C37" i="14" s="1"/>
  <c r="C38" i="14" a="1"/>
  <c r="C38" i="14" s="1"/>
  <c r="C39" i="14" a="1"/>
  <c r="C39" i="14" s="1"/>
  <c r="C40" i="14" a="1"/>
  <c r="C40" i="14" s="1"/>
  <c r="C41" i="14" a="1"/>
  <c r="C41" i="14" s="1"/>
  <c r="C42" i="14" a="1"/>
  <c r="C42" i="14" s="1"/>
  <c r="C43" i="14" a="1"/>
  <c r="C43" i="14" s="1"/>
  <c r="C44" i="14" a="1"/>
  <c r="C44" i="14" s="1"/>
  <c r="C45" i="14" a="1"/>
  <c r="C45" i="14" s="1"/>
  <c r="C46" i="14" a="1"/>
  <c r="C46" i="14" s="1"/>
  <c r="C47" i="14" a="1"/>
  <c r="C47" i="14" s="1"/>
  <c r="C48" i="14" a="1"/>
  <c r="C48" i="14" s="1"/>
  <c r="C49" i="14" a="1"/>
  <c r="C49" i="14" s="1"/>
  <c r="C50" i="14" a="1"/>
  <c r="C50" i="14" s="1"/>
  <c r="C51" i="14" a="1"/>
  <c r="C51" i="14" s="1"/>
  <c r="C52" i="14" a="1"/>
  <c r="C52" i="14" s="1"/>
  <c r="C53" i="14" a="1"/>
  <c r="C53" i="14" s="1"/>
  <c r="C54" i="14" a="1"/>
  <c r="C54" i="14" s="1"/>
  <c r="C55" i="14" a="1"/>
  <c r="C55" i="14" s="1"/>
  <c r="C56" i="14" a="1"/>
  <c r="C56" i="14" s="1"/>
  <c r="C57" i="14" a="1"/>
  <c r="C57" i="14" s="1"/>
  <c r="C58" i="14" a="1"/>
  <c r="C58" i="14" s="1"/>
  <c r="C59" i="14" a="1"/>
  <c r="C59" i="14" s="1"/>
  <c r="C60" i="14" a="1"/>
  <c r="C60" i="14" s="1"/>
  <c r="C12" i="14" a="1"/>
  <c r="C12" i="14" s="1"/>
  <c r="C13" i="12" a="1"/>
  <c r="C13" i="12" s="1"/>
  <c r="C14" i="12" a="1"/>
  <c r="C14" i="12" s="1"/>
  <c r="C15" i="12" a="1"/>
  <c r="C15" i="12" s="1"/>
  <c r="C16" i="12" a="1"/>
  <c r="C16" i="12" s="1"/>
  <c r="C17" i="12" a="1"/>
  <c r="C17" i="12" s="1"/>
  <c r="C18" i="12" a="1"/>
  <c r="C18" i="12" s="1"/>
  <c r="C19" i="12" a="1"/>
  <c r="C19" i="12" s="1"/>
  <c r="C20" i="12" a="1"/>
  <c r="C20" i="12" s="1"/>
  <c r="C21" i="12" a="1"/>
  <c r="C21" i="12" s="1"/>
  <c r="C22" i="12" a="1"/>
  <c r="C22" i="12" s="1"/>
  <c r="C23" i="12" a="1"/>
  <c r="C23" i="12" s="1"/>
  <c r="C24" i="12" a="1"/>
  <c r="C24" i="12" s="1"/>
  <c r="C25" i="12" a="1"/>
  <c r="C25" i="12" s="1"/>
  <c r="C26" i="12" a="1"/>
  <c r="C26" i="12" s="1"/>
  <c r="C27" i="12" a="1"/>
  <c r="C27" i="12" s="1"/>
  <c r="C28" i="12" a="1"/>
  <c r="C28" i="12" s="1"/>
  <c r="C29" i="12" a="1"/>
  <c r="C29" i="12" s="1"/>
  <c r="C30" i="12" a="1"/>
  <c r="C30" i="12" s="1"/>
  <c r="C31" i="12" a="1"/>
  <c r="C31" i="12" s="1"/>
  <c r="C32" i="12" a="1"/>
  <c r="C32" i="12" s="1"/>
  <c r="C33" i="12" a="1"/>
  <c r="C33" i="12" s="1"/>
  <c r="C34" i="12" a="1"/>
  <c r="C34" i="12" s="1"/>
  <c r="C35" i="12" a="1"/>
  <c r="C35" i="12" s="1"/>
  <c r="C36" i="12" a="1"/>
  <c r="C36" i="12" s="1"/>
  <c r="C37" i="12" a="1"/>
  <c r="C37" i="12" s="1"/>
  <c r="C38" i="12" a="1"/>
  <c r="C38" i="12" s="1"/>
  <c r="C39" i="12" a="1"/>
  <c r="C39" i="12" s="1"/>
  <c r="C40" i="12" a="1"/>
  <c r="C40" i="12" s="1"/>
  <c r="C41" i="12" a="1"/>
  <c r="C41" i="12" s="1"/>
  <c r="C42" i="12" a="1"/>
  <c r="C42" i="12" s="1"/>
  <c r="C43" i="12" a="1"/>
  <c r="C43" i="12" s="1"/>
  <c r="C44" i="12" a="1"/>
  <c r="C44" i="12" s="1"/>
  <c r="C45" i="12" a="1"/>
  <c r="C45" i="12" s="1"/>
  <c r="C46" i="12" a="1"/>
  <c r="C46" i="12" s="1"/>
  <c r="C47" i="12" a="1"/>
  <c r="C47" i="12" s="1"/>
  <c r="C48" i="12" a="1"/>
  <c r="C48" i="12" s="1"/>
  <c r="C49" i="12" a="1"/>
  <c r="C49" i="12" s="1"/>
  <c r="C50" i="12" a="1"/>
  <c r="C50" i="12" s="1"/>
  <c r="C51" i="12" a="1"/>
  <c r="C51" i="12" s="1"/>
  <c r="C52" i="12" a="1"/>
  <c r="C52" i="12" s="1"/>
  <c r="C53" i="12" a="1"/>
  <c r="C53" i="12" s="1"/>
  <c r="C54" i="12" a="1"/>
  <c r="C54" i="12" s="1"/>
  <c r="C55" i="12" a="1"/>
  <c r="C55" i="12" s="1"/>
  <c r="C56" i="12" a="1"/>
  <c r="C56" i="12" s="1"/>
  <c r="C57" i="12" a="1"/>
  <c r="C57" i="12" s="1"/>
  <c r="C58" i="12" a="1"/>
  <c r="C58" i="12" s="1"/>
  <c r="C59" i="12" a="1"/>
  <c r="C59" i="12" s="1"/>
  <c r="C60" i="12" a="1"/>
  <c r="C60" i="12" s="1"/>
  <c r="C12" i="12" a="1"/>
  <c r="C12" i="12" s="1"/>
  <c r="C13" i="11" a="1"/>
  <c r="C13" i="11" s="1"/>
  <c r="C14" i="11" a="1"/>
  <c r="C14" i="11" s="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5" i="11" a="1"/>
  <c r="C25" i="11" s="1"/>
  <c r="C26" i="11" a="1"/>
  <c r="C26" i="11" s="1"/>
  <c r="C27" i="11" a="1"/>
  <c r="C27" i="11" s="1"/>
  <c r="C28" i="11" a="1"/>
  <c r="C28" i="11" s="1"/>
  <c r="C29" i="11" a="1"/>
  <c r="C29" i="11" s="1"/>
  <c r="C30" i="11" a="1"/>
  <c r="C30" i="11" s="1"/>
  <c r="C31" i="11" a="1"/>
  <c r="C31" i="11" s="1"/>
  <c r="C32" i="11" a="1"/>
  <c r="C32" i="11" s="1"/>
  <c r="C33" i="11" a="1"/>
  <c r="C33" i="11" s="1"/>
  <c r="C34" i="11" a="1"/>
  <c r="C34" i="11" s="1"/>
  <c r="C35" i="11" a="1"/>
  <c r="C35" i="11" s="1"/>
  <c r="C36" i="11" a="1"/>
  <c r="C36" i="11"/>
  <c r="C37" i="11" a="1"/>
  <c r="C37" i="11" s="1"/>
  <c r="C38" i="11" a="1"/>
  <c r="C38" i="11" s="1"/>
  <c r="C39" i="11" a="1"/>
  <c r="C39" i="11" s="1"/>
  <c r="C40" i="11" a="1"/>
  <c r="C40" i="11"/>
  <c r="C41" i="11" a="1"/>
  <c r="C41" i="11" s="1"/>
  <c r="C42" i="11" a="1"/>
  <c r="C42" i="11" s="1"/>
  <c r="C43" i="11" a="1"/>
  <c r="C43" i="11" s="1"/>
  <c r="C44" i="11" a="1"/>
  <c r="C44" i="11" s="1"/>
  <c r="C45" i="11" a="1"/>
  <c r="C45" i="11" s="1"/>
  <c r="C46" i="11" a="1"/>
  <c r="C46" i="11" s="1"/>
  <c r="C47" i="11" a="1"/>
  <c r="C47" i="11" s="1"/>
  <c r="C48" i="11" a="1"/>
  <c r="C48" i="11" s="1"/>
  <c r="C49" i="11" a="1"/>
  <c r="C49" i="11" s="1"/>
  <c r="C50" i="11" a="1"/>
  <c r="C50" i="11" s="1"/>
  <c r="C51" i="11" a="1"/>
  <c r="C51" i="11" s="1"/>
  <c r="C52" i="11" a="1"/>
  <c r="C52" i="11" s="1"/>
  <c r="C53" i="11" a="1"/>
  <c r="C53" i="11" s="1"/>
  <c r="C54" i="11" a="1"/>
  <c r="C54" i="11" s="1"/>
  <c r="C55" i="11" a="1"/>
  <c r="C55" i="11" s="1"/>
  <c r="C56" i="11" a="1"/>
  <c r="C56" i="11" s="1"/>
  <c r="C57" i="11" a="1"/>
  <c r="C57" i="11" s="1"/>
  <c r="C58" i="11" a="1"/>
  <c r="C58" i="11" s="1"/>
  <c r="C59" i="11" a="1"/>
  <c r="C59" i="11" s="1"/>
  <c r="C60" i="11" a="1"/>
  <c r="C60" i="11" s="1"/>
  <c r="C12" i="11" a="1"/>
  <c r="C12" i="11" s="1"/>
  <c r="T32" i="17" l="1"/>
  <c r="M8" i="17"/>
  <c r="Q8" i="17" l="1"/>
  <c r="S8" i="17"/>
  <c r="R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S25" i="17" l="1"/>
  <c r="R25" i="17"/>
  <c r="Q25" i="17"/>
  <c r="S17" i="17"/>
  <c r="Q17" i="17"/>
  <c r="R17" i="17"/>
  <c r="Q24" i="17"/>
  <c r="S24" i="17"/>
  <c r="R24" i="17"/>
  <c r="S16" i="17"/>
  <c r="R16" i="17"/>
  <c r="Q16" i="17"/>
  <c r="S31" i="17"/>
  <c r="R31" i="17"/>
  <c r="Q31" i="17"/>
  <c r="S23" i="17"/>
  <c r="R23" i="17"/>
  <c r="Q23" i="17"/>
  <c r="P23" i="17"/>
  <c r="S15" i="17"/>
  <c r="R15" i="17"/>
  <c r="Q15" i="17"/>
  <c r="S30" i="17"/>
  <c r="Q30" i="17"/>
  <c r="R30" i="17"/>
  <c r="R22" i="17"/>
  <c r="S22" i="17"/>
  <c r="P22" i="17"/>
  <c r="O22" i="17"/>
  <c r="S14" i="17"/>
  <c r="Q14" i="17"/>
  <c r="R14" i="17"/>
  <c r="S29" i="17"/>
  <c r="R29" i="17"/>
  <c r="Q29" i="17"/>
  <c r="S21" i="17"/>
  <c r="R21" i="17"/>
  <c r="Q21" i="17"/>
  <c r="R13" i="17"/>
  <c r="Q13" i="17"/>
  <c r="S28" i="17"/>
  <c r="R28" i="17"/>
  <c r="Q28" i="17"/>
  <c r="S12" i="17"/>
  <c r="R12" i="17"/>
  <c r="Q12" i="17"/>
  <c r="S27" i="17"/>
  <c r="R27" i="17"/>
  <c r="Q27" i="17"/>
  <c r="P27" i="17"/>
  <c r="S19" i="17"/>
  <c r="R19" i="17"/>
  <c r="Q19" i="17"/>
  <c r="S11" i="17"/>
  <c r="R11" i="17"/>
  <c r="Q11" i="17"/>
  <c r="S20" i="17"/>
  <c r="R20" i="17"/>
  <c r="Q20" i="17"/>
  <c r="S26" i="17"/>
  <c r="R26" i="17"/>
  <c r="Q26" i="17"/>
  <c r="P26" i="17"/>
  <c r="S18" i="17"/>
  <c r="Q18" i="17"/>
  <c r="R18" i="17"/>
  <c r="S10" i="17"/>
  <c r="R10" i="17"/>
  <c r="S9" i="17"/>
  <c r="R9" i="17"/>
  <c r="K62" i="15" l="1"/>
  <c r="J62" i="15"/>
  <c r="I62" i="15"/>
  <c r="H62" i="15"/>
  <c r="G62" i="15"/>
  <c r="F62" i="15"/>
  <c r="E62" i="15"/>
  <c r="L59" i="15"/>
  <c r="L58" i="15"/>
  <c r="L57" i="15"/>
  <c r="L56" i="15"/>
  <c r="L55" i="15"/>
  <c r="L54" i="15"/>
  <c r="L53" i="15"/>
  <c r="L52" i="15"/>
  <c r="L51" i="15"/>
  <c r="L50" i="15"/>
  <c r="L49" i="15"/>
  <c r="L48" i="15"/>
  <c r="L47" i="15"/>
  <c r="L46" i="15"/>
  <c r="L45" i="15"/>
  <c r="L44" i="15"/>
  <c r="L43" i="15"/>
  <c r="L42" i="15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K62" i="14"/>
  <c r="J62" i="14"/>
  <c r="I62" i="14"/>
  <c r="H62" i="14"/>
  <c r="G62" i="14"/>
  <c r="F62" i="14"/>
  <c r="E62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O9" i="17" s="1"/>
  <c r="L13" i="14"/>
  <c r="L12" i="14"/>
  <c r="K62" i="13"/>
  <c r="J62" i="13"/>
  <c r="I62" i="13"/>
  <c r="H62" i="13"/>
  <c r="G62" i="13"/>
  <c r="F62" i="13"/>
  <c r="E62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K62" i="12"/>
  <c r="J62" i="12"/>
  <c r="I62" i="12"/>
  <c r="H62" i="12"/>
  <c r="G62" i="12"/>
  <c r="F62" i="12"/>
  <c r="E62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P10" i="17" s="1"/>
  <c r="L15" i="12"/>
  <c r="L14" i="12"/>
  <c r="L13" i="12"/>
  <c r="L12" i="12"/>
  <c r="K62" i="11"/>
  <c r="J62" i="11"/>
  <c r="I62" i="11"/>
  <c r="H62" i="11"/>
  <c r="G62" i="11"/>
  <c r="F62" i="11"/>
  <c r="E62" i="11"/>
  <c r="L59" i="11"/>
  <c r="L58" i="11"/>
  <c r="L57" i="11"/>
  <c r="L56" i="11"/>
  <c r="L55" i="11"/>
  <c r="O30" i="17" s="1"/>
  <c r="L54" i="11"/>
  <c r="L53" i="11"/>
  <c r="L52" i="11"/>
  <c r="L51" i="11"/>
  <c r="O28" i="17" s="1"/>
  <c r="L50" i="11"/>
  <c r="L49" i="11"/>
  <c r="L48" i="11"/>
  <c r="L47" i="11"/>
  <c r="O25" i="17" s="1"/>
  <c r="L46" i="11"/>
  <c r="L45" i="11"/>
  <c r="L44" i="11"/>
  <c r="L43" i="11"/>
  <c r="Q22" i="17" s="1"/>
  <c r="T22" i="17" s="1"/>
  <c r="L42" i="11"/>
  <c r="L41" i="11"/>
  <c r="L40" i="11"/>
  <c r="L39" i="11"/>
  <c r="O20" i="17" s="1"/>
  <c r="L38" i="11"/>
  <c r="L37" i="11"/>
  <c r="L36" i="11"/>
  <c r="L35" i="11"/>
  <c r="O18" i="17" s="1"/>
  <c r="L34" i="11"/>
  <c r="L33" i="11"/>
  <c r="L32" i="11"/>
  <c r="L31" i="11"/>
  <c r="P16" i="17" s="1"/>
  <c r="L30" i="11"/>
  <c r="L29" i="11"/>
  <c r="L28" i="11"/>
  <c r="L27" i="11"/>
  <c r="P14" i="17" s="1"/>
  <c r="L26" i="11"/>
  <c r="L25" i="11"/>
  <c r="L24" i="11"/>
  <c r="L23" i="11"/>
  <c r="P13" i="17" s="1"/>
  <c r="L22" i="11"/>
  <c r="L21" i="11"/>
  <c r="L20" i="11"/>
  <c r="L19" i="11"/>
  <c r="O14" i="17" s="1"/>
  <c r="L18" i="11"/>
  <c r="P11" i="17" s="1"/>
  <c r="L17" i="11"/>
  <c r="Q10" i="17" s="1"/>
  <c r="L16" i="11"/>
  <c r="S13" i="17" s="1"/>
  <c r="L15" i="11"/>
  <c r="P12" i="17" s="1"/>
  <c r="L14" i="11"/>
  <c r="Q9" i="17" s="1"/>
  <c r="L13" i="11"/>
  <c r="P8" i="17" s="1"/>
  <c r="L12" i="11"/>
  <c r="E10" i="11"/>
  <c r="F10" i="11" s="1"/>
  <c r="G10" i="11" s="1"/>
  <c r="H10" i="11" s="1"/>
  <c r="I10" i="11" s="1"/>
  <c r="J10" i="11" s="1"/>
  <c r="K10" i="11" s="1"/>
  <c r="C7" i="12" s="1"/>
  <c r="T14" i="17" l="1"/>
  <c r="O8" i="17"/>
  <c r="T8" i="17" s="1"/>
  <c r="O15" i="17"/>
  <c r="P18" i="17"/>
  <c r="T18" i="17" s="1"/>
  <c r="P20" i="17"/>
  <c r="T20" i="17" s="1"/>
  <c r="O23" i="17"/>
  <c r="T23" i="17" s="1"/>
  <c r="P25" i="17"/>
  <c r="T25" i="17" s="1"/>
  <c r="P28" i="17"/>
  <c r="T28" i="17" s="1"/>
  <c r="P30" i="17"/>
  <c r="T30" i="17" s="1"/>
  <c r="O10" i="17"/>
  <c r="T10" i="17" s="1"/>
  <c r="O31" i="17"/>
  <c r="F7" i="17"/>
  <c r="H7" i="17"/>
  <c r="O12" i="17"/>
  <c r="T12" i="17" s="1"/>
  <c r="P15" i="17"/>
  <c r="O17" i="17"/>
  <c r="O19" i="17"/>
  <c r="O21" i="17"/>
  <c r="O24" i="17"/>
  <c r="O26" i="17"/>
  <c r="T26" i="17" s="1"/>
  <c r="O29" i="17"/>
  <c r="E7" i="17"/>
  <c r="O13" i="17"/>
  <c r="T13" i="17" s="1"/>
  <c r="O16" i="17"/>
  <c r="T16" i="17" s="1"/>
  <c r="P17" i="17"/>
  <c r="P19" i="17"/>
  <c r="P21" i="17"/>
  <c r="P24" i="17"/>
  <c r="O27" i="17"/>
  <c r="T27" i="17" s="1"/>
  <c r="P29" i="17"/>
  <c r="P31" i="17"/>
  <c r="P9" i="17"/>
  <c r="T9" i="17" s="1"/>
  <c r="O11" i="17"/>
  <c r="T11" i="17" s="1"/>
  <c r="G7" i="17"/>
  <c r="D7" i="17"/>
  <c r="E11" i="11"/>
  <c r="G11" i="11"/>
  <c r="F11" i="11"/>
  <c r="T17" i="17" l="1"/>
  <c r="T24" i="17"/>
  <c r="T31" i="17"/>
  <c r="T15" i="17"/>
  <c r="T21" i="17"/>
  <c r="T29" i="17"/>
  <c r="T19" i="17"/>
  <c r="I7" i="17"/>
  <c r="H11" i="11"/>
  <c r="I11" i="11" l="1"/>
  <c r="J11" i="11" l="1"/>
  <c r="K11" i="11" l="1"/>
  <c r="E10" i="12"/>
  <c r="F10" i="12" s="1"/>
  <c r="G10" i="12" s="1"/>
  <c r="H10" i="12" s="1"/>
  <c r="I10" i="12" s="1"/>
  <c r="J10" i="12" s="1"/>
  <c r="K10" i="12" s="1"/>
  <c r="E11" i="12" l="1"/>
  <c r="F11" i="12" l="1"/>
  <c r="G11" i="12" l="1"/>
  <c r="H11" i="12" l="1"/>
  <c r="I11" i="12" l="1"/>
  <c r="J11" i="12" l="1"/>
  <c r="K11" i="12" l="1"/>
  <c r="E10" i="13"/>
  <c r="F10" i="13" s="1"/>
  <c r="G10" i="13" s="1"/>
  <c r="H10" i="13" s="1"/>
  <c r="I10" i="13" s="1"/>
  <c r="J10" i="13" s="1"/>
  <c r="K10" i="13" s="1"/>
  <c r="E11" i="13" l="1"/>
  <c r="F11" i="13" l="1"/>
  <c r="G11" i="13" l="1"/>
  <c r="H11" i="13" l="1"/>
  <c r="I11" i="13" l="1"/>
  <c r="J11" i="13" l="1"/>
  <c r="K11" i="13" l="1"/>
  <c r="E10" i="14"/>
  <c r="F10" i="14" s="1"/>
  <c r="G10" i="14" s="1"/>
  <c r="H10" i="14" s="1"/>
  <c r="I10" i="14" s="1"/>
  <c r="J10" i="14" s="1"/>
  <c r="K10" i="14" s="1"/>
  <c r="E11" i="14" l="1"/>
  <c r="F11" i="14" l="1"/>
  <c r="G11" i="14" l="1"/>
  <c r="H11" i="14" l="1"/>
  <c r="I11" i="14" l="1"/>
  <c r="J11" i="14" l="1"/>
  <c r="K11" i="14" l="1"/>
  <c r="E10" i="15"/>
  <c r="F10" i="15" s="1"/>
  <c r="G10" i="15" s="1"/>
  <c r="H10" i="15" s="1"/>
  <c r="I10" i="15" s="1"/>
  <c r="J10" i="15" s="1"/>
  <c r="K10" i="15" s="1"/>
  <c r="E11" i="15" l="1"/>
  <c r="F11" i="15" l="1"/>
  <c r="G11" i="15" l="1"/>
  <c r="H11" i="15" l="1"/>
  <c r="I11" i="15" l="1"/>
  <c r="J11" i="15" l="1"/>
  <c r="K11" i="15"/>
</calcChain>
</file>

<file path=xl/sharedStrings.xml><?xml version="1.0" encoding="utf-8"?>
<sst xmlns="http://schemas.openxmlformats.org/spreadsheetml/2006/main" count="851" uniqueCount="104">
  <si>
    <t>Job #</t>
  </si>
  <si>
    <t>CAD</t>
  </si>
  <si>
    <t>Engineering</t>
  </si>
  <si>
    <t>20-111</t>
  </si>
  <si>
    <t>Manteca Storm Drain (Zone 36/39)</t>
  </si>
  <si>
    <t>19-204</t>
  </si>
  <si>
    <t>20-202</t>
  </si>
  <si>
    <t>South Manteca WW PS</t>
  </si>
  <si>
    <t>20-303</t>
  </si>
  <si>
    <t>Oakwood Lake (as-needed services)</t>
  </si>
  <si>
    <t>20-306</t>
  </si>
  <si>
    <t>EBMUD Arc Flash Analysis</t>
  </si>
  <si>
    <t>20-407</t>
  </si>
  <si>
    <t>OLWD Collection System Master Plan</t>
  </si>
  <si>
    <t xml:space="preserve">Oakwood Lake (Construction Services) </t>
  </si>
  <si>
    <t>Urban Farmer</t>
  </si>
  <si>
    <t>21-102</t>
  </si>
  <si>
    <t>San Joaquin EGEN</t>
  </si>
  <si>
    <t>19-304</t>
  </si>
  <si>
    <t>EBMUD general questions</t>
  </si>
  <si>
    <t>SJWD EGEN Replacement (Task 4 - Bacon Re-Design)</t>
  </si>
  <si>
    <t>SJWD EGEN Replacement (Task 5 - UGB Construction Services)</t>
  </si>
  <si>
    <t>21-301</t>
  </si>
  <si>
    <t>CCWD PP1</t>
  </si>
  <si>
    <t>20-106</t>
  </si>
  <si>
    <t>Admin</t>
  </si>
  <si>
    <t xml:space="preserve">EBMUD Chloramine </t>
  </si>
  <si>
    <t>21-306</t>
  </si>
  <si>
    <t>Lagrange construction services</t>
  </si>
  <si>
    <t>20-401</t>
  </si>
  <si>
    <t>21-405</t>
  </si>
  <si>
    <t>SOL State Prison</t>
  </si>
  <si>
    <t>Hertz Roseville</t>
  </si>
  <si>
    <t>21-403</t>
  </si>
  <si>
    <t>SBVMWD EBX Interie</t>
  </si>
  <si>
    <t>21-401</t>
  </si>
  <si>
    <t>Project Waterman</t>
  </si>
  <si>
    <t>22-103</t>
  </si>
  <si>
    <t>Hyundai of Gilroy EV</t>
  </si>
  <si>
    <t>Hyundai of Tracy EV</t>
  </si>
  <si>
    <t>21-101</t>
  </si>
  <si>
    <t>Waterman Construction Services</t>
  </si>
  <si>
    <t>Lodi Police Shooting Range</t>
  </si>
  <si>
    <t>21-408</t>
  </si>
  <si>
    <t>22-102</t>
  </si>
  <si>
    <t>21-407</t>
  </si>
  <si>
    <t>21-406</t>
  </si>
  <si>
    <t>East Ridge Modifications</t>
  </si>
  <si>
    <t>22-104</t>
  </si>
  <si>
    <t>South Manteca Regional PS CS</t>
  </si>
  <si>
    <t>Salinas Valley State Prison</t>
  </si>
  <si>
    <t>22-106</t>
  </si>
  <si>
    <t>21-304</t>
  </si>
  <si>
    <t>Project Sunrise</t>
  </si>
  <si>
    <t xml:space="preserve">TOTAL </t>
  </si>
  <si>
    <t>Total</t>
  </si>
  <si>
    <t>Drop Down List Data</t>
  </si>
  <si>
    <t>Clerical</t>
  </si>
  <si>
    <t>Miscellaneous</t>
  </si>
  <si>
    <t>ABC</t>
  </si>
  <si>
    <t>NAMA PERUSAHAAN</t>
  </si>
  <si>
    <t>DASBOR</t>
  </si>
  <si>
    <t>Tipe</t>
  </si>
  <si>
    <t>Total Jam</t>
  </si>
  <si>
    <t>Minggu 1</t>
  </si>
  <si>
    <t>Minggu 2</t>
  </si>
  <si>
    <t>Minggu 3</t>
  </si>
  <si>
    <t>Minggu 4</t>
  </si>
  <si>
    <t>Minggu 5</t>
  </si>
  <si>
    <t>Minggu 6</t>
  </si>
  <si>
    <t>Nama Projek</t>
  </si>
  <si>
    <t>Deskripsi Tugas</t>
  </si>
  <si>
    <t>Projek 1</t>
  </si>
  <si>
    <t>Projek 2</t>
  </si>
  <si>
    <t>Projek 3</t>
  </si>
  <si>
    <t>Projek 4</t>
  </si>
  <si>
    <t>Projek 5</t>
  </si>
  <si>
    <t>Projek 6</t>
  </si>
  <si>
    <t>Projek 7</t>
  </si>
  <si>
    <t>Projek 8</t>
  </si>
  <si>
    <t>Projek 9</t>
  </si>
  <si>
    <t>Projek 10</t>
  </si>
  <si>
    <t>Projek 11</t>
  </si>
  <si>
    <t>Projek 12</t>
  </si>
  <si>
    <t>Projek 13</t>
  </si>
  <si>
    <t>Projek 14</t>
  </si>
  <si>
    <t>Projek 15</t>
  </si>
  <si>
    <t>Projek 16</t>
  </si>
  <si>
    <t>Projek 17</t>
  </si>
  <si>
    <t>Projek 18</t>
  </si>
  <si>
    <t>Projek 19</t>
  </si>
  <si>
    <t>Projek 20</t>
  </si>
  <si>
    <t>Projek 21</t>
  </si>
  <si>
    <t>Projek 22</t>
  </si>
  <si>
    <t>Projek 23</t>
  </si>
  <si>
    <t>Projek 24</t>
  </si>
  <si>
    <t>NAMA :</t>
  </si>
  <si>
    <t>TANGGAL MULAI :</t>
  </si>
  <si>
    <t>Jam Kerja</t>
  </si>
  <si>
    <t>Total Minggu</t>
  </si>
  <si>
    <t>Catatan</t>
  </si>
  <si>
    <t>LEMBAR KERJA MINGGUAN</t>
  </si>
  <si>
    <t>TANGGAL MULAI ;</t>
  </si>
  <si>
    <t>Deksripsi Tugas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</si>
</sst>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/yy;@"/>
    <numFmt numFmtId="165" formatCode="[$-409]d\-mmm\-yy;@"/>
  </numFmts>
  <fonts count="28" x14ac:knownFonts="1">
    <font>
      <sz val="10"/>
      <name val="Arial"/>
    </font>
    <font>
      <b/>
      <sz val="14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1"/>
      <color theme="0"/>
      <name val="Times New Roman"/>
      <family val="1"/>
    </font>
    <font>
      <b/>
      <sz val="26"/>
      <color theme="4" tint="-0.249977111117893"/>
      <name val="Times New Roman"/>
      <family val="1"/>
    </font>
    <font>
      <b/>
      <sz val="14"/>
      <color theme="4" tint="-0.249977111117893"/>
      <name val="Times New Roman"/>
      <family val="1"/>
    </font>
    <font>
      <sz val="10"/>
      <color theme="4" tint="-0.249977111117893"/>
      <name val="Times New Roman"/>
      <family val="1"/>
    </font>
    <font>
      <b/>
      <i/>
      <sz val="11"/>
      <color theme="4" tint="-0.249977111117893"/>
      <name val="Times New Roman"/>
      <family val="1"/>
    </font>
    <font>
      <b/>
      <sz val="11"/>
      <color theme="4" tint="-0.249977111117893"/>
      <name val="Times New Roman"/>
      <family val="1"/>
    </font>
    <font>
      <b/>
      <sz val="12"/>
      <color theme="0"/>
      <name val="Times New Roman"/>
      <family val="1"/>
    </font>
    <font>
      <b/>
      <u/>
      <sz val="12"/>
      <color theme="4" tint="-0.249977111117893"/>
      <name val="Times New Roman"/>
      <family val="1"/>
    </font>
    <font>
      <b/>
      <i/>
      <sz val="16"/>
      <color theme="4" tint="-0.249977111117893"/>
      <name val="Times New Roman"/>
      <family val="1"/>
    </font>
    <font>
      <b/>
      <sz val="10"/>
      <color theme="1" tint="0.34998626667073579"/>
      <name val="Times New Roman"/>
      <family val="1"/>
    </font>
    <font>
      <sz val="14"/>
      <name val="Times New Roman"/>
      <family val="1"/>
    </font>
    <font>
      <b/>
      <sz val="26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0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2"/>
      <color theme="6" tint="-0.499984740745262"/>
      <name val="Times New Roman"/>
      <family val="1"/>
    </font>
    <font>
      <b/>
      <sz val="11"/>
      <color theme="1"/>
      <name val="Times New Roman"/>
      <family val="1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theme="8" tint="0.79998168889431442"/>
      </patternFill>
    </fill>
    <fill>
      <patternFill patternType="solid">
        <fgColor theme="8" tint="0.59999389629810485"/>
        <bgColor theme="8" tint="0.79998168889431442"/>
      </patternFill>
    </fill>
  </fills>
  <borders count="2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double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24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4" fillId="2" borderId="2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14" fontId="12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2" fillId="4" borderId="0" xfId="0" applyFont="1" applyFill="1"/>
    <xf numFmtId="0" fontId="21" fillId="4" borderId="0" xfId="0" applyFont="1" applyFill="1" applyAlignment="1">
      <alignment vertical="center"/>
    </xf>
    <xf numFmtId="0" fontId="20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2" fillId="5" borderId="0" xfId="0" applyFont="1" applyFill="1"/>
    <xf numFmtId="0" fontId="2" fillId="5" borderId="0" xfId="0" applyFont="1" applyFill="1" applyAlignment="1">
      <alignment vertical="center"/>
    </xf>
    <xf numFmtId="0" fontId="18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22" fillId="5" borderId="19" xfId="0" applyFont="1" applyFill="1" applyBorder="1"/>
    <xf numFmtId="43" fontId="23" fillId="6" borderId="13" xfId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 wrapText="1"/>
    </xf>
    <xf numFmtId="43" fontId="26" fillId="7" borderId="12" xfId="1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19" fillId="4" borderId="0" xfId="0" applyFont="1" applyFill="1" applyAlignment="1">
      <alignment vertical="top"/>
    </xf>
    <xf numFmtId="0" fontId="20" fillId="4" borderId="0" xfId="0" applyFont="1" applyFill="1" applyAlignment="1">
      <alignment horizontal="left"/>
    </xf>
    <xf numFmtId="0" fontId="25" fillId="5" borderId="19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16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/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Times New Roman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/>
        <bottom style="thin">
          <color theme="0" tint="-0.499984740745262"/>
        </bottom>
      </border>
    </dxf>
    <dxf>
      <border outline="0">
        <top style="thin">
          <color rgb="FF808080"/>
        </top>
      </border>
    </dxf>
    <dxf>
      <border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/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Times New Roman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/>
        <bottom style="thin">
          <color theme="0" tint="-0.499984740745262"/>
        </bottom>
      </border>
    </dxf>
    <dxf>
      <border outline="0">
        <top style="thin">
          <color rgb="FF808080"/>
        </top>
      </border>
    </dxf>
    <dxf>
      <border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/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Times New Roman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/>
        <bottom style="thin">
          <color theme="0" tint="-0.499984740745262"/>
        </bottom>
      </border>
    </dxf>
    <dxf>
      <border outline="0">
        <top style="thin">
          <color rgb="FF808080"/>
        </top>
      </border>
    </dxf>
    <dxf>
      <border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/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Times New Roman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/>
        <bottom style="thin">
          <color theme="0" tint="-0.499984740745262"/>
        </bottom>
      </border>
    </dxf>
    <dxf>
      <border outline="0">
        <top style="thin">
          <color rgb="FF808080"/>
        </top>
      </border>
    </dxf>
    <dxf>
      <border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/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Times New Roman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/>
        <bottom style="thin">
          <color theme="0" tint="-0.499984740745262"/>
        </bottom>
      </border>
    </dxf>
    <dxf>
      <border outline="0">
        <top style="thin">
          <color theme="0" tint="-0.499984740745262"/>
        </top>
      </border>
    </dxf>
    <dxf>
      <border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theme="0" tint="-0.499984740745262"/>
        </top>
      </border>
    </dxf>
    <dxf>
      <border outline="0">
        <right style="thin">
          <color theme="0" tint="-0.499984740745262"/>
        </right>
        <top style="thin">
          <color theme="0" tint="-0.499984740745262"/>
        </top>
      </border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border outline="0"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 patternType="solid">
          <fgColor theme="8" tint="0.79998168889431442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/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theme="3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Light16"/>
  <colors>
    <mruColors>
      <color rgb="FF78C8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Dashboard!$C$7</c:f>
              <c:strCache>
                <c:ptCount val="1"/>
                <c:pt idx="0">
                  <c:v>Total Jam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A4F9-4D2D-883F-36DF3DA313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A4F9-4D2D-883F-36DF3DA313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A4F9-4D2D-883F-36DF3DA313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A4F9-4D2D-883F-36DF3DA313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A4F9-4D2D-883F-36DF3DA3138B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Dashboard!$D$6:$H$6</c:f>
              <c:strCache>
                <c:ptCount val="5"/>
                <c:pt idx="0">
                  <c:v>Minggu 1</c:v>
                </c:pt>
                <c:pt idx="1">
                  <c:v>Minggu 2</c:v>
                </c:pt>
                <c:pt idx="2">
                  <c:v>Minggu 3</c:v>
                </c:pt>
                <c:pt idx="3">
                  <c:v>Minggu 4</c:v>
                </c:pt>
                <c:pt idx="4">
                  <c:v>Minggu 5</c:v>
                </c:pt>
              </c:strCache>
            </c:strRef>
          </c:cat>
          <c:val>
            <c:numRef>
              <c:f>Dashboard!$D$7:$H$7</c:f>
              <c:numCache>
                <c:formatCode>General</c:formatCode>
                <c:ptCount val="5"/>
                <c:pt idx="0">
                  <c:v>108</c:v>
                </c:pt>
                <c:pt idx="1">
                  <c:v>114</c:v>
                </c:pt>
                <c:pt idx="2">
                  <c:v>132</c:v>
                </c:pt>
                <c:pt idx="3">
                  <c:v>88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1-473E-88C7-CF2A13856F6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2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30480</xdr:rowOff>
    </xdr:from>
    <xdr:to>
      <xdr:col>9</xdr:col>
      <xdr:colOff>0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Table8" displayName="Table8" ref="C6:I7" totalsRowShown="0" headerRowDxfId="185" dataDxfId="183" headerRowBorderDxfId="184" tableBorderDxfId="182" totalsRowBorderDxfId="181">
  <tableColumns count="7">
    <tableColumn id="1" xr3:uid="{00000000-0010-0000-0000-000001000000}" name="Tipe" dataDxfId="180"/>
    <tableColumn id="2" xr3:uid="{00000000-0010-0000-0000-000002000000}" name="Minggu 1" dataDxfId="179">
      <calculatedColumnFormula>SUM(Table2[[#All],[Column10]])</calculatedColumnFormula>
    </tableColumn>
    <tableColumn id="3" xr3:uid="{00000000-0010-0000-0000-000003000000}" name="Minggu 2" dataDxfId="178">
      <calculatedColumnFormula>SUM(Table24[[#All],[Column10]])</calculatedColumnFormula>
    </tableColumn>
    <tableColumn id="4" xr3:uid="{00000000-0010-0000-0000-000004000000}" name="Minggu 3" dataDxfId="177">
      <calculatedColumnFormula>SUM(Table245[[#All],[Column10]])</calculatedColumnFormula>
    </tableColumn>
    <tableColumn id="5" xr3:uid="{00000000-0010-0000-0000-000005000000}" name="Minggu 4" dataDxfId="176">
      <calculatedColumnFormula>SUM(Table2456[[#All],[Column10]])</calculatedColumnFormula>
    </tableColumn>
    <tableColumn id="7" xr3:uid="{00000000-0010-0000-0000-000007000000}" name="Minggu 5" dataDxfId="175">
      <calculatedColumnFormula>SUM(Table24567[[#All],[Column10]])</calculatedColumnFormula>
    </tableColumn>
    <tableColumn id="6" xr3:uid="{00000000-0010-0000-0000-000006000000}" name="Minggu 6" dataDxfId="174">
      <calculatedColumnFormula>SUM(Table8[[Minggu 1]:[Minggu 5]])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M8:T32" headerRowCount="0" totalsRowShown="0" headerRowDxfId="173" dataDxfId="171" headerRowBorderDxfId="172" tableBorderDxfId="170" totalsRowBorderDxfId="169" headerRowCellStyle="Comma" dataCellStyle="Comma">
  <tableColumns count="8">
    <tableColumn id="1" xr3:uid="{00000000-0010-0000-0100-000001000000}" name="Column1" headerRowDxfId="168" dataDxfId="167"/>
    <tableColumn id="8" xr3:uid="{00000000-0010-0000-0100-000008000000}" name="Column8" headerRowDxfId="166" dataDxfId="165">
      <calculatedColumnFormula>'(Drop Down) Data Base '!C5</calculatedColumnFormula>
    </tableColumn>
    <tableColumn id="2" xr3:uid="{00000000-0010-0000-0100-000002000000}" name="Column2" headerRowDxfId="164" dataDxfId="163" headerRowCellStyle="Comma" dataCellStyle="Comma"/>
    <tableColumn id="3" xr3:uid="{00000000-0010-0000-0100-000003000000}" name="Column3" headerRowDxfId="162" dataDxfId="161" headerRowCellStyle="Comma" dataCellStyle="Comma"/>
    <tableColumn id="4" xr3:uid="{00000000-0010-0000-0100-000004000000}" name="Column4" headerRowDxfId="160" dataDxfId="159" headerRowCellStyle="Comma" dataCellStyle="Comma"/>
    <tableColumn id="5" xr3:uid="{00000000-0010-0000-0100-000005000000}" name="Column5" headerRowDxfId="158" dataDxfId="157" headerRowCellStyle="Comma" dataCellStyle="Comma"/>
    <tableColumn id="6" xr3:uid="{00000000-0010-0000-0100-000006000000}" name="Column6" headerRowDxfId="156" dataDxfId="155" headerRowCellStyle="Comma" dataCellStyle="Comma"/>
    <tableColumn id="7" xr3:uid="{00000000-0010-0000-0100-000007000000}" name="Column7" headerRowDxfId="154" dataDxfId="153" headerRowCellStyle="Comma" dataCellStyle="Comma">
      <calculatedColumnFormula>SUM(O8:S8)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7" displayName="Table7" ref="B4:D29" totalsRowShown="0" headerRowDxfId="152" dataDxfId="150" headerRowBorderDxfId="151" tableBorderDxfId="149" totalsRowBorderDxfId="148">
  <tableColumns count="3">
    <tableColumn id="1" xr3:uid="{00000000-0010-0000-0200-000001000000}" name="Job #" dataDxfId="147"/>
    <tableColumn id="3" xr3:uid="{00000000-0010-0000-0200-000003000000}" name="Nama Projek" dataDxfId="146"/>
    <tableColumn id="2" xr3:uid="{00000000-0010-0000-0200-000002000000}" name="Deskripsi Tugas" dataDxfId="145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B12:M60" headerRowCount="0" totalsRowShown="0" headerRowDxfId="144" dataDxfId="142" headerRowBorderDxfId="143" tableBorderDxfId="141" totalsRowBorderDxfId="140">
  <tableColumns count="12">
    <tableColumn id="1" xr3:uid="{00000000-0010-0000-0300-000001000000}" name="Column1" headerRowDxfId="139" dataDxfId="138"/>
    <tableColumn id="12" xr3:uid="{00000000-0010-0000-0300-00000C000000}" name="Column12" headerRowDxfId="137" dataDxfId="136">
      <calculatedColumnFormula array="1">IFERROR((INDEX(Table7[Nama Projek],MATCH(Table2[[#This Row],[Column1]],Table7[Job '#],0))),"")</calculatedColumnFormula>
    </tableColumn>
    <tableColumn id="2" xr3:uid="{00000000-0010-0000-0300-000002000000}" name="Column2" headerRowDxfId="135" dataDxfId="134"/>
    <tableColumn id="3" xr3:uid="{00000000-0010-0000-0300-000003000000}" name="Column3" headerRowDxfId="133" dataDxfId="132"/>
    <tableColumn id="4" xr3:uid="{00000000-0010-0000-0300-000004000000}" name="Column4" headerRowDxfId="131" dataDxfId="130"/>
    <tableColumn id="5" xr3:uid="{00000000-0010-0000-0300-000005000000}" name="Column5" headerRowDxfId="129" dataDxfId="128"/>
    <tableColumn id="6" xr3:uid="{00000000-0010-0000-0300-000006000000}" name="Column6" headerRowDxfId="127" dataDxfId="126"/>
    <tableColumn id="7" xr3:uid="{00000000-0010-0000-0300-000007000000}" name="Column7" headerRowDxfId="125" dataDxfId="124"/>
    <tableColumn id="8" xr3:uid="{00000000-0010-0000-0300-000008000000}" name="Column8" headerRowDxfId="123" dataDxfId="122"/>
    <tableColumn id="9" xr3:uid="{00000000-0010-0000-0300-000009000000}" name="Column9" headerRowDxfId="121" dataDxfId="120"/>
    <tableColumn id="10" xr3:uid="{00000000-0010-0000-0300-00000A000000}" name="Column10" headerRowDxfId="119" dataDxfId="118"/>
    <tableColumn id="11" xr3:uid="{00000000-0010-0000-0300-00000B000000}" name="Column11" headerRowDxfId="117" dataDxfId="116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24" displayName="Table24" ref="B12:M60" headerRowCount="0" totalsRowShown="0" headerRowDxfId="115" dataDxfId="113" headerRowBorderDxfId="114" tableBorderDxfId="112" totalsRowBorderDxfId="111">
  <tableColumns count="12">
    <tableColumn id="1" xr3:uid="{00000000-0010-0000-0400-000001000000}" name="Column1" headerRowDxfId="110" dataDxfId="109"/>
    <tableColumn id="12" xr3:uid="{00000000-0010-0000-0400-00000C000000}" name="Column12" headerRowDxfId="108" dataDxfId="107">
      <calculatedColumnFormula array="1">IFERROR((INDEX(Table7[Nama Projek],MATCH(Table24[[#This Row],[Column1]],Table7[Job '#],0))),"")</calculatedColumnFormula>
    </tableColumn>
    <tableColumn id="2" xr3:uid="{00000000-0010-0000-0400-000002000000}" name="Column2" headerRowDxfId="106" dataDxfId="105"/>
    <tableColumn id="3" xr3:uid="{00000000-0010-0000-0400-000003000000}" name="Column3" headerRowDxfId="104" dataDxfId="103"/>
    <tableColumn id="4" xr3:uid="{00000000-0010-0000-0400-000004000000}" name="Column4" headerRowDxfId="102" dataDxfId="101"/>
    <tableColumn id="5" xr3:uid="{00000000-0010-0000-0400-000005000000}" name="Column5" headerRowDxfId="100" dataDxfId="99"/>
    <tableColumn id="6" xr3:uid="{00000000-0010-0000-0400-000006000000}" name="Column6" headerRowDxfId="98" dataDxfId="97"/>
    <tableColumn id="7" xr3:uid="{00000000-0010-0000-0400-000007000000}" name="Column7" headerRowDxfId="96" dataDxfId="95"/>
    <tableColumn id="8" xr3:uid="{00000000-0010-0000-0400-000008000000}" name="Column8" headerRowDxfId="94" dataDxfId="93"/>
    <tableColumn id="9" xr3:uid="{00000000-0010-0000-0400-000009000000}" name="Column9" headerRowDxfId="92" dataDxfId="91"/>
    <tableColumn id="10" xr3:uid="{00000000-0010-0000-0400-00000A000000}" name="Column10" headerRowDxfId="90" dataDxfId="89"/>
    <tableColumn id="11" xr3:uid="{00000000-0010-0000-0400-00000B000000}" name="Column11" headerRowDxfId="88" dataDxfId="87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245" displayName="Table245" ref="B12:M60" headerRowCount="0" totalsRowShown="0" headerRowDxfId="86" dataDxfId="84" headerRowBorderDxfId="85" tableBorderDxfId="83" totalsRowBorderDxfId="82">
  <tableColumns count="12">
    <tableColumn id="1" xr3:uid="{00000000-0010-0000-0500-000001000000}" name="Column1" headerRowDxfId="81" dataDxfId="80"/>
    <tableColumn id="12" xr3:uid="{00000000-0010-0000-0500-00000C000000}" name="Column12" headerRowDxfId="79" dataDxfId="78">
      <calculatedColumnFormula array="1">IFERROR((INDEX(Table7[Nama Projek],MATCH(Table245[[#This Row],[Column1]],Table7[Job '#],0))),"")</calculatedColumnFormula>
    </tableColumn>
    <tableColumn id="2" xr3:uid="{00000000-0010-0000-0500-000002000000}" name="Column2" headerRowDxfId="77" dataDxfId="76"/>
    <tableColumn id="3" xr3:uid="{00000000-0010-0000-0500-000003000000}" name="Column3" headerRowDxfId="75" dataDxfId="74"/>
    <tableColumn id="4" xr3:uid="{00000000-0010-0000-0500-000004000000}" name="Column4" headerRowDxfId="73" dataDxfId="72"/>
    <tableColumn id="5" xr3:uid="{00000000-0010-0000-0500-000005000000}" name="Column5" headerRowDxfId="71" dataDxfId="70"/>
    <tableColumn id="6" xr3:uid="{00000000-0010-0000-0500-000006000000}" name="Column6" headerRowDxfId="69" dataDxfId="68"/>
    <tableColumn id="7" xr3:uid="{00000000-0010-0000-0500-000007000000}" name="Column7" headerRowDxfId="67" dataDxfId="66"/>
    <tableColumn id="8" xr3:uid="{00000000-0010-0000-0500-000008000000}" name="Column8" headerRowDxfId="65" dataDxfId="64"/>
    <tableColumn id="9" xr3:uid="{00000000-0010-0000-0500-000009000000}" name="Column9" headerRowDxfId="63" dataDxfId="62"/>
    <tableColumn id="10" xr3:uid="{00000000-0010-0000-0500-00000A000000}" name="Column10" headerRowDxfId="61" dataDxfId="60"/>
    <tableColumn id="11" xr3:uid="{00000000-0010-0000-0500-00000B000000}" name="Column11" headerRowDxfId="59" dataDxfId="58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2456" displayName="Table2456" ref="B12:M60" headerRowCount="0" totalsRowShown="0" headerRowDxfId="57" dataDxfId="55" headerRowBorderDxfId="56" tableBorderDxfId="54" totalsRowBorderDxfId="53">
  <tableColumns count="12">
    <tableColumn id="1" xr3:uid="{00000000-0010-0000-0600-000001000000}" name="Column1" headerRowDxfId="52" dataDxfId="51"/>
    <tableColumn id="12" xr3:uid="{00000000-0010-0000-0600-00000C000000}" name="Column12" headerRowDxfId="50" dataDxfId="49">
      <calculatedColumnFormula array="1">IFERROR((INDEX(Table7[Nama Projek],MATCH(Table2456[[#This Row],[Column1]],Table7[Job '#],0))),"")</calculatedColumnFormula>
    </tableColumn>
    <tableColumn id="2" xr3:uid="{00000000-0010-0000-0600-000002000000}" name="Column2" headerRowDxfId="48" dataDxfId="47"/>
    <tableColumn id="3" xr3:uid="{00000000-0010-0000-0600-000003000000}" name="Column3" headerRowDxfId="46" dataDxfId="45"/>
    <tableColumn id="4" xr3:uid="{00000000-0010-0000-0600-000004000000}" name="Column4" headerRowDxfId="44" dataDxfId="43"/>
    <tableColumn id="5" xr3:uid="{00000000-0010-0000-0600-000005000000}" name="Column5" headerRowDxfId="42" dataDxfId="41"/>
    <tableColumn id="6" xr3:uid="{00000000-0010-0000-0600-000006000000}" name="Column6" headerRowDxfId="40" dataDxfId="39"/>
    <tableColumn id="7" xr3:uid="{00000000-0010-0000-0600-000007000000}" name="Column7" headerRowDxfId="38" dataDxfId="37"/>
    <tableColumn id="8" xr3:uid="{00000000-0010-0000-0600-000008000000}" name="Column8" headerRowDxfId="36" dataDxfId="35"/>
    <tableColumn id="9" xr3:uid="{00000000-0010-0000-0600-000009000000}" name="Column9" headerRowDxfId="34" dataDxfId="33"/>
    <tableColumn id="10" xr3:uid="{00000000-0010-0000-0600-00000A000000}" name="Column10" headerRowDxfId="32" dataDxfId="31"/>
    <tableColumn id="11" xr3:uid="{00000000-0010-0000-0600-00000B000000}" name="Column11" headerRowDxfId="30" dataDxfId="29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able24567" displayName="Table24567" ref="B12:M60" headerRowCount="0" totalsRowShown="0" headerRowDxfId="28" dataDxfId="26" headerRowBorderDxfId="27" tableBorderDxfId="25" totalsRowBorderDxfId="24">
  <tableColumns count="12">
    <tableColumn id="1" xr3:uid="{00000000-0010-0000-0700-000001000000}" name="Column1" headerRowDxfId="23" dataDxfId="22"/>
    <tableColumn id="12" xr3:uid="{00000000-0010-0000-0700-00000C000000}" name="Column12" headerRowDxfId="21" dataDxfId="20">
      <calculatedColumnFormula array="1">IFERROR((INDEX(Table7[Nama Projek],MATCH(Table24567[[#This Row],[Column1]],Table7[Job '#],0))),"")</calculatedColumnFormula>
    </tableColumn>
    <tableColumn id="2" xr3:uid="{00000000-0010-0000-0700-000002000000}" name="Column2" headerRowDxfId="19" dataDxfId="18"/>
    <tableColumn id="3" xr3:uid="{00000000-0010-0000-0700-000003000000}" name="Column3" headerRowDxfId="17" dataDxfId="16"/>
    <tableColumn id="4" xr3:uid="{00000000-0010-0000-0700-000004000000}" name="Column4" headerRowDxfId="15" dataDxfId="14"/>
    <tableColumn id="5" xr3:uid="{00000000-0010-0000-0700-000005000000}" name="Column5" headerRowDxfId="13" dataDxfId="12"/>
    <tableColumn id="6" xr3:uid="{00000000-0010-0000-0700-000006000000}" name="Column6" headerRowDxfId="11" dataDxfId="10"/>
    <tableColumn id="7" xr3:uid="{00000000-0010-0000-0700-000007000000}" name="Column7" headerRowDxfId="9" dataDxfId="8"/>
    <tableColumn id="8" xr3:uid="{00000000-0010-0000-0700-000008000000}" name="Column8" headerRowDxfId="7" dataDxfId="6"/>
    <tableColumn id="9" xr3:uid="{00000000-0010-0000-0700-000009000000}" name="Column9" headerRowDxfId="5" dataDxfId="4"/>
    <tableColumn id="10" xr3:uid="{00000000-0010-0000-0700-00000A000000}" name="Column10" headerRowDxfId="3" dataDxfId="2"/>
    <tableColumn id="11" xr3:uid="{00000000-0010-0000-0700-00000B000000}" name="Column11" headerRowDxfId="1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32"/>
  <sheetViews>
    <sheetView showGridLines="0" showRowColHeaders="0" tabSelected="1" topLeftCell="C1" zoomScale="80" zoomScaleNormal="80" zoomScaleSheetLayoutView="100" workbookViewId="0">
      <selection activeCell="N38" sqref="N38"/>
    </sheetView>
  </sheetViews>
  <sheetFormatPr defaultRowHeight="13.2" x14ac:dyDescent="0.25"/>
  <cols>
    <col min="1" max="2" width="1.109375" style="2" customWidth="1"/>
    <col min="3" max="3" width="13.109375" style="4" customWidth="1"/>
    <col min="4" max="5" width="11.109375" style="4" customWidth="1"/>
    <col min="6" max="6" width="19.44140625" style="4" customWidth="1"/>
    <col min="7" max="9" width="11.109375" style="4" customWidth="1"/>
    <col min="10" max="10" width="0.6640625" style="4" customWidth="1"/>
    <col min="11" max="12" width="0.6640625" style="39" customWidth="1"/>
    <col min="13" max="14" width="11.109375" style="39" customWidth="1"/>
    <col min="15" max="18" width="12.21875" style="39" customWidth="1"/>
    <col min="19" max="19" width="14.33203125" style="39" bestFit="1" customWidth="1"/>
    <col min="20" max="20" width="14.33203125" style="42" bestFit="1" customWidth="1"/>
    <col min="21" max="21" width="0.6640625" style="39" customWidth="1"/>
    <col min="22" max="39" width="10.77734375" style="39" customWidth="1"/>
    <col min="40" max="16384" width="8.88671875" style="2"/>
  </cols>
  <sheetData>
    <row r="1" spans="2:21" s="39" customFormat="1" ht="6" customHeight="1" x14ac:dyDescent="0.25">
      <c r="C1" s="28"/>
      <c r="D1" s="28"/>
      <c r="E1" s="28"/>
      <c r="F1" s="28"/>
      <c r="G1" s="28"/>
      <c r="H1" s="28"/>
      <c r="I1" s="28"/>
      <c r="J1" s="28"/>
      <c r="T1" s="42"/>
    </row>
    <row r="2" spans="2:21" s="39" customFormat="1" ht="31.8" x14ac:dyDescent="0.25">
      <c r="C2" s="61" t="s">
        <v>60</v>
      </c>
      <c r="D2" s="61"/>
      <c r="E2" s="61"/>
      <c r="F2" s="61"/>
      <c r="G2" s="28"/>
      <c r="H2" s="28"/>
      <c r="I2" s="28"/>
      <c r="J2" s="28"/>
      <c r="T2" s="42"/>
    </row>
    <row r="3" spans="2:21" s="39" customFormat="1" ht="20.399999999999999" x14ac:dyDescent="0.35">
      <c r="C3" s="62" t="s">
        <v>61</v>
      </c>
      <c r="D3" s="62"/>
      <c r="E3" s="62"/>
      <c r="F3" s="40"/>
      <c r="G3" s="28"/>
      <c r="H3" s="28"/>
      <c r="I3" s="28"/>
      <c r="J3" s="28"/>
      <c r="T3" s="42"/>
    </row>
    <row r="4" spans="2:21" s="39" customFormat="1" ht="30" customHeight="1" x14ac:dyDescent="0.35">
      <c r="C4" s="41"/>
      <c r="D4" s="41"/>
      <c r="E4" s="41"/>
      <c r="F4" s="40"/>
      <c r="G4" s="28"/>
      <c r="H4" s="28"/>
      <c r="I4" s="28"/>
      <c r="J4" s="28"/>
      <c r="T4" s="42"/>
    </row>
    <row r="5" spans="2:21" ht="13.2" customHeight="1" x14ac:dyDescent="0.3">
      <c r="B5" s="45"/>
      <c r="C5" s="46"/>
      <c r="D5" s="46"/>
      <c r="E5" s="46"/>
      <c r="F5" s="46"/>
      <c r="G5" s="46"/>
      <c r="H5" s="46"/>
      <c r="I5" s="46"/>
      <c r="J5" s="46"/>
      <c r="L5" s="45"/>
      <c r="M5" s="51"/>
      <c r="N5" s="51"/>
      <c r="O5" s="63"/>
      <c r="P5" s="63"/>
      <c r="Q5" s="63"/>
      <c r="R5" s="63"/>
      <c r="S5" s="63"/>
      <c r="T5" s="63"/>
      <c r="U5" s="45"/>
    </row>
    <row r="6" spans="2:21" ht="45" customHeight="1" x14ac:dyDescent="0.25">
      <c r="B6" s="45"/>
      <c r="C6" s="49" t="s">
        <v>62</v>
      </c>
      <c r="D6" s="50" t="s">
        <v>64</v>
      </c>
      <c r="E6" s="50" t="s">
        <v>65</v>
      </c>
      <c r="F6" s="50" t="s">
        <v>66</v>
      </c>
      <c r="G6" s="50" t="s">
        <v>67</v>
      </c>
      <c r="H6" s="50" t="s">
        <v>68</v>
      </c>
      <c r="I6" s="50" t="s">
        <v>69</v>
      </c>
      <c r="J6" s="47"/>
      <c r="L6" s="45"/>
      <c r="M6" s="59" t="s">
        <v>0</v>
      </c>
      <c r="N6" s="64" t="s">
        <v>70</v>
      </c>
      <c r="O6" s="66" t="s">
        <v>63</v>
      </c>
      <c r="P6" s="67"/>
      <c r="Q6" s="67"/>
      <c r="R6" s="67"/>
      <c r="S6" s="68"/>
      <c r="T6" s="69" t="s">
        <v>55</v>
      </c>
      <c r="U6" s="45"/>
    </row>
    <row r="7" spans="2:21" ht="30" customHeight="1" x14ac:dyDescent="0.25">
      <c r="B7" s="45"/>
      <c r="C7" s="54" t="s">
        <v>63</v>
      </c>
      <c r="D7" s="55">
        <f>SUM(Table2[[#All],[Column10]])</f>
        <v>108</v>
      </c>
      <c r="E7" s="55">
        <f>SUM(Table24[[#All],[Column10]])</f>
        <v>114</v>
      </c>
      <c r="F7" s="55">
        <f>SUM(Table245[[#All],[Column10]])</f>
        <v>132</v>
      </c>
      <c r="G7" s="55">
        <f>SUM(Table2456[[#All],[Column10]])</f>
        <v>88</v>
      </c>
      <c r="H7" s="55">
        <f>SUM(Table24567[[#All],[Column10]])</f>
        <v>32</v>
      </c>
      <c r="I7" s="56">
        <f>SUM(Table8[[Minggu 1]:[Minggu 5]])</f>
        <v>474</v>
      </c>
      <c r="J7" s="48"/>
      <c r="L7" s="45"/>
      <c r="M7" s="60"/>
      <c r="N7" s="65"/>
      <c r="O7" s="53" t="s">
        <v>2</v>
      </c>
      <c r="P7" s="53" t="s">
        <v>1</v>
      </c>
      <c r="Q7" s="53" t="s">
        <v>25</v>
      </c>
      <c r="R7" s="53" t="s">
        <v>57</v>
      </c>
      <c r="S7" s="53" t="s">
        <v>58</v>
      </c>
      <c r="T7" s="70"/>
      <c r="U7" s="45"/>
    </row>
    <row r="8" spans="2:21" ht="13.8" x14ac:dyDescent="0.25">
      <c r="B8" s="45"/>
      <c r="C8" s="46"/>
      <c r="D8" s="46"/>
      <c r="E8" s="46"/>
      <c r="F8" s="46"/>
      <c r="G8" s="46"/>
      <c r="H8" s="46"/>
      <c r="I8" s="46"/>
      <c r="J8" s="46"/>
      <c r="L8" s="45"/>
      <c r="M8" s="57" t="str">
        <f>'(Drop Down) Data Base '!B5</f>
        <v>20-401</v>
      </c>
      <c r="N8" s="57" t="str">
        <f>'(Drop Down) Data Base '!C5</f>
        <v>Projek 1</v>
      </c>
      <c r="O8" s="52">
        <f>SUMIFS('1st week'!$L$12:$L$60,'1st week'!$B$12:$B$60,Dashboard!M8,'1st week'!$D$12:$D$60,Dashboard!$O$7)+SUMIFS('2nd week'!$L$12:$L$60,'2nd week'!$B$12:$B$60,Dashboard!M8,'2nd week'!$D$12:$D$60,Dashboard!$O$7)+SUMIFS('3rd week'!$L$12:$L$60,'3rd week'!$B$12:$B$60,Dashboard!M8,'3rd week'!$D$12:$D$60,Dashboard!$O$7)+SUMIFS('4th week'!$L$12:$L$60,'4th week'!$B$12:$B$60,Dashboard!M8,'4th week'!$D$12:$D$60,Dashboard!$O$7)+SUMIFS('5th week'!$L$12:$L$60,'5th week'!$B$12:$B$60,Dashboard!M8,'5th week'!$D$12:$D$60,Dashboard!$O$7)</f>
        <v>130</v>
      </c>
      <c r="P8" s="52">
        <f>SUMIFS('1st week'!$L$12:$L$60,'1st week'!$B$12:$B$60,Dashboard!M8,'1st week'!$D$12:$D$60,Dashboard!$P$7)+SUMIFS('2nd week'!$L$12:$L$60,'2nd week'!$B$12:$B$60,Dashboard!M8,'2nd week'!$D$12:$D$60,Dashboard!$P$7)+SUMIFS('3rd week'!$L$12:$L$60,'3rd week'!$B$12:$B$60,Dashboard!M8,'3rd week'!$D$12:$D$60,Dashboard!$P$7)+SUMIFS('4th week'!$L$12:$L$60,'4th week'!$B$12:$B$60,Dashboard!M8,'4th week'!$D$12:$D$60,Dashboard!$P$7)+SUMIFS('5th week'!$L$12:$L$60,'5th week'!$B$12:$B$60,Dashboard!M8,'5th week'!$D$12:$D$60,Dashboard!$P$7)</f>
        <v>132</v>
      </c>
      <c r="Q8" s="52">
        <f>SUMIFS('1st week'!$L$12:$L$60,'1st week'!$B$12:$B$60,Dashboard!M8,'1st week'!$D$12:$D$60,Dashboard!$Q$7)+SUMIFS('2nd week'!$L$12:$L$60,'2nd week'!$B$12:$B$60,Dashboard!M8,'2nd week'!$D$12:$D$60,Dashboard!$Q$7)+SUMIFS('3rd week'!$L$12:$L$60,'3rd week'!$B$12:$B$60,Dashboard!M8,'3rd week'!$D$12:$D$60,Dashboard!$Q$7)+SUMIFS('4th week'!$L$12:$L$60,'4th week'!$B$12:$B$60,Dashboard!M8,'4th week'!$D$12:$D$60,Dashboard!$Q$7)+SUMIFS('5th week'!$L$12:$L$60,'5th week'!$B$12:$B$60,Dashboard!M8,'5th week'!$D$12:$D$60,Dashboard!$Q$7)</f>
        <v>0</v>
      </c>
      <c r="R8" s="52">
        <f>SUMIFS('1st week'!$L$12:$L$60,'1st week'!$B$12:$B$60,Dashboard!M8,'1st week'!$D$12:$D$60,Dashboard!$R$7)+SUMIFS('2nd week'!$L$12:$L$60,'2nd week'!$B$12:$B$60,Dashboard!M8,'2nd week'!$D$12:$D$60,Dashboard!$R$7)+SUMIFS('3rd week'!$L$12:$L$60,'3rd week'!$B$12:$B$60,Dashboard!M8,'3rd week'!$D$12:$D$60,Dashboard!$R$7)+SUMIFS('4th week'!$L$12:$L$60,'4th week'!$B$12:$B$60,Dashboard!M8,'4th week'!$D$12:$D$60,Dashboard!$R$7)+SUMIFS('5th week'!$L$12:$L$60,'5th week'!$B$12:$B$60,Dashboard!M8,'5th week'!$D$12:$D$60,Dashboard!$R$7)</f>
        <v>0</v>
      </c>
      <c r="S8" s="52">
        <f>SUMIFS('1st week'!$L$12:$L$60,'1st week'!$B$12:$B$60,Dashboard!M8,'1st week'!$D$12:$D$60,Dashboard!$S$7)+SUMIFS('2nd week'!$L$12:$L$60,'2nd week'!$B$12:$B$60,Dashboard!M8,'2nd week'!$D$12:$D$60,Dashboard!$S$7)+SUMIFS('3rd week'!$L$12:$L$60,'3rd week'!$B$12:$B$60,Dashboard!M8,'3rd week'!$D$12:$D$60,Dashboard!$S$7)+SUMIFS('4th week'!$L$12:$L$60,'4th week'!$B$12:$B$60,Dashboard!M8,'4th week'!$D$12:$D$60,Dashboard!$S$7)+SUMIFS('5th week'!$L$12:$L$60,'5th week'!$B$12:$B$60,Dashboard!M8,'5th week'!$D$12:$D$60,Dashboard!$S$7)</f>
        <v>0</v>
      </c>
      <c r="T8" s="58">
        <f>SUM(O8:S8)</f>
        <v>262</v>
      </c>
      <c r="U8" s="45"/>
    </row>
    <row r="9" spans="2:21" ht="13.8" x14ac:dyDescent="0.25">
      <c r="B9" s="45"/>
      <c r="C9" s="46"/>
      <c r="D9" s="46"/>
      <c r="E9" s="46"/>
      <c r="F9" s="46"/>
      <c r="G9" s="46"/>
      <c r="H9" s="46"/>
      <c r="I9" s="46"/>
      <c r="J9" s="46"/>
      <c r="L9" s="45"/>
      <c r="M9" s="57" t="str">
        <f>'(Drop Down) Data Base '!B6</f>
        <v>20-306</v>
      </c>
      <c r="N9" s="57" t="str">
        <f>'(Drop Down) Data Base '!C6</f>
        <v>Projek 2</v>
      </c>
      <c r="O9" s="52">
        <f>SUMIFS('1st week'!$L$12:$L$60,'1st week'!$B$12:$B$60,Dashboard!M9,'1st week'!$D$12:$D$60,Dashboard!$O$7)+SUMIFS('2nd week'!$L$12:$L$60,'2nd week'!$B$12:$B$60,Dashboard!M9,'2nd week'!$D$12:$D$60,Dashboard!$O$7)+SUMIFS('3rd week'!$L$12:$L$60,'3rd week'!$B$12:$B$60,Dashboard!M9,'3rd week'!$D$12:$D$60,Dashboard!$O$7)+SUMIFS('4th week'!$L$12:$L$60,'4th week'!$B$12:$B$60,Dashboard!M9,'4th week'!$D$12:$D$60,Dashboard!$O$7)+SUMIFS('5th week'!$L$12:$L$60,'5th week'!$B$12:$B$60,Dashboard!M9,'5th week'!$D$12:$D$60,Dashboard!$O$7)</f>
        <v>0</v>
      </c>
      <c r="P9" s="52">
        <f>SUMIFS('1st week'!$L$12:$L$60,'1st week'!$B$12:$B$60,Dashboard!M9,'1st week'!$D$12:$D$60,Dashboard!$P$7)+SUMIFS('2nd week'!$L$12:$L$60,'2nd week'!$B$12:$B$60,Dashboard!M9,'2nd week'!$D$12:$D$60,Dashboard!$P$7)+SUMIFS('3rd week'!$L$12:$L$60,'3rd week'!$B$12:$B$60,Dashboard!M9,'3rd week'!$D$12:$D$60,Dashboard!$P$7)+SUMIFS('4th week'!$L$12:$L$60,'4th week'!$B$12:$B$60,Dashboard!M9,'4th week'!$D$12:$D$60,Dashboard!$P$7)+SUMIFS('5th week'!$L$12:$L$60,'5th week'!$B$12:$B$60,Dashboard!M9,'5th week'!$D$12:$D$60,Dashboard!$P$7)</f>
        <v>0</v>
      </c>
      <c r="Q9" s="52">
        <f>SUMIFS('1st week'!$L$12:$L$60,'1st week'!$B$12:$B$60,Dashboard!M9,'1st week'!$D$12:$D$60,Dashboard!$Q$7)+SUMIFS('2nd week'!$L$12:$L$60,'2nd week'!$B$12:$B$60,Dashboard!M9,'2nd week'!$D$12:$D$60,Dashboard!$Q$7)+SUMIFS('3rd week'!$L$12:$L$60,'3rd week'!$B$12:$B$60,Dashboard!M9,'3rd week'!$D$12:$D$60,Dashboard!$Q$7)+SUMIFS('4th week'!$L$12:$L$60,'4th week'!$B$12:$B$60,Dashboard!M9,'4th week'!$D$12:$D$60,Dashboard!$Q$7)+SUMIFS('5th week'!$L$12:$L$60,'5th week'!$B$12:$B$60,Dashboard!M9,'5th week'!$D$12:$D$60,Dashboard!$Q$7)</f>
        <v>0</v>
      </c>
      <c r="R9" s="52">
        <f>SUMIFS('1st week'!$L$12:$L$60,'1st week'!$B$12:$B$60,Dashboard!M9,'1st week'!$D$12:$D$60,Dashboard!$R$7)+SUMIFS('2nd week'!$L$12:$L$60,'2nd week'!$B$12:$B$60,Dashboard!M9,'2nd week'!$D$12:$D$60,Dashboard!$R$7)+SUMIFS('3rd week'!$L$12:$L$60,'3rd week'!$B$12:$B$60,Dashboard!M9,'3rd week'!$D$12:$D$60,Dashboard!$R$7)+SUMIFS('4th week'!$L$12:$L$60,'4th week'!$B$12:$B$60,Dashboard!M9,'4th week'!$D$12:$D$60,Dashboard!$R$7)+SUMIFS('5th week'!$L$12:$L$60,'5th week'!$B$12:$B$60,Dashboard!M9,'5th week'!$D$12:$D$60,Dashboard!$R$7)</f>
        <v>0</v>
      </c>
      <c r="S9" s="52">
        <f>SUMIFS('1st week'!$L$12:$L$60,'1st week'!$B$12:$B$60,Dashboard!M9,'1st week'!$D$12:$D$60,Dashboard!$S$7)+SUMIFS('2nd week'!$L$12:$L$60,'2nd week'!$B$12:$B$60,Dashboard!M9,'2nd week'!$D$12:$D$60,Dashboard!$S$7)+SUMIFS('3rd week'!$L$12:$L$60,'3rd week'!$B$12:$B$60,Dashboard!M9,'3rd week'!$D$12:$D$60,Dashboard!$S$7)+SUMIFS('4th week'!$L$12:$L$60,'4th week'!$B$12:$B$60,Dashboard!M9,'4th week'!$D$12:$D$60,Dashboard!$S$7)+SUMIFS('5th week'!$L$12:$L$60,'5th week'!$B$12:$B$60,Dashboard!M9,'5th week'!$D$12:$D$60,Dashboard!$S$7)</f>
        <v>0</v>
      </c>
      <c r="T9" s="58">
        <f t="shared" ref="T9:T31" si="0">SUM(O9:S9)</f>
        <v>0</v>
      </c>
      <c r="U9" s="45"/>
    </row>
    <row r="10" spans="2:21" ht="13.8" x14ac:dyDescent="0.25">
      <c r="B10" s="45"/>
      <c r="C10" s="46"/>
      <c r="D10" s="46"/>
      <c r="E10" s="46"/>
      <c r="F10" s="46"/>
      <c r="G10" s="46"/>
      <c r="H10" s="46"/>
      <c r="I10" s="46"/>
      <c r="J10" s="46"/>
      <c r="L10" s="45"/>
      <c r="M10" s="57" t="str">
        <f>'(Drop Down) Data Base '!B7</f>
        <v>21-306</v>
      </c>
      <c r="N10" s="57" t="str">
        <f>'(Drop Down) Data Base '!C7</f>
        <v>Projek 3</v>
      </c>
      <c r="O10" s="52">
        <f>SUMIFS('1st week'!$L$12:$L$60,'1st week'!$B$12:$B$60,Dashboard!M10,'1st week'!$D$12:$D$60,Dashboard!$O$7)+SUMIFS('2nd week'!$L$12:$L$60,'2nd week'!$B$12:$B$60,Dashboard!M10,'2nd week'!$D$12:$D$60,Dashboard!$O$7)+SUMIFS('3rd week'!$L$12:$L$60,'3rd week'!$B$12:$B$60,Dashboard!M10,'3rd week'!$D$12:$D$60,Dashboard!$O$7)+SUMIFS('4th week'!$L$12:$L$60,'4th week'!$B$12:$B$60,Dashboard!M10,'4th week'!$D$12:$D$60,Dashboard!$O$7)+SUMIFS('5th week'!$L$12:$L$60,'5th week'!$B$12:$B$60,Dashboard!M10,'5th week'!$D$12:$D$60,Dashboard!$O$7)</f>
        <v>0</v>
      </c>
      <c r="P10" s="52">
        <f>SUMIFS('1st week'!$L$12:$L$60,'1st week'!$B$12:$B$60,Dashboard!M10,'1st week'!$D$12:$D$60,Dashboard!$P$7)+SUMIFS('2nd week'!$L$12:$L$60,'2nd week'!$B$12:$B$60,Dashboard!M10,'2nd week'!$D$12:$D$60,Dashboard!$P$7)+SUMIFS('3rd week'!$L$12:$L$60,'3rd week'!$B$12:$B$60,Dashboard!M10,'3rd week'!$D$12:$D$60,Dashboard!$P$7)+SUMIFS('4th week'!$L$12:$L$60,'4th week'!$B$12:$B$60,Dashboard!M10,'4th week'!$D$12:$D$60,Dashboard!$P$7)+SUMIFS('5th week'!$L$12:$L$60,'5th week'!$B$12:$B$60,Dashboard!M10,'5th week'!$D$12:$D$60,Dashboard!$P$7)</f>
        <v>0</v>
      </c>
      <c r="Q10" s="52">
        <f>SUMIFS('1st week'!$L$12:$L$60,'1st week'!$B$12:$B$60,Dashboard!M10,'1st week'!$D$12:$D$60,Dashboard!$Q$7)+SUMIFS('2nd week'!$L$12:$L$60,'2nd week'!$B$12:$B$60,Dashboard!M10,'2nd week'!$D$12:$D$60,Dashboard!$Q$7)+SUMIFS('3rd week'!$L$12:$L$60,'3rd week'!$B$12:$B$60,Dashboard!M10,'3rd week'!$D$12:$D$60,Dashboard!$Q$7)+SUMIFS('4th week'!$L$12:$L$60,'4th week'!$B$12:$B$60,Dashboard!M10,'4th week'!$D$12:$D$60,Dashboard!$Q$7)+SUMIFS('5th week'!$L$12:$L$60,'5th week'!$B$12:$B$60,Dashboard!M10,'5th week'!$D$12:$D$60,Dashboard!$Q$7)</f>
        <v>0</v>
      </c>
      <c r="R10" s="52">
        <f>SUMIFS('1st week'!$L$12:$L$60,'1st week'!$B$12:$B$60,Dashboard!M10,'1st week'!$D$12:$D$60,Dashboard!$R$7)+SUMIFS('2nd week'!$L$12:$L$60,'2nd week'!$B$12:$B$60,Dashboard!M10,'2nd week'!$D$12:$D$60,Dashboard!$R$7)+SUMIFS('3rd week'!$L$12:$L$60,'3rd week'!$B$12:$B$60,Dashboard!M10,'3rd week'!$D$12:$D$60,Dashboard!$R$7)+SUMIFS('4th week'!$L$12:$L$60,'4th week'!$B$12:$B$60,Dashboard!M10,'4th week'!$D$12:$D$60,Dashboard!$R$7)+SUMIFS('5th week'!$L$12:$L$60,'5th week'!$B$12:$B$60,Dashboard!M10,'5th week'!$D$12:$D$60,Dashboard!$R$7)</f>
        <v>0</v>
      </c>
      <c r="S10" s="52">
        <f>SUMIFS('1st week'!$L$12:$L$60,'1st week'!$B$12:$B$60,Dashboard!M10,'1st week'!$D$12:$D$60,Dashboard!$S$7)+SUMIFS('2nd week'!$L$12:$L$60,'2nd week'!$B$12:$B$60,Dashboard!M10,'2nd week'!$D$12:$D$60,Dashboard!$S$7)+SUMIFS('3rd week'!$L$12:$L$60,'3rd week'!$B$12:$B$60,Dashboard!M10,'3rd week'!$D$12:$D$60,Dashboard!$S$7)+SUMIFS('4th week'!$L$12:$L$60,'4th week'!$B$12:$B$60,Dashboard!M10,'4th week'!$D$12:$D$60,Dashboard!$S$7)+SUMIFS('5th week'!$L$12:$L$60,'5th week'!$B$12:$B$60,Dashboard!M10,'5th week'!$D$12:$D$60,Dashboard!$S$7)</f>
        <v>0</v>
      </c>
      <c r="T10" s="58">
        <f t="shared" si="0"/>
        <v>0</v>
      </c>
      <c r="U10" s="45"/>
    </row>
    <row r="11" spans="2:21" ht="13.8" x14ac:dyDescent="0.25">
      <c r="B11" s="45"/>
      <c r="C11" s="46"/>
      <c r="D11" s="46"/>
      <c r="E11" s="46"/>
      <c r="F11" s="46"/>
      <c r="G11" s="46"/>
      <c r="H11" s="46"/>
      <c r="I11" s="46"/>
      <c r="J11" s="46"/>
      <c r="L11" s="45"/>
      <c r="M11" s="57" t="str">
        <f>'(Drop Down) Data Base '!B8</f>
        <v>20-407</v>
      </c>
      <c r="N11" s="57" t="str">
        <f>'(Drop Down) Data Base '!C8</f>
        <v>Projek 4</v>
      </c>
      <c r="O11" s="52">
        <f>SUMIFS('1st week'!$L$12:$L$60,'1st week'!$B$12:$B$60,Dashboard!M11,'1st week'!$D$12:$D$60,Dashboard!$O$7)+SUMIFS('2nd week'!$L$12:$L$60,'2nd week'!$B$12:$B$60,Dashboard!M11,'2nd week'!$D$12:$D$60,Dashboard!$O$7)+SUMIFS('3rd week'!$L$12:$L$60,'3rd week'!$B$12:$B$60,Dashboard!M11,'3rd week'!$D$12:$D$60,Dashboard!$O$7)+SUMIFS('4th week'!$L$12:$L$60,'4th week'!$B$12:$B$60,Dashboard!M11,'4th week'!$D$12:$D$60,Dashboard!$O$7)+SUMIFS('5th week'!$L$12:$L$60,'5th week'!$B$12:$B$60,Dashboard!M11,'5th week'!$D$12:$D$60,Dashboard!$O$7)</f>
        <v>0</v>
      </c>
      <c r="P11" s="52">
        <f>SUMIFS('1st week'!$L$12:$L$60,'1st week'!$B$12:$B$60,Dashboard!M11,'1st week'!$D$12:$D$60,Dashboard!$P$7)+SUMIFS('2nd week'!$L$12:$L$60,'2nd week'!$B$12:$B$60,Dashboard!M11,'2nd week'!$D$12:$D$60,Dashboard!$P$7)+SUMIFS('3rd week'!$L$12:$L$60,'3rd week'!$B$12:$B$60,Dashboard!M11,'3rd week'!$D$12:$D$60,Dashboard!$P$7)+SUMIFS('4th week'!$L$12:$L$60,'4th week'!$B$12:$B$60,Dashboard!M11,'4th week'!$D$12:$D$60,Dashboard!$P$7)+SUMIFS('5th week'!$L$12:$L$60,'5th week'!$B$12:$B$60,Dashboard!M11,'5th week'!$D$12:$D$60,Dashboard!$P$7)</f>
        <v>0</v>
      </c>
      <c r="Q11" s="52">
        <f>SUMIFS('1st week'!$L$12:$L$60,'1st week'!$B$12:$B$60,Dashboard!M11,'1st week'!$D$12:$D$60,Dashboard!$Q$7)+SUMIFS('2nd week'!$L$12:$L$60,'2nd week'!$B$12:$B$60,Dashboard!M11,'2nd week'!$D$12:$D$60,Dashboard!$Q$7)+SUMIFS('3rd week'!$L$12:$L$60,'3rd week'!$B$12:$B$60,Dashboard!M11,'3rd week'!$D$12:$D$60,Dashboard!$Q$7)+SUMIFS('4th week'!$L$12:$L$60,'4th week'!$B$12:$B$60,Dashboard!M11,'4th week'!$D$12:$D$60,Dashboard!$Q$7)+SUMIFS('5th week'!$L$12:$L$60,'5th week'!$B$12:$B$60,Dashboard!M11,'5th week'!$D$12:$D$60,Dashboard!$Q$7)</f>
        <v>0</v>
      </c>
      <c r="R11" s="52">
        <f>SUMIFS('1st week'!$L$12:$L$60,'1st week'!$B$12:$B$60,Dashboard!M11,'1st week'!$D$12:$D$60,Dashboard!$R$7)+SUMIFS('2nd week'!$L$12:$L$60,'2nd week'!$B$12:$B$60,Dashboard!M11,'2nd week'!$D$12:$D$60,Dashboard!$R$7)+SUMIFS('3rd week'!$L$12:$L$60,'3rd week'!$B$12:$B$60,Dashboard!M11,'3rd week'!$D$12:$D$60,Dashboard!$R$7)+SUMIFS('4th week'!$L$12:$L$60,'4th week'!$B$12:$B$60,Dashboard!M11,'4th week'!$D$12:$D$60,Dashboard!$R$7)+SUMIFS('5th week'!$L$12:$L$60,'5th week'!$B$12:$B$60,Dashboard!M11,'5th week'!$D$12:$D$60,Dashboard!$R$7)</f>
        <v>0</v>
      </c>
      <c r="S11" s="52">
        <f>SUMIFS('1st week'!$L$12:$L$60,'1st week'!$B$12:$B$60,Dashboard!M11,'1st week'!$D$12:$D$60,Dashboard!$S$7)+SUMIFS('2nd week'!$L$12:$L$60,'2nd week'!$B$12:$B$60,Dashboard!M11,'2nd week'!$D$12:$D$60,Dashboard!$S$7)+SUMIFS('3rd week'!$L$12:$L$60,'3rd week'!$B$12:$B$60,Dashboard!M11,'3rd week'!$D$12:$D$60,Dashboard!$S$7)+SUMIFS('4th week'!$L$12:$L$60,'4th week'!$B$12:$B$60,Dashboard!M11,'4th week'!$D$12:$D$60,Dashboard!$S$7)+SUMIFS('5th week'!$L$12:$L$60,'5th week'!$B$12:$B$60,Dashboard!M11,'5th week'!$D$12:$D$60,Dashboard!$S$7)</f>
        <v>0</v>
      </c>
      <c r="T11" s="58">
        <f t="shared" si="0"/>
        <v>0</v>
      </c>
      <c r="U11" s="45"/>
    </row>
    <row r="12" spans="2:21" ht="13.8" x14ac:dyDescent="0.25">
      <c r="B12" s="45"/>
      <c r="C12" s="46"/>
      <c r="D12" s="46"/>
      <c r="E12" s="46"/>
      <c r="F12" s="46"/>
      <c r="G12" s="46"/>
      <c r="H12" s="46"/>
      <c r="I12" s="46"/>
      <c r="J12" s="46"/>
      <c r="L12" s="45"/>
      <c r="M12" s="57" t="str">
        <f>'(Drop Down) Data Base '!B9</f>
        <v>21-102</v>
      </c>
      <c r="N12" s="57" t="str">
        <f>'(Drop Down) Data Base '!C9</f>
        <v>Projek 5</v>
      </c>
      <c r="O12" s="52">
        <f>SUMIFS('1st week'!$L$12:$L$60,'1st week'!$B$12:$B$60,Dashboard!M12,'1st week'!$D$12:$D$60,Dashboard!$O$7)+SUMIFS('2nd week'!$L$12:$L$60,'2nd week'!$B$12:$B$60,Dashboard!M12,'2nd week'!$D$12:$D$60,Dashboard!$O$7)+SUMIFS('3rd week'!$L$12:$L$60,'3rd week'!$B$12:$B$60,Dashboard!M12,'3rd week'!$D$12:$D$60,Dashboard!$O$7)+SUMIFS('4th week'!$L$12:$L$60,'4th week'!$B$12:$B$60,Dashboard!M12,'4th week'!$D$12:$D$60,Dashboard!$O$7)+SUMIFS('5th week'!$L$12:$L$60,'5th week'!$B$12:$B$60,Dashboard!M12,'5th week'!$D$12:$D$60,Dashboard!$O$7)</f>
        <v>0</v>
      </c>
      <c r="P12" s="52">
        <f>SUMIFS('1st week'!$L$12:$L$60,'1st week'!$B$12:$B$60,Dashboard!M12,'1st week'!$D$12:$D$60,Dashboard!$P$7)+SUMIFS('2nd week'!$L$12:$L$60,'2nd week'!$B$12:$B$60,Dashboard!M12,'2nd week'!$D$12:$D$60,Dashboard!$P$7)+SUMIFS('3rd week'!$L$12:$L$60,'3rd week'!$B$12:$B$60,Dashboard!M12,'3rd week'!$D$12:$D$60,Dashboard!$P$7)+SUMIFS('4th week'!$L$12:$L$60,'4th week'!$B$12:$B$60,Dashboard!M12,'4th week'!$D$12:$D$60,Dashboard!$P$7)+SUMIFS('5th week'!$L$12:$L$60,'5th week'!$B$12:$B$60,Dashboard!M12,'5th week'!$D$12:$D$60,Dashboard!$P$7)</f>
        <v>0</v>
      </c>
      <c r="Q12" s="52">
        <f>SUMIFS('1st week'!$L$12:$L$60,'1st week'!$B$12:$B$60,Dashboard!M12,'1st week'!$D$12:$D$60,Dashboard!$Q$7)+SUMIFS('2nd week'!$L$12:$L$60,'2nd week'!$B$12:$B$60,Dashboard!M12,'2nd week'!$D$12:$D$60,Dashboard!$Q$7)+SUMIFS('3rd week'!$L$12:$L$60,'3rd week'!$B$12:$B$60,Dashboard!M12,'3rd week'!$D$12:$D$60,Dashboard!$Q$7)+SUMIFS('4th week'!$L$12:$L$60,'4th week'!$B$12:$B$60,Dashboard!M12,'4th week'!$D$12:$D$60,Dashboard!$Q$7)+SUMIFS('5th week'!$L$12:$L$60,'5th week'!$B$12:$B$60,Dashboard!M12,'5th week'!$D$12:$D$60,Dashboard!$Q$7)</f>
        <v>0</v>
      </c>
      <c r="R12" s="52">
        <f>SUMIFS('1st week'!$L$12:$L$60,'1st week'!$B$12:$B$60,Dashboard!M12,'1st week'!$D$12:$D$60,Dashboard!$R$7)+SUMIFS('2nd week'!$L$12:$L$60,'2nd week'!$B$12:$B$60,Dashboard!M12,'2nd week'!$D$12:$D$60,Dashboard!$R$7)+SUMIFS('3rd week'!$L$12:$L$60,'3rd week'!$B$12:$B$60,Dashboard!M12,'3rd week'!$D$12:$D$60,Dashboard!$R$7)+SUMIFS('4th week'!$L$12:$L$60,'4th week'!$B$12:$B$60,Dashboard!M12,'4th week'!$D$12:$D$60,Dashboard!$R$7)+SUMIFS('5th week'!$L$12:$L$60,'5th week'!$B$12:$B$60,Dashboard!M12,'5th week'!$D$12:$D$60,Dashboard!$R$7)</f>
        <v>0</v>
      </c>
      <c r="S12" s="52">
        <f>SUMIFS('1st week'!$L$12:$L$60,'1st week'!$B$12:$B$60,Dashboard!M12,'1st week'!$D$12:$D$60,Dashboard!$S$7)+SUMIFS('2nd week'!$L$12:$L$60,'2nd week'!$B$12:$B$60,Dashboard!M12,'2nd week'!$D$12:$D$60,Dashboard!$S$7)+SUMIFS('3rd week'!$L$12:$L$60,'3rd week'!$B$12:$B$60,Dashboard!M12,'3rd week'!$D$12:$D$60,Dashboard!$S$7)+SUMIFS('4th week'!$L$12:$L$60,'4th week'!$B$12:$B$60,Dashboard!M12,'4th week'!$D$12:$D$60,Dashboard!$S$7)+SUMIFS('5th week'!$L$12:$L$60,'5th week'!$B$12:$B$60,Dashboard!M12,'5th week'!$D$12:$D$60,Dashboard!$S$7)</f>
        <v>0</v>
      </c>
      <c r="T12" s="58">
        <f t="shared" si="0"/>
        <v>0</v>
      </c>
      <c r="U12" s="45"/>
    </row>
    <row r="13" spans="2:21" ht="13.8" x14ac:dyDescent="0.25">
      <c r="B13" s="45"/>
      <c r="C13" s="46"/>
      <c r="D13" s="46"/>
      <c r="E13" s="46"/>
      <c r="F13" s="46"/>
      <c r="G13" s="46"/>
      <c r="H13" s="46"/>
      <c r="I13" s="46"/>
      <c r="J13" s="46"/>
      <c r="L13" s="45"/>
      <c r="M13" s="57" t="str">
        <f>'(Drop Down) Data Base '!B10</f>
        <v>20-303</v>
      </c>
      <c r="N13" s="57" t="str">
        <f>'(Drop Down) Data Base '!C10</f>
        <v>Projek 6</v>
      </c>
      <c r="O13" s="52">
        <f>SUMIFS('1st week'!$L$12:$L$60,'1st week'!$B$12:$B$60,Dashboard!M13,'1st week'!$D$12:$D$60,Dashboard!$O$7)+SUMIFS('2nd week'!$L$12:$L$60,'2nd week'!$B$12:$B$60,Dashboard!M13,'2nd week'!$D$12:$D$60,Dashboard!$O$7)+SUMIFS('3rd week'!$L$12:$L$60,'3rd week'!$B$12:$B$60,Dashboard!M13,'3rd week'!$D$12:$D$60,Dashboard!$O$7)+SUMIFS('4th week'!$L$12:$L$60,'4th week'!$B$12:$B$60,Dashboard!M13,'4th week'!$D$12:$D$60,Dashboard!$O$7)+SUMIFS('5th week'!$L$12:$L$60,'5th week'!$B$12:$B$60,Dashboard!M13,'5th week'!$D$12:$D$60,Dashboard!$O$7)</f>
        <v>0</v>
      </c>
      <c r="P13" s="52">
        <f>SUMIFS('1st week'!$L$12:$L$60,'1st week'!$B$12:$B$60,Dashboard!M13,'1st week'!$D$12:$D$60,Dashboard!$P$7)+SUMIFS('2nd week'!$L$12:$L$60,'2nd week'!$B$12:$B$60,Dashboard!M13,'2nd week'!$D$12:$D$60,Dashboard!$P$7)+SUMIFS('3rd week'!$L$12:$L$60,'3rd week'!$B$12:$B$60,Dashboard!M13,'3rd week'!$D$12:$D$60,Dashboard!$P$7)+SUMIFS('4th week'!$L$12:$L$60,'4th week'!$B$12:$B$60,Dashboard!M13,'4th week'!$D$12:$D$60,Dashboard!$P$7)+SUMIFS('5th week'!$L$12:$L$60,'5th week'!$B$12:$B$60,Dashboard!M13,'5th week'!$D$12:$D$60,Dashboard!$P$7)</f>
        <v>182</v>
      </c>
      <c r="Q13" s="52">
        <f>SUMIFS('1st week'!$L$12:$L$60,'1st week'!$B$12:$B$60,Dashboard!M13,'1st week'!$D$12:$D$60,Dashboard!$Q$7)+SUMIFS('2nd week'!$L$12:$L$60,'2nd week'!$B$12:$B$60,Dashboard!M13,'2nd week'!$D$12:$D$60,Dashboard!$Q$7)+SUMIFS('3rd week'!$L$12:$L$60,'3rd week'!$B$12:$B$60,Dashboard!M13,'3rd week'!$D$12:$D$60,Dashboard!$Q$7)+SUMIFS('4th week'!$L$12:$L$60,'4th week'!$B$12:$B$60,Dashboard!M13,'4th week'!$D$12:$D$60,Dashboard!$Q$7)+SUMIFS('5th week'!$L$12:$L$60,'5th week'!$B$12:$B$60,Dashboard!M13,'5th week'!$D$12:$D$60,Dashboard!$Q$7)</f>
        <v>0</v>
      </c>
      <c r="R13" s="52">
        <f>SUMIFS('1st week'!$L$12:$L$60,'1st week'!$B$12:$B$60,Dashboard!M13,'1st week'!$D$12:$D$60,Dashboard!$R$7)+SUMIFS('2nd week'!$L$12:$L$60,'2nd week'!$B$12:$B$60,Dashboard!M13,'2nd week'!$D$12:$D$60,Dashboard!$R$7)+SUMIFS('3rd week'!$L$12:$L$60,'3rd week'!$B$12:$B$60,Dashboard!M13,'3rd week'!$D$12:$D$60,Dashboard!$R$7)+SUMIFS('4th week'!$L$12:$L$60,'4th week'!$B$12:$B$60,Dashboard!M13,'4th week'!$D$12:$D$60,Dashboard!$R$7)+SUMIFS('5th week'!$L$12:$L$60,'5th week'!$B$12:$B$60,Dashboard!M13,'5th week'!$D$12:$D$60,Dashboard!$R$7)</f>
        <v>0</v>
      </c>
      <c r="S13" s="52">
        <f>SUMIFS('1st week'!$L$12:$L$60,'1st week'!$B$12:$B$60,Dashboard!M13,'1st week'!$D$12:$D$60,Dashboard!$S$7)+SUMIFS('2nd week'!$L$12:$L$60,'2nd week'!$B$12:$B$60,Dashboard!M13,'2nd week'!$D$12:$D$60,Dashboard!$S$7)+SUMIFS('3rd week'!$L$12:$L$60,'3rd week'!$B$12:$B$60,Dashboard!M13,'3rd week'!$D$12:$D$60,Dashboard!$S$7)+SUMIFS('4th week'!$L$12:$L$60,'4th week'!$B$12:$B$60,Dashboard!M13,'4th week'!$D$12:$D$60,Dashboard!$S$7)+SUMIFS('5th week'!$L$12:$L$60,'5th week'!$B$12:$B$60,Dashboard!M13,'5th week'!$D$12:$D$60,Dashboard!$S$7)</f>
        <v>0</v>
      </c>
      <c r="T13" s="58">
        <f t="shared" si="0"/>
        <v>182</v>
      </c>
      <c r="U13" s="45"/>
    </row>
    <row r="14" spans="2:21" ht="13.8" x14ac:dyDescent="0.25">
      <c r="B14" s="45"/>
      <c r="C14" s="46"/>
      <c r="D14" s="46"/>
      <c r="E14" s="46"/>
      <c r="F14" s="46"/>
      <c r="G14" s="46"/>
      <c r="H14" s="46"/>
      <c r="I14" s="46"/>
      <c r="J14" s="46"/>
      <c r="L14" s="45"/>
      <c r="M14" s="57" t="str">
        <f>'(Drop Down) Data Base '!B11</f>
        <v>20-111</v>
      </c>
      <c r="N14" s="57" t="str">
        <f>'(Drop Down) Data Base '!C11</f>
        <v>Projek 7</v>
      </c>
      <c r="O14" s="52">
        <f>SUMIFS('1st week'!$L$12:$L$60,'1st week'!$B$12:$B$60,Dashboard!M14,'1st week'!$D$12:$D$60,Dashboard!$O$7)+SUMIFS('2nd week'!$L$12:$L$60,'2nd week'!$B$12:$B$60,Dashboard!M14,'2nd week'!$D$12:$D$60,Dashboard!$O$7)+SUMIFS('3rd week'!$L$12:$L$60,'3rd week'!$B$12:$B$60,Dashboard!M14,'3rd week'!$D$12:$D$60,Dashboard!$O$7)+SUMIFS('4th week'!$L$12:$L$60,'4th week'!$B$12:$B$60,Dashboard!M14,'4th week'!$D$12:$D$60,Dashboard!$O$7)+SUMIFS('5th week'!$L$12:$L$60,'5th week'!$B$12:$B$60,Dashboard!M14,'5th week'!$D$12:$D$60,Dashboard!$O$7)</f>
        <v>0</v>
      </c>
      <c r="P14" s="52">
        <f>SUMIFS('1st week'!$L$12:$L$60,'1st week'!$B$12:$B$60,Dashboard!M14,'1st week'!$D$12:$D$60,Dashboard!$P$7)+SUMIFS('2nd week'!$L$12:$L$60,'2nd week'!$B$12:$B$60,Dashboard!M14,'2nd week'!$D$12:$D$60,Dashboard!$P$7)+SUMIFS('3rd week'!$L$12:$L$60,'3rd week'!$B$12:$B$60,Dashboard!M14,'3rd week'!$D$12:$D$60,Dashboard!$P$7)+SUMIFS('4th week'!$L$12:$L$60,'4th week'!$B$12:$B$60,Dashboard!M14,'4th week'!$D$12:$D$60,Dashboard!$P$7)+SUMIFS('5th week'!$L$12:$L$60,'5th week'!$B$12:$B$60,Dashboard!M14,'5th week'!$D$12:$D$60,Dashboard!$P$7)</f>
        <v>0</v>
      </c>
      <c r="Q14" s="52">
        <f>SUMIFS('1st week'!$L$12:$L$60,'1st week'!$B$12:$B$60,Dashboard!M14,'1st week'!$D$12:$D$60,Dashboard!$Q$7)+SUMIFS('2nd week'!$L$12:$L$60,'2nd week'!$B$12:$B$60,Dashboard!M14,'2nd week'!$D$12:$D$60,Dashboard!$Q$7)+SUMIFS('3rd week'!$L$12:$L$60,'3rd week'!$B$12:$B$60,Dashboard!M14,'3rd week'!$D$12:$D$60,Dashboard!$Q$7)+SUMIFS('4th week'!$L$12:$L$60,'4th week'!$B$12:$B$60,Dashboard!M14,'4th week'!$D$12:$D$60,Dashboard!$Q$7)+SUMIFS('5th week'!$L$12:$L$60,'5th week'!$B$12:$B$60,Dashboard!M14,'5th week'!$D$12:$D$60,Dashboard!$Q$7)</f>
        <v>0</v>
      </c>
      <c r="R14" s="52">
        <f>SUMIFS('1st week'!$L$12:$L$60,'1st week'!$B$12:$B$60,Dashboard!M14,'1st week'!$D$12:$D$60,Dashboard!$R$7)+SUMIFS('2nd week'!$L$12:$L$60,'2nd week'!$B$12:$B$60,Dashboard!M14,'2nd week'!$D$12:$D$60,Dashboard!$R$7)+SUMIFS('3rd week'!$L$12:$L$60,'3rd week'!$B$12:$B$60,Dashboard!M14,'3rd week'!$D$12:$D$60,Dashboard!$R$7)+SUMIFS('4th week'!$L$12:$L$60,'4th week'!$B$12:$B$60,Dashboard!M14,'4th week'!$D$12:$D$60,Dashboard!$R$7)+SUMIFS('5th week'!$L$12:$L$60,'5th week'!$B$12:$B$60,Dashboard!M14,'5th week'!$D$12:$D$60,Dashboard!$R$7)</f>
        <v>0</v>
      </c>
      <c r="S14" s="52">
        <f>SUMIFS('1st week'!$L$12:$L$60,'1st week'!$B$12:$B$60,Dashboard!M14,'1st week'!$D$12:$D$60,Dashboard!$S$7)+SUMIFS('2nd week'!$L$12:$L$60,'2nd week'!$B$12:$B$60,Dashboard!M14,'2nd week'!$D$12:$D$60,Dashboard!$S$7)+SUMIFS('3rd week'!$L$12:$L$60,'3rd week'!$B$12:$B$60,Dashboard!M14,'3rd week'!$D$12:$D$60,Dashboard!$S$7)+SUMIFS('4th week'!$L$12:$L$60,'4th week'!$B$12:$B$60,Dashboard!M14,'4th week'!$D$12:$D$60,Dashboard!$S$7)+SUMIFS('5th week'!$L$12:$L$60,'5th week'!$B$12:$B$60,Dashboard!M14,'5th week'!$D$12:$D$60,Dashboard!$S$7)</f>
        <v>0</v>
      </c>
      <c r="T14" s="58">
        <f t="shared" si="0"/>
        <v>0</v>
      </c>
      <c r="U14" s="45"/>
    </row>
    <row r="15" spans="2:21" ht="13.8" x14ac:dyDescent="0.25">
      <c r="B15" s="45"/>
      <c r="C15" s="46"/>
      <c r="D15" s="46"/>
      <c r="E15" s="46"/>
      <c r="F15" s="46"/>
      <c r="G15" s="46"/>
      <c r="H15" s="46"/>
      <c r="I15" s="46"/>
      <c r="J15" s="46"/>
      <c r="L15" s="45"/>
      <c r="M15" s="57" t="str">
        <f>'(Drop Down) Data Base '!B12</f>
        <v>20-202</v>
      </c>
      <c r="N15" s="57" t="str">
        <f>'(Drop Down) Data Base '!C12</f>
        <v>Projek 8</v>
      </c>
      <c r="O15" s="52">
        <f>SUMIFS('1st week'!$L$12:$L$60,'1st week'!$B$12:$B$60,Dashboard!M15,'1st week'!$D$12:$D$60,Dashboard!$O$7)+SUMIFS('2nd week'!$L$12:$L$60,'2nd week'!$B$12:$B$60,Dashboard!M15,'2nd week'!$D$12:$D$60,Dashboard!$O$7)+SUMIFS('3rd week'!$L$12:$L$60,'3rd week'!$B$12:$B$60,Dashboard!M15,'3rd week'!$D$12:$D$60,Dashboard!$O$7)+SUMIFS('4th week'!$L$12:$L$60,'4th week'!$B$12:$B$60,Dashboard!M15,'4th week'!$D$12:$D$60,Dashboard!$O$7)+SUMIFS('5th week'!$L$12:$L$60,'5th week'!$B$12:$B$60,Dashboard!M15,'5th week'!$D$12:$D$60,Dashboard!$O$7)</f>
        <v>0</v>
      </c>
      <c r="P15" s="52">
        <f>SUMIFS('1st week'!$L$12:$L$60,'1st week'!$B$12:$B$60,Dashboard!M15,'1st week'!$D$12:$D$60,Dashboard!$P$7)+SUMIFS('2nd week'!$L$12:$L$60,'2nd week'!$B$12:$B$60,Dashboard!M15,'2nd week'!$D$12:$D$60,Dashboard!$P$7)+SUMIFS('3rd week'!$L$12:$L$60,'3rd week'!$B$12:$B$60,Dashboard!M15,'3rd week'!$D$12:$D$60,Dashboard!$P$7)+SUMIFS('4th week'!$L$12:$L$60,'4th week'!$B$12:$B$60,Dashboard!M15,'4th week'!$D$12:$D$60,Dashboard!$P$7)+SUMIFS('5th week'!$L$12:$L$60,'5th week'!$B$12:$B$60,Dashboard!M15,'5th week'!$D$12:$D$60,Dashboard!$P$7)</f>
        <v>0</v>
      </c>
      <c r="Q15" s="52">
        <f>SUMIFS('1st week'!$L$12:$L$60,'1st week'!$B$12:$B$60,Dashboard!M15,'1st week'!$D$12:$D$60,Dashboard!$Q$7)+SUMIFS('2nd week'!$L$12:$L$60,'2nd week'!$B$12:$B$60,Dashboard!M15,'2nd week'!$D$12:$D$60,Dashboard!$Q$7)+SUMIFS('3rd week'!$L$12:$L$60,'3rd week'!$B$12:$B$60,Dashboard!M15,'3rd week'!$D$12:$D$60,Dashboard!$Q$7)+SUMIFS('4th week'!$L$12:$L$60,'4th week'!$B$12:$B$60,Dashboard!M15,'4th week'!$D$12:$D$60,Dashboard!$Q$7)+SUMIFS('5th week'!$L$12:$L$60,'5th week'!$B$12:$B$60,Dashboard!M15,'5th week'!$D$12:$D$60,Dashboard!$Q$7)</f>
        <v>0</v>
      </c>
      <c r="R15" s="52">
        <f>SUMIFS('1st week'!$L$12:$L$60,'1st week'!$B$12:$B$60,Dashboard!M15,'1st week'!$D$12:$D$60,Dashboard!$R$7)+SUMIFS('2nd week'!$L$12:$L$60,'2nd week'!$B$12:$B$60,Dashboard!M15,'2nd week'!$D$12:$D$60,Dashboard!$R$7)+SUMIFS('3rd week'!$L$12:$L$60,'3rd week'!$B$12:$B$60,Dashboard!M15,'3rd week'!$D$12:$D$60,Dashboard!$R$7)+SUMIFS('4th week'!$L$12:$L$60,'4th week'!$B$12:$B$60,Dashboard!M15,'4th week'!$D$12:$D$60,Dashboard!$R$7)+SUMIFS('5th week'!$L$12:$L$60,'5th week'!$B$12:$B$60,Dashboard!M15,'5th week'!$D$12:$D$60,Dashboard!$R$7)</f>
        <v>0</v>
      </c>
      <c r="S15" s="52">
        <f>SUMIFS('1st week'!$L$12:$L$60,'1st week'!$B$12:$B$60,Dashboard!M15,'1st week'!$D$12:$D$60,Dashboard!$S$7)+SUMIFS('2nd week'!$L$12:$L$60,'2nd week'!$B$12:$B$60,Dashboard!M15,'2nd week'!$D$12:$D$60,Dashboard!$S$7)+SUMIFS('3rd week'!$L$12:$L$60,'3rd week'!$B$12:$B$60,Dashboard!M15,'3rd week'!$D$12:$D$60,Dashboard!$S$7)+SUMIFS('4th week'!$L$12:$L$60,'4th week'!$B$12:$B$60,Dashboard!M15,'4th week'!$D$12:$D$60,Dashboard!$S$7)+SUMIFS('5th week'!$L$12:$L$60,'5th week'!$B$12:$B$60,Dashboard!M15,'5th week'!$D$12:$D$60,Dashboard!$S$7)</f>
        <v>0</v>
      </c>
      <c r="T15" s="58">
        <f t="shared" si="0"/>
        <v>0</v>
      </c>
      <c r="U15" s="45"/>
    </row>
    <row r="16" spans="2:21" ht="13.8" x14ac:dyDescent="0.25">
      <c r="B16" s="45"/>
      <c r="C16" s="46"/>
      <c r="D16" s="46"/>
      <c r="E16" s="46"/>
      <c r="F16" s="46"/>
      <c r="G16" s="46"/>
      <c r="H16" s="46"/>
      <c r="I16" s="46"/>
      <c r="J16" s="46"/>
      <c r="L16" s="45"/>
      <c r="M16" s="57" t="str">
        <f>'(Drop Down) Data Base '!B13</f>
        <v>19-204</v>
      </c>
      <c r="N16" s="57" t="str">
        <f>'(Drop Down) Data Base '!C13</f>
        <v>Projek 9</v>
      </c>
      <c r="O16" s="52">
        <f>SUMIFS('1st week'!$L$12:$L$60,'1st week'!$B$12:$B$60,Dashboard!M16,'1st week'!$D$12:$D$60,Dashboard!$O$7)+SUMIFS('2nd week'!$L$12:$L$60,'2nd week'!$B$12:$B$60,Dashboard!M16,'2nd week'!$D$12:$D$60,Dashboard!$O$7)+SUMIFS('3rd week'!$L$12:$L$60,'3rd week'!$B$12:$B$60,Dashboard!M16,'3rd week'!$D$12:$D$60,Dashboard!$O$7)+SUMIFS('4th week'!$L$12:$L$60,'4th week'!$B$12:$B$60,Dashboard!M16,'4th week'!$D$12:$D$60,Dashboard!$O$7)+SUMIFS('5th week'!$L$12:$L$60,'5th week'!$B$12:$B$60,Dashboard!M16,'5th week'!$D$12:$D$60,Dashboard!$O$7)</f>
        <v>0</v>
      </c>
      <c r="P16" s="52">
        <f>SUMIFS('1st week'!$L$12:$L$60,'1st week'!$B$12:$B$60,Dashboard!M16,'1st week'!$D$12:$D$60,Dashboard!$P$7)+SUMIFS('2nd week'!$L$12:$L$60,'2nd week'!$B$12:$B$60,Dashboard!M16,'2nd week'!$D$12:$D$60,Dashboard!$P$7)+SUMIFS('3rd week'!$L$12:$L$60,'3rd week'!$B$12:$B$60,Dashboard!M16,'3rd week'!$D$12:$D$60,Dashboard!$P$7)+SUMIFS('4th week'!$L$12:$L$60,'4th week'!$B$12:$B$60,Dashboard!M16,'4th week'!$D$12:$D$60,Dashboard!$P$7)+SUMIFS('5th week'!$L$12:$L$60,'5th week'!$B$12:$B$60,Dashboard!M16,'5th week'!$D$12:$D$60,Dashboard!$P$7)</f>
        <v>0</v>
      </c>
      <c r="Q16" s="52">
        <f>SUMIFS('1st week'!$L$12:$L$60,'1st week'!$B$12:$B$60,Dashboard!M16,'1st week'!$D$12:$D$60,Dashboard!$Q$7)+SUMIFS('2nd week'!$L$12:$L$60,'2nd week'!$B$12:$B$60,Dashboard!M16,'2nd week'!$D$12:$D$60,Dashboard!$Q$7)+SUMIFS('3rd week'!$L$12:$L$60,'3rd week'!$B$12:$B$60,Dashboard!M16,'3rd week'!$D$12:$D$60,Dashboard!$Q$7)+SUMIFS('4th week'!$L$12:$L$60,'4th week'!$B$12:$B$60,Dashboard!M16,'4th week'!$D$12:$D$60,Dashboard!$Q$7)+SUMIFS('5th week'!$L$12:$L$60,'5th week'!$B$12:$B$60,Dashboard!M16,'5th week'!$D$12:$D$60,Dashboard!$Q$7)</f>
        <v>0</v>
      </c>
      <c r="R16" s="52">
        <f>SUMIFS('1st week'!$L$12:$L$60,'1st week'!$B$12:$B$60,Dashboard!M16,'1st week'!$D$12:$D$60,Dashboard!$R$7)+SUMIFS('2nd week'!$L$12:$L$60,'2nd week'!$B$12:$B$60,Dashboard!M16,'2nd week'!$D$12:$D$60,Dashboard!$R$7)+SUMIFS('3rd week'!$L$12:$L$60,'3rd week'!$B$12:$B$60,Dashboard!M16,'3rd week'!$D$12:$D$60,Dashboard!$R$7)+SUMIFS('4th week'!$L$12:$L$60,'4th week'!$B$12:$B$60,Dashboard!M16,'4th week'!$D$12:$D$60,Dashboard!$R$7)+SUMIFS('5th week'!$L$12:$L$60,'5th week'!$B$12:$B$60,Dashboard!M16,'5th week'!$D$12:$D$60,Dashboard!$R$7)</f>
        <v>0</v>
      </c>
      <c r="S16" s="52">
        <f>SUMIFS('1st week'!$L$12:$L$60,'1st week'!$B$12:$B$60,Dashboard!M16,'1st week'!$D$12:$D$60,Dashboard!$S$7)+SUMIFS('2nd week'!$L$12:$L$60,'2nd week'!$B$12:$B$60,Dashboard!M16,'2nd week'!$D$12:$D$60,Dashboard!$S$7)+SUMIFS('3rd week'!$L$12:$L$60,'3rd week'!$B$12:$B$60,Dashboard!M16,'3rd week'!$D$12:$D$60,Dashboard!$S$7)+SUMIFS('4th week'!$L$12:$L$60,'4th week'!$B$12:$B$60,Dashboard!M16,'4th week'!$D$12:$D$60,Dashboard!$S$7)+SUMIFS('5th week'!$L$12:$L$60,'5th week'!$B$12:$B$60,Dashboard!M16,'5th week'!$D$12:$D$60,Dashboard!$S$7)</f>
        <v>0</v>
      </c>
      <c r="T16" s="58">
        <f t="shared" si="0"/>
        <v>0</v>
      </c>
      <c r="U16" s="45"/>
    </row>
    <row r="17" spans="2:21" ht="13.8" x14ac:dyDescent="0.25">
      <c r="B17" s="45"/>
      <c r="C17" s="46"/>
      <c r="D17" s="46"/>
      <c r="E17" s="46"/>
      <c r="F17" s="46"/>
      <c r="G17" s="46"/>
      <c r="H17" s="46"/>
      <c r="I17" s="46"/>
      <c r="J17" s="46"/>
      <c r="L17" s="45"/>
      <c r="M17" s="57" t="str">
        <f>'(Drop Down) Data Base '!B14</f>
        <v>21-401</v>
      </c>
      <c r="N17" s="57" t="str">
        <f>'(Drop Down) Data Base '!C14</f>
        <v>Projek 10</v>
      </c>
      <c r="O17" s="52">
        <f>SUMIFS('1st week'!$L$12:$L$60,'1st week'!$B$12:$B$60,Dashboard!M17,'1st week'!$D$12:$D$60,Dashboard!$O$7)+SUMIFS('2nd week'!$L$12:$L$60,'2nd week'!$B$12:$B$60,Dashboard!M17,'2nd week'!$D$12:$D$60,Dashboard!$O$7)+SUMIFS('3rd week'!$L$12:$L$60,'3rd week'!$B$12:$B$60,Dashboard!M17,'3rd week'!$D$12:$D$60,Dashboard!$O$7)+SUMIFS('4th week'!$L$12:$L$60,'4th week'!$B$12:$B$60,Dashboard!M17,'4th week'!$D$12:$D$60,Dashboard!$O$7)+SUMIFS('5th week'!$L$12:$L$60,'5th week'!$B$12:$B$60,Dashboard!M17,'5th week'!$D$12:$D$60,Dashboard!$O$7)</f>
        <v>0</v>
      </c>
      <c r="P17" s="52">
        <f>SUMIFS('1st week'!$L$12:$L$60,'1st week'!$B$12:$B$60,Dashboard!M17,'1st week'!$D$12:$D$60,Dashboard!$P$7)+SUMIFS('2nd week'!$L$12:$L$60,'2nd week'!$B$12:$B$60,Dashboard!M17,'2nd week'!$D$12:$D$60,Dashboard!$P$7)+SUMIFS('3rd week'!$L$12:$L$60,'3rd week'!$B$12:$B$60,Dashboard!M17,'3rd week'!$D$12:$D$60,Dashboard!$P$7)+SUMIFS('4th week'!$L$12:$L$60,'4th week'!$B$12:$B$60,Dashboard!M17,'4th week'!$D$12:$D$60,Dashboard!$P$7)+SUMIFS('5th week'!$L$12:$L$60,'5th week'!$B$12:$B$60,Dashboard!M17,'5th week'!$D$12:$D$60,Dashboard!$P$7)</f>
        <v>0</v>
      </c>
      <c r="Q17" s="52">
        <f>SUMIFS('1st week'!$L$12:$L$60,'1st week'!$B$12:$B$60,Dashboard!M17,'1st week'!$D$12:$D$60,Dashboard!$Q$7)+SUMIFS('2nd week'!$L$12:$L$60,'2nd week'!$B$12:$B$60,Dashboard!M17,'2nd week'!$D$12:$D$60,Dashboard!$Q$7)+SUMIFS('3rd week'!$L$12:$L$60,'3rd week'!$B$12:$B$60,Dashboard!M17,'3rd week'!$D$12:$D$60,Dashboard!$Q$7)+SUMIFS('4th week'!$L$12:$L$60,'4th week'!$B$12:$B$60,Dashboard!M17,'4th week'!$D$12:$D$60,Dashboard!$Q$7)+SUMIFS('5th week'!$L$12:$L$60,'5th week'!$B$12:$B$60,Dashboard!M17,'5th week'!$D$12:$D$60,Dashboard!$Q$7)</f>
        <v>0</v>
      </c>
      <c r="R17" s="52">
        <f>SUMIFS('1st week'!$L$12:$L$60,'1st week'!$B$12:$B$60,Dashboard!M17,'1st week'!$D$12:$D$60,Dashboard!$R$7)+SUMIFS('2nd week'!$L$12:$L$60,'2nd week'!$B$12:$B$60,Dashboard!M17,'2nd week'!$D$12:$D$60,Dashboard!$R$7)+SUMIFS('3rd week'!$L$12:$L$60,'3rd week'!$B$12:$B$60,Dashboard!M17,'3rd week'!$D$12:$D$60,Dashboard!$R$7)+SUMIFS('4th week'!$L$12:$L$60,'4th week'!$B$12:$B$60,Dashboard!M17,'4th week'!$D$12:$D$60,Dashboard!$R$7)+SUMIFS('5th week'!$L$12:$L$60,'5th week'!$B$12:$B$60,Dashboard!M17,'5th week'!$D$12:$D$60,Dashboard!$R$7)</f>
        <v>0</v>
      </c>
      <c r="S17" s="52">
        <f>SUMIFS('1st week'!$L$12:$L$60,'1st week'!$B$12:$B$60,Dashboard!M17,'1st week'!$D$12:$D$60,Dashboard!$S$7)+SUMIFS('2nd week'!$L$12:$L$60,'2nd week'!$B$12:$B$60,Dashboard!M17,'2nd week'!$D$12:$D$60,Dashboard!$S$7)+SUMIFS('3rd week'!$L$12:$L$60,'3rd week'!$B$12:$B$60,Dashboard!M17,'3rd week'!$D$12:$D$60,Dashboard!$S$7)+SUMIFS('4th week'!$L$12:$L$60,'4th week'!$B$12:$B$60,Dashboard!M17,'4th week'!$D$12:$D$60,Dashboard!$S$7)+SUMIFS('5th week'!$L$12:$L$60,'5th week'!$B$12:$B$60,Dashboard!M17,'5th week'!$D$12:$D$60,Dashboard!$S$7)</f>
        <v>0</v>
      </c>
      <c r="T17" s="58">
        <f t="shared" si="0"/>
        <v>0</v>
      </c>
      <c r="U17" s="45"/>
    </row>
    <row r="18" spans="2:21" ht="13.8" x14ac:dyDescent="0.25">
      <c r="B18" s="45"/>
      <c r="C18" s="46"/>
      <c r="D18" s="46"/>
      <c r="E18" s="46"/>
      <c r="F18" s="46"/>
      <c r="G18" s="46"/>
      <c r="H18" s="46"/>
      <c r="I18" s="46"/>
      <c r="J18" s="46"/>
      <c r="L18" s="45"/>
      <c r="M18" s="57" t="str">
        <f>'(Drop Down) Data Base '!B15</f>
        <v>21-304</v>
      </c>
      <c r="N18" s="57" t="str">
        <f>'(Drop Down) Data Base '!C15</f>
        <v>Projek 11</v>
      </c>
      <c r="O18" s="52">
        <f>SUMIFS('1st week'!$L$12:$L$60,'1st week'!$B$12:$B$60,Dashboard!M18,'1st week'!$D$12:$D$60,Dashboard!$O$7)+SUMIFS('2nd week'!$L$12:$L$60,'2nd week'!$B$12:$B$60,Dashboard!M18,'2nd week'!$D$12:$D$60,Dashboard!$O$7)+SUMIFS('3rd week'!$L$12:$L$60,'3rd week'!$B$12:$B$60,Dashboard!M18,'3rd week'!$D$12:$D$60,Dashboard!$O$7)+SUMIFS('4th week'!$L$12:$L$60,'4th week'!$B$12:$B$60,Dashboard!M18,'4th week'!$D$12:$D$60,Dashboard!$O$7)+SUMIFS('5th week'!$L$12:$L$60,'5th week'!$B$12:$B$60,Dashboard!M18,'5th week'!$D$12:$D$60,Dashboard!$O$7)</f>
        <v>0</v>
      </c>
      <c r="P18" s="52">
        <f>SUMIFS('1st week'!$L$12:$L$60,'1st week'!$B$12:$B$60,Dashboard!M18,'1st week'!$D$12:$D$60,Dashboard!$P$7)+SUMIFS('2nd week'!$L$12:$L$60,'2nd week'!$B$12:$B$60,Dashboard!M18,'2nd week'!$D$12:$D$60,Dashboard!$P$7)+SUMIFS('3rd week'!$L$12:$L$60,'3rd week'!$B$12:$B$60,Dashboard!M18,'3rd week'!$D$12:$D$60,Dashboard!$P$7)+SUMIFS('4th week'!$L$12:$L$60,'4th week'!$B$12:$B$60,Dashboard!M18,'4th week'!$D$12:$D$60,Dashboard!$P$7)+SUMIFS('5th week'!$L$12:$L$60,'5th week'!$B$12:$B$60,Dashboard!M18,'5th week'!$D$12:$D$60,Dashboard!$P$7)</f>
        <v>20</v>
      </c>
      <c r="Q18" s="52">
        <f>SUMIFS('1st week'!$L$12:$L$60,'1st week'!$B$12:$B$60,Dashboard!M18,'1st week'!$D$12:$D$60,Dashboard!$Q$7)+SUMIFS('2nd week'!$L$12:$L$60,'2nd week'!$B$12:$B$60,Dashboard!M18,'2nd week'!$D$12:$D$60,Dashboard!$Q$7)+SUMIFS('3rd week'!$L$12:$L$60,'3rd week'!$B$12:$B$60,Dashboard!M18,'3rd week'!$D$12:$D$60,Dashboard!$Q$7)+SUMIFS('4th week'!$L$12:$L$60,'4th week'!$B$12:$B$60,Dashboard!M18,'4th week'!$D$12:$D$60,Dashboard!$Q$7)+SUMIFS('5th week'!$L$12:$L$60,'5th week'!$B$12:$B$60,Dashboard!M18,'5th week'!$D$12:$D$60,Dashboard!$Q$7)</f>
        <v>0</v>
      </c>
      <c r="R18" s="52">
        <f>SUMIFS('1st week'!$L$12:$L$60,'1st week'!$B$12:$B$60,Dashboard!M18,'1st week'!$D$12:$D$60,Dashboard!$R$7)+SUMIFS('2nd week'!$L$12:$L$60,'2nd week'!$B$12:$B$60,Dashboard!M18,'2nd week'!$D$12:$D$60,Dashboard!$R$7)+SUMIFS('3rd week'!$L$12:$L$60,'3rd week'!$B$12:$B$60,Dashboard!M18,'3rd week'!$D$12:$D$60,Dashboard!$R$7)+SUMIFS('4th week'!$L$12:$L$60,'4th week'!$B$12:$B$60,Dashboard!M18,'4th week'!$D$12:$D$60,Dashboard!$R$7)+SUMIFS('5th week'!$L$12:$L$60,'5th week'!$B$12:$B$60,Dashboard!M18,'5th week'!$D$12:$D$60,Dashboard!$R$7)</f>
        <v>0</v>
      </c>
      <c r="S18" s="52">
        <f>SUMIFS('1st week'!$L$12:$L$60,'1st week'!$B$12:$B$60,Dashboard!M18,'1st week'!$D$12:$D$60,Dashboard!$S$7)+SUMIFS('2nd week'!$L$12:$L$60,'2nd week'!$B$12:$B$60,Dashboard!M18,'2nd week'!$D$12:$D$60,Dashboard!$S$7)+SUMIFS('3rd week'!$L$12:$L$60,'3rd week'!$B$12:$B$60,Dashboard!M18,'3rd week'!$D$12:$D$60,Dashboard!$S$7)+SUMIFS('4th week'!$L$12:$L$60,'4th week'!$B$12:$B$60,Dashboard!M18,'4th week'!$D$12:$D$60,Dashboard!$S$7)+SUMIFS('5th week'!$L$12:$L$60,'5th week'!$B$12:$B$60,Dashboard!M18,'5th week'!$D$12:$D$60,Dashboard!$S$7)</f>
        <v>0</v>
      </c>
      <c r="T18" s="58">
        <f t="shared" si="0"/>
        <v>20</v>
      </c>
      <c r="U18" s="45"/>
    </row>
    <row r="19" spans="2:21" ht="13.8" x14ac:dyDescent="0.25">
      <c r="B19" s="45"/>
      <c r="C19" s="46"/>
      <c r="D19" s="46"/>
      <c r="E19" s="46"/>
      <c r="F19" s="46"/>
      <c r="G19" s="46"/>
      <c r="H19" s="46"/>
      <c r="I19" s="46"/>
      <c r="J19" s="46"/>
      <c r="L19" s="45"/>
      <c r="M19" s="57" t="str">
        <f>'(Drop Down) Data Base '!B16</f>
        <v>21-408</v>
      </c>
      <c r="N19" s="57" t="str">
        <f>'(Drop Down) Data Base '!C16</f>
        <v>Projek 12</v>
      </c>
      <c r="O19" s="52">
        <f>SUMIFS('1st week'!$L$12:$L$60,'1st week'!$B$12:$B$60,Dashboard!M19,'1st week'!$D$12:$D$60,Dashboard!$O$7)+SUMIFS('2nd week'!$L$12:$L$60,'2nd week'!$B$12:$B$60,Dashboard!M19,'2nd week'!$D$12:$D$60,Dashboard!$O$7)+SUMIFS('3rd week'!$L$12:$L$60,'3rd week'!$B$12:$B$60,Dashboard!M19,'3rd week'!$D$12:$D$60,Dashboard!$O$7)+SUMIFS('4th week'!$L$12:$L$60,'4th week'!$B$12:$B$60,Dashboard!M19,'4th week'!$D$12:$D$60,Dashboard!$O$7)+SUMIFS('5th week'!$L$12:$L$60,'5th week'!$B$12:$B$60,Dashboard!M19,'5th week'!$D$12:$D$60,Dashboard!$O$7)</f>
        <v>0</v>
      </c>
      <c r="P19" s="52">
        <f>SUMIFS('1st week'!$L$12:$L$60,'1st week'!$B$12:$B$60,Dashboard!M19,'1st week'!$D$12:$D$60,Dashboard!$P$7)+SUMIFS('2nd week'!$L$12:$L$60,'2nd week'!$B$12:$B$60,Dashboard!M19,'2nd week'!$D$12:$D$60,Dashboard!$P$7)+SUMIFS('3rd week'!$L$12:$L$60,'3rd week'!$B$12:$B$60,Dashboard!M19,'3rd week'!$D$12:$D$60,Dashboard!$P$7)+SUMIFS('4th week'!$L$12:$L$60,'4th week'!$B$12:$B$60,Dashboard!M19,'4th week'!$D$12:$D$60,Dashboard!$P$7)+SUMIFS('5th week'!$L$12:$L$60,'5th week'!$B$12:$B$60,Dashboard!M19,'5th week'!$D$12:$D$60,Dashboard!$P$7)</f>
        <v>0</v>
      </c>
      <c r="Q19" s="52">
        <f>SUMIFS('1st week'!$L$12:$L$60,'1st week'!$B$12:$B$60,Dashboard!M19,'1st week'!$D$12:$D$60,Dashboard!$Q$7)+SUMIFS('2nd week'!$L$12:$L$60,'2nd week'!$B$12:$B$60,Dashboard!M19,'2nd week'!$D$12:$D$60,Dashboard!$Q$7)+SUMIFS('3rd week'!$L$12:$L$60,'3rd week'!$B$12:$B$60,Dashboard!M19,'3rd week'!$D$12:$D$60,Dashboard!$Q$7)+SUMIFS('4th week'!$L$12:$L$60,'4th week'!$B$12:$B$60,Dashboard!M19,'4th week'!$D$12:$D$60,Dashboard!$Q$7)+SUMIFS('5th week'!$L$12:$L$60,'5th week'!$B$12:$B$60,Dashboard!M19,'5th week'!$D$12:$D$60,Dashboard!$Q$7)</f>
        <v>0</v>
      </c>
      <c r="R19" s="52">
        <f>SUMIFS('1st week'!$L$12:$L$60,'1st week'!$B$12:$B$60,Dashboard!M19,'1st week'!$D$12:$D$60,Dashboard!$R$7)+SUMIFS('2nd week'!$L$12:$L$60,'2nd week'!$B$12:$B$60,Dashboard!M19,'2nd week'!$D$12:$D$60,Dashboard!$R$7)+SUMIFS('3rd week'!$L$12:$L$60,'3rd week'!$B$12:$B$60,Dashboard!M19,'3rd week'!$D$12:$D$60,Dashboard!$R$7)+SUMIFS('4th week'!$L$12:$L$60,'4th week'!$B$12:$B$60,Dashboard!M19,'4th week'!$D$12:$D$60,Dashboard!$R$7)+SUMIFS('5th week'!$L$12:$L$60,'5th week'!$B$12:$B$60,Dashboard!M19,'5th week'!$D$12:$D$60,Dashboard!$R$7)</f>
        <v>0</v>
      </c>
      <c r="S19" s="52">
        <f>SUMIFS('1st week'!$L$12:$L$60,'1st week'!$B$12:$B$60,Dashboard!M19,'1st week'!$D$12:$D$60,Dashboard!$S$7)+SUMIFS('2nd week'!$L$12:$L$60,'2nd week'!$B$12:$B$60,Dashboard!M19,'2nd week'!$D$12:$D$60,Dashboard!$S$7)+SUMIFS('3rd week'!$L$12:$L$60,'3rd week'!$B$12:$B$60,Dashboard!M19,'3rd week'!$D$12:$D$60,Dashboard!$S$7)+SUMIFS('4th week'!$L$12:$L$60,'4th week'!$B$12:$B$60,Dashboard!M19,'4th week'!$D$12:$D$60,Dashboard!$S$7)+SUMIFS('5th week'!$L$12:$L$60,'5th week'!$B$12:$B$60,Dashboard!M19,'5th week'!$D$12:$D$60,Dashboard!$S$7)</f>
        <v>0</v>
      </c>
      <c r="T19" s="58">
        <f t="shared" si="0"/>
        <v>0</v>
      </c>
      <c r="U19" s="45"/>
    </row>
    <row r="20" spans="2:21" ht="13.8" x14ac:dyDescent="0.25">
      <c r="B20" s="45"/>
      <c r="C20" s="46"/>
      <c r="D20" s="46"/>
      <c r="E20" s="46"/>
      <c r="F20" s="46"/>
      <c r="G20" s="46"/>
      <c r="H20" s="46"/>
      <c r="I20" s="46"/>
      <c r="J20" s="46"/>
      <c r="L20" s="45"/>
      <c r="M20" s="57" t="str">
        <f>'(Drop Down) Data Base '!B17</f>
        <v>21-403</v>
      </c>
      <c r="N20" s="57" t="str">
        <f>'(Drop Down) Data Base '!C17</f>
        <v>Projek 13</v>
      </c>
      <c r="O20" s="52">
        <f>SUMIFS('1st week'!$L$12:$L$60,'1st week'!$B$12:$B$60,Dashboard!M20,'1st week'!$D$12:$D$60,Dashboard!$O$7)+SUMIFS('2nd week'!$L$12:$L$60,'2nd week'!$B$12:$B$60,Dashboard!M20,'2nd week'!$D$12:$D$60,Dashboard!$O$7)+SUMIFS('3rd week'!$L$12:$L$60,'3rd week'!$B$12:$B$60,Dashboard!M20,'3rd week'!$D$12:$D$60,Dashboard!$O$7)+SUMIFS('4th week'!$L$12:$L$60,'4th week'!$B$12:$B$60,Dashboard!M20,'4th week'!$D$12:$D$60,Dashboard!$O$7)+SUMIFS('5th week'!$L$12:$L$60,'5th week'!$B$12:$B$60,Dashboard!M20,'5th week'!$D$12:$D$60,Dashboard!$O$7)</f>
        <v>0</v>
      </c>
      <c r="P20" s="52">
        <f>SUMIFS('1st week'!$L$12:$L$60,'1st week'!$B$12:$B$60,Dashboard!M20,'1st week'!$D$12:$D$60,Dashboard!$P$7)+SUMIFS('2nd week'!$L$12:$L$60,'2nd week'!$B$12:$B$60,Dashboard!M20,'2nd week'!$D$12:$D$60,Dashboard!$P$7)+SUMIFS('3rd week'!$L$12:$L$60,'3rd week'!$B$12:$B$60,Dashboard!M20,'3rd week'!$D$12:$D$60,Dashboard!$P$7)+SUMIFS('4th week'!$L$12:$L$60,'4th week'!$B$12:$B$60,Dashboard!M20,'4th week'!$D$12:$D$60,Dashboard!$P$7)+SUMIFS('5th week'!$L$12:$L$60,'5th week'!$B$12:$B$60,Dashboard!M20,'5th week'!$D$12:$D$60,Dashboard!$P$7)</f>
        <v>0</v>
      </c>
      <c r="Q20" s="52">
        <f>SUMIFS('1st week'!$L$12:$L$60,'1st week'!$B$12:$B$60,Dashboard!M20,'1st week'!$D$12:$D$60,Dashboard!$Q$7)+SUMIFS('2nd week'!$L$12:$L$60,'2nd week'!$B$12:$B$60,Dashboard!M20,'2nd week'!$D$12:$D$60,Dashboard!$Q$7)+SUMIFS('3rd week'!$L$12:$L$60,'3rd week'!$B$12:$B$60,Dashboard!M20,'3rd week'!$D$12:$D$60,Dashboard!$Q$7)+SUMIFS('4th week'!$L$12:$L$60,'4th week'!$B$12:$B$60,Dashboard!M20,'4th week'!$D$12:$D$60,Dashboard!$Q$7)+SUMIFS('5th week'!$L$12:$L$60,'5th week'!$B$12:$B$60,Dashboard!M20,'5th week'!$D$12:$D$60,Dashboard!$Q$7)</f>
        <v>0</v>
      </c>
      <c r="R20" s="52">
        <f>SUMIFS('1st week'!$L$12:$L$60,'1st week'!$B$12:$B$60,Dashboard!M20,'1st week'!$D$12:$D$60,Dashboard!$R$7)+SUMIFS('2nd week'!$L$12:$L$60,'2nd week'!$B$12:$B$60,Dashboard!M20,'2nd week'!$D$12:$D$60,Dashboard!$R$7)+SUMIFS('3rd week'!$L$12:$L$60,'3rd week'!$B$12:$B$60,Dashboard!M20,'3rd week'!$D$12:$D$60,Dashboard!$R$7)+SUMIFS('4th week'!$L$12:$L$60,'4th week'!$B$12:$B$60,Dashboard!M20,'4th week'!$D$12:$D$60,Dashboard!$R$7)+SUMIFS('5th week'!$L$12:$L$60,'5th week'!$B$12:$B$60,Dashboard!M20,'5th week'!$D$12:$D$60,Dashboard!$R$7)</f>
        <v>0</v>
      </c>
      <c r="S20" s="52">
        <f>SUMIFS('1st week'!$L$12:$L$60,'1st week'!$B$12:$B$60,Dashboard!M20,'1st week'!$D$12:$D$60,Dashboard!$S$7)+SUMIFS('2nd week'!$L$12:$L$60,'2nd week'!$B$12:$B$60,Dashboard!M20,'2nd week'!$D$12:$D$60,Dashboard!$S$7)+SUMIFS('3rd week'!$L$12:$L$60,'3rd week'!$B$12:$B$60,Dashboard!M20,'3rd week'!$D$12:$D$60,Dashboard!$S$7)+SUMIFS('4th week'!$L$12:$L$60,'4th week'!$B$12:$B$60,Dashboard!M20,'4th week'!$D$12:$D$60,Dashboard!$S$7)+SUMIFS('5th week'!$L$12:$L$60,'5th week'!$B$12:$B$60,Dashboard!M20,'5th week'!$D$12:$D$60,Dashboard!$S$7)</f>
        <v>0</v>
      </c>
      <c r="T20" s="58">
        <f t="shared" si="0"/>
        <v>0</v>
      </c>
      <c r="U20" s="45"/>
    </row>
    <row r="21" spans="2:21" ht="13.8" x14ac:dyDescent="0.25">
      <c r="B21" s="45"/>
      <c r="C21" s="46"/>
      <c r="D21" s="46"/>
      <c r="E21" s="46"/>
      <c r="F21" s="46"/>
      <c r="G21" s="46"/>
      <c r="H21" s="46"/>
      <c r="I21" s="46"/>
      <c r="J21" s="46"/>
      <c r="L21" s="45"/>
      <c r="M21" s="57" t="str">
        <f>'(Drop Down) Data Base '!B18</f>
        <v>21-301</v>
      </c>
      <c r="N21" s="57" t="str">
        <f>'(Drop Down) Data Base '!C18</f>
        <v>Projek 14</v>
      </c>
      <c r="O21" s="52">
        <f>SUMIFS('1st week'!$L$12:$L$60,'1st week'!$B$12:$B$60,Dashboard!M21,'1st week'!$D$12:$D$60,Dashboard!$O$7)+SUMIFS('2nd week'!$L$12:$L$60,'2nd week'!$B$12:$B$60,Dashboard!M21,'2nd week'!$D$12:$D$60,Dashboard!$O$7)+SUMIFS('3rd week'!$L$12:$L$60,'3rd week'!$B$12:$B$60,Dashboard!M21,'3rd week'!$D$12:$D$60,Dashboard!$O$7)+SUMIFS('4th week'!$L$12:$L$60,'4th week'!$B$12:$B$60,Dashboard!M21,'4th week'!$D$12:$D$60,Dashboard!$O$7)+SUMIFS('5th week'!$L$12:$L$60,'5th week'!$B$12:$B$60,Dashboard!M21,'5th week'!$D$12:$D$60,Dashboard!$O$7)</f>
        <v>0</v>
      </c>
      <c r="P21" s="52">
        <f>SUMIFS('1st week'!$L$12:$L$60,'1st week'!$B$12:$B$60,Dashboard!M21,'1st week'!$D$12:$D$60,Dashboard!$P$7)+SUMIFS('2nd week'!$L$12:$L$60,'2nd week'!$B$12:$B$60,Dashboard!M21,'2nd week'!$D$12:$D$60,Dashboard!$P$7)+SUMIFS('3rd week'!$L$12:$L$60,'3rd week'!$B$12:$B$60,Dashboard!M21,'3rd week'!$D$12:$D$60,Dashboard!$P$7)+SUMIFS('4th week'!$L$12:$L$60,'4th week'!$B$12:$B$60,Dashboard!M21,'4th week'!$D$12:$D$60,Dashboard!$P$7)+SUMIFS('5th week'!$L$12:$L$60,'5th week'!$B$12:$B$60,Dashboard!M21,'5th week'!$D$12:$D$60,Dashboard!$P$7)</f>
        <v>0</v>
      </c>
      <c r="Q21" s="52">
        <f>SUMIFS('1st week'!$L$12:$L$60,'1st week'!$B$12:$B$60,Dashboard!M21,'1st week'!$D$12:$D$60,Dashboard!$Q$7)+SUMIFS('2nd week'!$L$12:$L$60,'2nd week'!$B$12:$B$60,Dashboard!M21,'2nd week'!$D$12:$D$60,Dashboard!$Q$7)+SUMIFS('3rd week'!$L$12:$L$60,'3rd week'!$B$12:$B$60,Dashboard!M21,'3rd week'!$D$12:$D$60,Dashboard!$Q$7)+SUMIFS('4th week'!$L$12:$L$60,'4th week'!$B$12:$B$60,Dashboard!M21,'4th week'!$D$12:$D$60,Dashboard!$Q$7)+SUMIFS('5th week'!$L$12:$L$60,'5th week'!$B$12:$B$60,Dashboard!M21,'5th week'!$D$12:$D$60,Dashboard!$Q$7)</f>
        <v>0</v>
      </c>
      <c r="R21" s="52">
        <f>SUMIFS('1st week'!$L$12:$L$60,'1st week'!$B$12:$B$60,Dashboard!M21,'1st week'!$D$12:$D$60,Dashboard!$R$7)+SUMIFS('2nd week'!$L$12:$L$60,'2nd week'!$B$12:$B$60,Dashboard!M21,'2nd week'!$D$12:$D$60,Dashboard!$R$7)+SUMIFS('3rd week'!$L$12:$L$60,'3rd week'!$B$12:$B$60,Dashboard!M21,'3rd week'!$D$12:$D$60,Dashboard!$R$7)+SUMIFS('4th week'!$L$12:$L$60,'4th week'!$B$12:$B$60,Dashboard!M21,'4th week'!$D$12:$D$60,Dashboard!$R$7)+SUMIFS('5th week'!$L$12:$L$60,'5th week'!$B$12:$B$60,Dashboard!M21,'5th week'!$D$12:$D$60,Dashboard!$R$7)</f>
        <v>0</v>
      </c>
      <c r="S21" s="52">
        <f>SUMIFS('1st week'!$L$12:$L$60,'1st week'!$B$12:$B$60,Dashboard!M21,'1st week'!$D$12:$D$60,Dashboard!$S$7)+SUMIFS('2nd week'!$L$12:$L$60,'2nd week'!$B$12:$B$60,Dashboard!M21,'2nd week'!$D$12:$D$60,Dashboard!$S$7)+SUMIFS('3rd week'!$L$12:$L$60,'3rd week'!$B$12:$B$60,Dashboard!M21,'3rd week'!$D$12:$D$60,Dashboard!$S$7)+SUMIFS('4th week'!$L$12:$L$60,'4th week'!$B$12:$B$60,Dashboard!M21,'4th week'!$D$12:$D$60,Dashboard!$S$7)+SUMIFS('5th week'!$L$12:$L$60,'5th week'!$B$12:$B$60,Dashboard!M21,'5th week'!$D$12:$D$60,Dashboard!$S$7)</f>
        <v>0</v>
      </c>
      <c r="T21" s="58">
        <f t="shared" si="0"/>
        <v>0</v>
      </c>
      <c r="U21" s="45"/>
    </row>
    <row r="22" spans="2:21" ht="13.8" x14ac:dyDescent="0.25">
      <c r="B22" s="45"/>
      <c r="C22" s="46"/>
      <c r="D22" s="46"/>
      <c r="E22" s="46"/>
      <c r="F22" s="46"/>
      <c r="G22" s="46"/>
      <c r="H22" s="46"/>
      <c r="I22" s="46"/>
      <c r="J22" s="46"/>
      <c r="L22" s="45"/>
      <c r="M22" s="57" t="str">
        <f>'(Drop Down) Data Base '!B19</f>
        <v>20-106</v>
      </c>
      <c r="N22" s="57" t="str">
        <f>'(Drop Down) Data Base '!C19</f>
        <v>Projek 15</v>
      </c>
      <c r="O22" s="52">
        <f>SUMIFS('1st week'!$L$12:$L$60,'1st week'!$B$12:$B$60,Dashboard!M22,'1st week'!$D$12:$D$60,Dashboard!$O$7)+SUMIFS('2nd week'!$L$12:$L$60,'2nd week'!$B$12:$B$60,Dashboard!M22,'2nd week'!$D$12:$D$60,Dashboard!$O$7)+SUMIFS('3rd week'!$L$12:$L$60,'3rd week'!$B$12:$B$60,Dashboard!M22,'3rd week'!$D$12:$D$60,Dashboard!$O$7)+SUMIFS('4th week'!$L$12:$L$60,'4th week'!$B$12:$B$60,Dashboard!M22,'4th week'!$D$12:$D$60,Dashboard!$O$7)+SUMIFS('5th week'!$L$12:$L$60,'5th week'!$B$12:$B$60,Dashboard!M22,'5th week'!$D$12:$D$60,Dashboard!$O$7)</f>
        <v>0</v>
      </c>
      <c r="P22" s="52">
        <f>SUMIFS('1st week'!$L$12:$L$60,'1st week'!$B$12:$B$60,Dashboard!M22,'1st week'!$D$12:$D$60,Dashboard!$P$7)+SUMIFS('2nd week'!$L$12:$L$60,'2nd week'!$B$12:$B$60,Dashboard!M22,'2nd week'!$D$12:$D$60,Dashboard!$P$7)+SUMIFS('3rd week'!$L$12:$L$60,'3rd week'!$B$12:$B$60,Dashboard!M22,'3rd week'!$D$12:$D$60,Dashboard!$P$7)+SUMIFS('4th week'!$L$12:$L$60,'4th week'!$B$12:$B$60,Dashboard!M22,'4th week'!$D$12:$D$60,Dashboard!$P$7)+SUMIFS('5th week'!$L$12:$L$60,'5th week'!$B$12:$B$60,Dashboard!M22,'5th week'!$D$12:$D$60,Dashboard!$P$7)</f>
        <v>0</v>
      </c>
      <c r="Q22" s="52">
        <f>SUMIFS('1st week'!$L$12:$L$60,'1st week'!$B$12:$B$60,Dashboard!M22,'1st week'!$D$12:$D$60,Dashboard!$Q$7)+SUMIFS('2nd week'!$L$12:$L$60,'2nd week'!$B$12:$B$60,Dashboard!M22,'2nd week'!$D$12:$D$60,Dashboard!$Q$7)+SUMIFS('3rd week'!$L$12:$L$60,'3rd week'!$B$12:$B$60,Dashboard!M22,'3rd week'!$D$12:$D$60,Dashboard!$Q$7)+SUMIFS('4th week'!$L$12:$L$60,'4th week'!$B$12:$B$60,Dashboard!M22,'4th week'!$D$12:$D$60,Dashboard!$Q$7)+SUMIFS('5th week'!$L$12:$L$60,'5th week'!$B$12:$B$60,Dashboard!M22,'5th week'!$D$12:$D$60,Dashboard!$Q$7)</f>
        <v>0</v>
      </c>
      <c r="R22" s="52">
        <f>SUMIFS('1st week'!$L$12:$L$60,'1st week'!$B$12:$B$60,Dashboard!M22,'1st week'!$D$12:$D$60,Dashboard!$R$7)+SUMIFS('2nd week'!$L$12:$L$60,'2nd week'!$B$12:$B$60,Dashboard!M22,'2nd week'!$D$12:$D$60,Dashboard!$R$7)+SUMIFS('3rd week'!$L$12:$L$60,'3rd week'!$B$12:$B$60,Dashboard!M22,'3rd week'!$D$12:$D$60,Dashboard!$R$7)+SUMIFS('4th week'!$L$12:$L$60,'4th week'!$B$12:$B$60,Dashboard!M22,'4th week'!$D$12:$D$60,Dashboard!$R$7)+SUMIFS('5th week'!$L$12:$L$60,'5th week'!$B$12:$B$60,Dashboard!M22,'5th week'!$D$12:$D$60,Dashboard!$R$7)</f>
        <v>0</v>
      </c>
      <c r="S22" s="52">
        <f>SUMIFS('1st week'!$L$12:$L$60,'1st week'!$B$12:$B$60,Dashboard!M22,'1st week'!$D$12:$D$60,Dashboard!$S$7)+SUMIFS('2nd week'!$L$12:$L$60,'2nd week'!$B$12:$B$60,Dashboard!M22,'2nd week'!$D$12:$D$60,Dashboard!$S$7)+SUMIFS('3rd week'!$L$12:$L$60,'3rd week'!$B$12:$B$60,Dashboard!M22,'3rd week'!$D$12:$D$60,Dashboard!$S$7)+SUMIFS('4th week'!$L$12:$L$60,'4th week'!$B$12:$B$60,Dashboard!M22,'4th week'!$D$12:$D$60,Dashboard!$S$7)+SUMIFS('5th week'!$L$12:$L$60,'5th week'!$B$12:$B$60,Dashboard!M22,'5th week'!$D$12:$D$60,Dashboard!$S$7)</f>
        <v>0</v>
      </c>
      <c r="T22" s="58">
        <f t="shared" si="0"/>
        <v>0</v>
      </c>
      <c r="U22" s="45"/>
    </row>
    <row r="23" spans="2:21" ht="13.8" x14ac:dyDescent="0.25">
      <c r="B23" s="45"/>
      <c r="C23" s="46"/>
      <c r="D23" s="46"/>
      <c r="E23" s="46"/>
      <c r="F23" s="46"/>
      <c r="G23" s="46"/>
      <c r="H23" s="46"/>
      <c r="I23" s="46"/>
      <c r="J23" s="46"/>
      <c r="L23" s="45"/>
      <c r="M23" s="57" t="str">
        <f>'(Drop Down) Data Base '!B20</f>
        <v>19-304</v>
      </c>
      <c r="N23" s="57" t="str">
        <f>'(Drop Down) Data Base '!C20</f>
        <v>Projek 16</v>
      </c>
      <c r="O23" s="52">
        <f>SUMIFS('1st week'!$L$12:$L$60,'1st week'!$B$12:$B$60,Dashboard!M23,'1st week'!$D$12:$D$60,Dashboard!$O$7)+SUMIFS('2nd week'!$L$12:$L$60,'2nd week'!$B$12:$B$60,Dashboard!M23,'2nd week'!$D$12:$D$60,Dashboard!$O$7)+SUMIFS('3rd week'!$L$12:$L$60,'3rd week'!$B$12:$B$60,Dashboard!M23,'3rd week'!$D$12:$D$60,Dashboard!$O$7)+SUMIFS('4th week'!$L$12:$L$60,'4th week'!$B$12:$B$60,Dashboard!M23,'4th week'!$D$12:$D$60,Dashboard!$O$7)+SUMIFS('5th week'!$L$12:$L$60,'5th week'!$B$12:$B$60,Dashboard!M23,'5th week'!$D$12:$D$60,Dashboard!$O$7)</f>
        <v>0</v>
      </c>
      <c r="P23" s="52">
        <f>SUMIFS('1st week'!$L$12:$L$60,'1st week'!$B$12:$B$60,Dashboard!M23,'1st week'!$D$12:$D$60,Dashboard!$P$7)+SUMIFS('2nd week'!$L$12:$L$60,'2nd week'!$B$12:$B$60,Dashboard!M23,'2nd week'!$D$12:$D$60,Dashboard!$P$7)+SUMIFS('3rd week'!$L$12:$L$60,'3rd week'!$B$12:$B$60,Dashboard!M23,'3rd week'!$D$12:$D$60,Dashboard!$P$7)+SUMIFS('4th week'!$L$12:$L$60,'4th week'!$B$12:$B$60,Dashboard!M23,'4th week'!$D$12:$D$60,Dashboard!$P$7)+SUMIFS('5th week'!$L$12:$L$60,'5th week'!$B$12:$B$60,Dashboard!M23,'5th week'!$D$12:$D$60,Dashboard!$P$7)</f>
        <v>0</v>
      </c>
      <c r="Q23" s="52">
        <f>SUMIFS('1st week'!$L$12:$L$60,'1st week'!$B$12:$B$60,Dashboard!M23,'1st week'!$D$12:$D$60,Dashboard!$Q$7)+SUMIFS('2nd week'!$L$12:$L$60,'2nd week'!$B$12:$B$60,Dashboard!M23,'2nd week'!$D$12:$D$60,Dashboard!$Q$7)+SUMIFS('3rd week'!$L$12:$L$60,'3rd week'!$B$12:$B$60,Dashboard!M23,'3rd week'!$D$12:$D$60,Dashboard!$Q$7)+SUMIFS('4th week'!$L$12:$L$60,'4th week'!$B$12:$B$60,Dashboard!M23,'4th week'!$D$12:$D$60,Dashboard!$Q$7)+SUMIFS('5th week'!$L$12:$L$60,'5th week'!$B$12:$B$60,Dashboard!M23,'5th week'!$D$12:$D$60,Dashboard!$Q$7)</f>
        <v>0</v>
      </c>
      <c r="R23" s="52">
        <f>SUMIFS('1st week'!$L$12:$L$60,'1st week'!$B$12:$B$60,Dashboard!M23,'1st week'!$D$12:$D$60,Dashboard!$R$7)+SUMIFS('2nd week'!$L$12:$L$60,'2nd week'!$B$12:$B$60,Dashboard!M23,'2nd week'!$D$12:$D$60,Dashboard!$R$7)+SUMIFS('3rd week'!$L$12:$L$60,'3rd week'!$B$12:$B$60,Dashboard!M23,'3rd week'!$D$12:$D$60,Dashboard!$R$7)+SUMIFS('4th week'!$L$12:$L$60,'4th week'!$B$12:$B$60,Dashboard!M23,'4th week'!$D$12:$D$60,Dashboard!$R$7)+SUMIFS('5th week'!$L$12:$L$60,'5th week'!$B$12:$B$60,Dashboard!M23,'5th week'!$D$12:$D$60,Dashboard!$R$7)</f>
        <v>0</v>
      </c>
      <c r="S23" s="52">
        <f>SUMIFS('1st week'!$L$12:$L$60,'1st week'!$B$12:$B$60,Dashboard!M23,'1st week'!$D$12:$D$60,Dashboard!$S$7)+SUMIFS('2nd week'!$L$12:$L$60,'2nd week'!$B$12:$B$60,Dashboard!M23,'2nd week'!$D$12:$D$60,Dashboard!$S$7)+SUMIFS('3rd week'!$L$12:$L$60,'3rd week'!$B$12:$B$60,Dashboard!M23,'3rd week'!$D$12:$D$60,Dashboard!$S$7)+SUMIFS('4th week'!$L$12:$L$60,'4th week'!$B$12:$B$60,Dashboard!M23,'4th week'!$D$12:$D$60,Dashboard!$S$7)+SUMIFS('5th week'!$L$12:$L$60,'5th week'!$B$12:$B$60,Dashboard!M23,'5th week'!$D$12:$D$60,Dashboard!$S$7)</f>
        <v>0</v>
      </c>
      <c r="T23" s="58">
        <f t="shared" si="0"/>
        <v>0</v>
      </c>
      <c r="U23" s="45"/>
    </row>
    <row r="24" spans="2:21" ht="13.8" x14ac:dyDescent="0.25">
      <c r="B24" s="45"/>
      <c r="C24" s="46"/>
      <c r="D24" s="46"/>
      <c r="E24" s="46"/>
      <c r="F24" s="46"/>
      <c r="G24" s="46"/>
      <c r="H24" s="46"/>
      <c r="I24" s="46"/>
      <c r="J24" s="46"/>
      <c r="L24" s="45"/>
      <c r="M24" s="57" t="str">
        <f>'(Drop Down) Data Base '!B21</f>
        <v>21-405</v>
      </c>
      <c r="N24" s="57" t="str">
        <f>'(Drop Down) Data Base '!C21</f>
        <v>Projek 17</v>
      </c>
      <c r="O24" s="52">
        <f>SUMIFS('1st week'!$L$12:$L$60,'1st week'!$B$12:$B$60,Dashboard!M24,'1st week'!$D$12:$D$60,Dashboard!$O$7)+SUMIFS('2nd week'!$L$12:$L$60,'2nd week'!$B$12:$B$60,Dashboard!M24,'2nd week'!$D$12:$D$60,Dashboard!$O$7)+SUMIFS('3rd week'!$L$12:$L$60,'3rd week'!$B$12:$B$60,Dashboard!M24,'3rd week'!$D$12:$D$60,Dashboard!$O$7)+SUMIFS('4th week'!$L$12:$L$60,'4th week'!$B$12:$B$60,Dashboard!M24,'4th week'!$D$12:$D$60,Dashboard!$O$7)+SUMIFS('5th week'!$L$12:$L$60,'5th week'!$B$12:$B$60,Dashboard!M24,'5th week'!$D$12:$D$60,Dashboard!$O$7)</f>
        <v>0</v>
      </c>
      <c r="P24" s="52">
        <f>SUMIFS('1st week'!$L$12:$L$60,'1st week'!$B$12:$B$60,Dashboard!M24,'1st week'!$D$12:$D$60,Dashboard!$P$7)+SUMIFS('2nd week'!$L$12:$L$60,'2nd week'!$B$12:$B$60,Dashboard!M24,'2nd week'!$D$12:$D$60,Dashboard!$P$7)+SUMIFS('3rd week'!$L$12:$L$60,'3rd week'!$B$12:$B$60,Dashboard!M24,'3rd week'!$D$12:$D$60,Dashboard!$P$7)+SUMIFS('4th week'!$L$12:$L$60,'4th week'!$B$12:$B$60,Dashboard!M24,'4th week'!$D$12:$D$60,Dashboard!$P$7)+SUMIFS('5th week'!$L$12:$L$60,'5th week'!$B$12:$B$60,Dashboard!M24,'5th week'!$D$12:$D$60,Dashboard!$P$7)</f>
        <v>0</v>
      </c>
      <c r="Q24" s="52">
        <f>SUMIFS('1st week'!$L$12:$L$60,'1st week'!$B$12:$B$60,Dashboard!M24,'1st week'!$D$12:$D$60,Dashboard!$Q$7)+SUMIFS('2nd week'!$L$12:$L$60,'2nd week'!$B$12:$B$60,Dashboard!M24,'2nd week'!$D$12:$D$60,Dashboard!$Q$7)+SUMIFS('3rd week'!$L$12:$L$60,'3rd week'!$B$12:$B$60,Dashboard!M24,'3rd week'!$D$12:$D$60,Dashboard!$Q$7)+SUMIFS('4th week'!$L$12:$L$60,'4th week'!$B$12:$B$60,Dashboard!M24,'4th week'!$D$12:$D$60,Dashboard!$Q$7)+SUMIFS('5th week'!$L$12:$L$60,'5th week'!$B$12:$B$60,Dashboard!M24,'5th week'!$D$12:$D$60,Dashboard!$Q$7)</f>
        <v>0</v>
      </c>
      <c r="R24" s="52">
        <f>SUMIFS('1st week'!$L$12:$L$60,'1st week'!$B$12:$B$60,Dashboard!M24,'1st week'!$D$12:$D$60,Dashboard!$R$7)+SUMIFS('2nd week'!$L$12:$L$60,'2nd week'!$B$12:$B$60,Dashboard!M24,'2nd week'!$D$12:$D$60,Dashboard!$R$7)+SUMIFS('3rd week'!$L$12:$L$60,'3rd week'!$B$12:$B$60,Dashboard!M24,'3rd week'!$D$12:$D$60,Dashboard!$R$7)+SUMIFS('4th week'!$L$12:$L$60,'4th week'!$B$12:$B$60,Dashboard!M24,'4th week'!$D$12:$D$60,Dashboard!$R$7)+SUMIFS('5th week'!$L$12:$L$60,'5th week'!$B$12:$B$60,Dashboard!M24,'5th week'!$D$12:$D$60,Dashboard!$R$7)</f>
        <v>0</v>
      </c>
      <c r="S24" s="52">
        <f>SUMIFS('1st week'!$L$12:$L$60,'1st week'!$B$12:$B$60,Dashboard!M24,'1st week'!$D$12:$D$60,Dashboard!$S$7)+SUMIFS('2nd week'!$L$12:$L$60,'2nd week'!$B$12:$B$60,Dashboard!M24,'2nd week'!$D$12:$D$60,Dashboard!$S$7)+SUMIFS('3rd week'!$L$12:$L$60,'3rd week'!$B$12:$B$60,Dashboard!M24,'3rd week'!$D$12:$D$60,Dashboard!$S$7)+SUMIFS('4th week'!$L$12:$L$60,'4th week'!$B$12:$B$60,Dashboard!M24,'4th week'!$D$12:$D$60,Dashboard!$S$7)+SUMIFS('5th week'!$L$12:$L$60,'5th week'!$B$12:$B$60,Dashboard!M24,'5th week'!$D$12:$D$60,Dashboard!$S$7)</f>
        <v>0</v>
      </c>
      <c r="T24" s="58">
        <f t="shared" si="0"/>
        <v>0</v>
      </c>
      <c r="U24" s="45"/>
    </row>
    <row r="25" spans="2:21" ht="13.8" x14ac:dyDescent="0.25">
      <c r="B25" s="45"/>
      <c r="C25" s="46"/>
      <c r="D25" s="46"/>
      <c r="E25" s="46"/>
      <c r="F25" s="46"/>
      <c r="G25" s="46"/>
      <c r="H25" s="46"/>
      <c r="I25" s="46"/>
      <c r="J25" s="46"/>
      <c r="L25" s="45"/>
      <c r="M25" s="57" t="str">
        <f>'(Drop Down) Data Base '!B22</f>
        <v>21-407</v>
      </c>
      <c r="N25" s="57" t="str">
        <f>'(Drop Down) Data Base '!C22</f>
        <v>Projek 18</v>
      </c>
      <c r="O25" s="52">
        <f>SUMIFS('1st week'!$L$12:$L$60,'1st week'!$B$12:$B$60,Dashboard!M25,'1st week'!$D$12:$D$60,Dashboard!$O$7)+SUMIFS('2nd week'!$L$12:$L$60,'2nd week'!$B$12:$B$60,Dashboard!M25,'2nd week'!$D$12:$D$60,Dashboard!$O$7)+SUMIFS('3rd week'!$L$12:$L$60,'3rd week'!$B$12:$B$60,Dashboard!M25,'3rd week'!$D$12:$D$60,Dashboard!$O$7)+SUMIFS('4th week'!$L$12:$L$60,'4th week'!$B$12:$B$60,Dashboard!M25,'4th week'!$D$12:$D$60,Dashboard!$O$7)+SUMIFS('5th week'!$L$12:$L$60,'5th week'!$B$12:$B$60,Dashboard!M25,'5th week'!$D$12:$D$60,Dashboard!$O$7)</f>
        <v>0</v>
      </c>
      <c r="P25" s="52">
        <f>SUMIFS('1st week'!$L$12:$L$60,'1st week'!$B$12:$B$60,Dashboard!M25,'1st week'!$D$12:$D$60,Dashboard!$P$7)+SUMIFS('2nd week'!$L$12:$L$60,'2nd week'!$B$12:$B$60,Dashboard!M25,'2nd week'!$D$12:$D$60,Dashboard!$P$7)+SUMIFS('3rd week'!$L$12:$L$60,'3rd week'!$B$12:$B$60,Dashboard!M25,'3rd week'!$D$12:$D$60,Dashboard!$P$7)+SUMIFS('4th week'!$L$12:$L$60,'4th week'!$B$12:$B$60,Dashboard!M25,'4th week'!$D$12:$D$60,Dashboard!$P$7)+SUMIFS('5th week'!$L$12:$L$60,'5th week'!$B$12:$B$60,Dashboard!M25,'5th week'!$D$12:$D$60,Dashboard!$P$7)</f>
        <v>0</v>
      </c>
      <c r="Q25" s="52">
        <f>SUMIFS('1st week'!$L$12:$L$60,'1st week'!$B$12:$B$60,Dashboard!M25,'1st week'!$D$12:$D$60,Dashboard!$Q$7)+SUMIFS('2nd week'!$L$12:$L$60,'2nd week'!$B$12:$B$60,Dashboard!M25,'2nd week'!$D$12:$D$60,Dashboard!$Q$7)+SUMIFS('3rd week'!$L$12:$L$60,'3rd week'!$B$12:$B$60,Dashboard!M25,'3rd week'!$D$12:$D$60,Dashboard!$Q$7)+SUMIFS('4th week'!$L$12:$L$60,'4th week'!$B$12:$B$60,Dashboard!M25,'4th week'!$D$12:$D$60,Dashboard!$Q$7)+SUMIFS('5th week'!$L$12:$L$60,'5th week'!$B$12:$B$60,Dashboard!M25,'5th week'!$D$12:$D$60,Dashboard!$Q$7)</f>
        <v>0</v>
      </c>
      <c r="R25" s="52">
        <f>SUMIFS('1st week'!$L$12:$L$60,'1st week'!$B$12:$B$60,Dashboard!M25,'1st week'!$D$12:$D$60,Dashboard!$R$7)+SUMIFS('2nd week'!$L$12:$L$60,'2nd week'!$B$12:$B$60,Dashboard!M25,'2nd week'!$D$12:$D$60,Dashboard!$R$7)+SUMIFS('3rd week'!$L$12:$L$60,'3rd week'!$B$12:$B$60,Dashboard!M25,'3rd week'!$D$12:$D$60,Dashboard!$R$7)+SUMIFS('4th week'!$L$12:$L$60,'4th week'!$B$12:$B$60,Dashboard!M25,'4th week'!$D$12:$D$60,Dashboard!$R$7)+SUMIFS('5th week'!$L$12:$L$60,'5th week'!$B$12:$B$60,Dashboard!M25,'5th week'!$D$12:$D$60,Dashboard!$R$7)</f>
        <v>0</v>
      </c>
      <c r="S25" s="52">
        <f>SUMIFS('1st week'!$L$12:$L$60,'1st week'!$B$12:$B$60,Dashboard!M25,'1st week'!$D$12:$D$60,Dashboard!$S$7)+SUMIFS('2nd week'!$L$12:$L$60,'2nd week'!$B$12:$B$60,Dashboard!M25,'2nd week'!$D$12:$D$60,Dashboard!$S$7)+SUMIFS('3rd week'!$L$12:$L$60,'3rd week'!$B$12:$B$60,Dashboard!M25,'3rd week'!$D$12:$D$60,Dashboard!$S$7)+SUMIFS('4th week'!$L$12:$L$60,'4th week'!$B$12:$B$60,Dashboard!M25,'4th week'!$D$12:$D$60,Dashboard!$S$7)+SUMIFS('5th week'!$L$12:$L$60,'5th week'!$B$12:$B$60,Dashboard!M25,'5th week'!$D$12:$D$60,Dashboard!$S$7)</f>
        <v>0</v>
      </c>
      <c r="T25" s="58">
        <f t="shared" si="0"/>
        <v>0</v>
      </c>
      <c r="U25" s="45"/>
    </row>
    <row r="26" spans="2:21" ht="13.8" x14ac:dyDescent="0.25">
      <c r="B26" s="45"/>
      <c r="C26" s="46"/>
      <c r="D26" s="46"/>
      <c r="E26" s="46"/>
      <c r="F26" s="46"/>
      <c r="G26" s="46"/>
      <c r="H26" s="46"/>
      <c r="I26" s="46"/>
      <c r="J26" s="46"/>
      <c r="L26" s="45"/>
      <c r="M26" s="57" t="str">
        <f>'(Drop Down) Data Base '!B23</f>
        <v>22-104</v>
      </c>
      <c r="N26" s="57" t="str">
        <f>'(Drop Down) Data Base '!C23</f>
        <v>Projek 19</v>
      </c>
      <c r="O26" s="52">
        <f>SUMIFS('1st week'!$L$12:$L$60,'1st week'!$B$12:$B$60,Dashboard!M26,'1st week'!$D$12:$D$60,Dashboard!$O$7)+SUMIFS('2nd week'!$L$12:$L$60,'2nd week'!$B$12:$B$60,Dashboard!M26,'2nd week'!$D$12:$D$60,Dashboard!$O$7)+SUMIFS('3rd week'!$L$12:$L$60,'3rd week'!$B$12:$B$60,Dashboard!M26,'3rd week'!$D$12:$D$60,Dashboard!$O$7)+SUMIFS('4th week'!$L$12:$L$60,'4th week'!$B$12:$B$60,Dashboard!M26,'4th week'!$D$12:$D$60,Dashboard!$O$7)+SUMIFS('5th week'!$L$12:$L$60,'5th week'!$B$12:$B$60,Dashboard!M26,'5th week'!$D$12:$D$60,Dashboard!$O$7)</f>
        <v>0</v>
      </c>
      <c r="P26" s="52">
        <f>SUMIFS('1st week'!$L$12:$L$60,'1st week'!$B$12:$B$60,Dashboard!M26,'1st week'!$D$12:$D$60,Dashboard!$P$7)+SUMIFS('2nd week'!$L$12:$L$60,'2nd week'!$B$12:$B$60,Dashboard!M26,'2nd week'!$D$12:$D$60,Dashboard!$P$7)+SUMIFS('3rd week'!$L$12:$L$60,'3rd week'!$B$12:$B$60,Dashboard!M26,'3rd week'!$D$12:$D$60,Dashboard!$P$7)+SUMIFS('4th week'!$L$12:$L$60,'4th week'!$B$12:$B$60,Dashboard!M26,'4th week'!$D$12:$D$60,Dashboard!$P$7)+SUMIFS('5th week'!$L$12:$L$60,'5th week'!$B$12:$B$60,Dashboard!M26,'5th week'!$D$12:$D$60,Dashboard!$P$7)</f>
        <v>0</v>
      </c>
      <c r="Q26" s="52">
        <f>SUMIFS('1st week'!$L$12:$L$60,'1st week'!$B$12:$B$60,Dashboard!M26,'1st week'!$D$12:$D$60,Dashboard!$Q$7)+SUMIFS('2nd week'!$L$12:$L$60,'2nd week'!$B$12:$B$60,Dashboard!M26,'2nd week'!$D$12:$D$60,Dashboard!$Q$7)+SUMIFS('3rd week'!$L$12:$L$60,'3rd week'!$B$12:$B$60,Dashboard!M26,'3rd week'!$D$12:$D$60,Dashboard!$Q$7)+SUMIFS('4th week'!$L$12:$L$60,'4th week'!$B$12:$B$60,Dashboard!M26,'4th week'!$D$12:$D$60,Dashboard!$Q$7)+SUMIFS('5th week'!$L$12:$L$60,'5th week'!$B$12:$B$60,Dashboard!M26,'5th week'!$D$12:$D$60,Dashboard!$Q$7)</f>
        <v>0</v>
      </c>
      <c r="R26" s="52">
        <f>SUMIFS('1st week'!$L$12:$L$60,'1st week'!$B$12:$B$60,Dashboard!M26,'1st week'!$D$12:$D$60,Dashboard!$R$7)+SUMIFS('2nd week'!$L$12:$L$60,'2nd week'!$B$12:$B$60,Dashboard!M26,'2nd week'!$D$12:$D$60,Dashboard!$R$7)+SUMIFS('3rd week'!$L$12:$L$60,'3rd week'!$B$12:$B$60,Dashboard!M26,'3rd week'!$D$12:$D$60,Dashboard!$R$7)+SUMIFS('4th week'!$L$12:$L$60,'4th week'!$B$12:$B$60,Dashboard!M26,'4th week'!$D$12:$D$60,Dashboard!$R$7)+SUMIFS('5th week'!$L$12:$L$60,'5th week'!$B$12:$B$60,Dashboard!M26,'5th week'!$D$12:$D$60,Dashboard!$R$7)</f>
        <v>0</v>
      </c>
      <c r="S26" s="52">
        <f>SUMIFS('1st week'!$L$12:$L$60,'1st week'!$B$12:$B$60,Dashboard!M26,'1st week'!$D$12:$D$60,Dashboard!$S$7)+SUMIFS('2nd week'!$L$12:$L$60,'2nd week'!$B$12:$B$60,Dashboard!M26,'2nd week'!$D$12:$D$60,Dashboard!$S$7)+SUMIFS('3rd week'!$L$12:$L$60,'3rd week'!$B$12:$B$60,Dashboard!M26,'3rd week'!$D$12:$D$60,Dashboard!$S$7)+SUMIFS('4th week'!$L$12:$L$60,'4th week'!$B$12:$B$60,Dashboard!M26,'4th week'!$D$12:$D$60,Dashboard!$S$7)+SUMIFS('5th week'!$L$12:$L$60,'5th week'!$B$12:$B$60,Dashboard!M26,'5th week'!$D$12:$D$60,Dashboard!$S$7)</f>
        <v>0</v>
      </c>
      <c r="T26" s="58">
        <f t="shared" si="0"/>
        <v>0</v>
      </c>
      <c r="U26" s="45"/>
    </row>
    <row r="27" spans="2:21" ht="13.8" x14ac:dyDescent="0.25">
      <c r="B27" s="45"/>
      <c r="C27" s="46"/>
      <c r="D27" s="46"/>
      <c r="E27" s="46"/>
      <c r="F27" s="46"/>
      <c r="G27" s="46"/>
      <c r="H27" s="46"/>
      <c r="I27" s="46"/>
      <c r="J27" s="46"/>
      <c r="L27" s="45"/>
      <c r="M27" s="57" t="str">
        <f>'(Drop Down) Data Base '!B24</f>
        <v>21-101</v>
      </c>
      <c r="N27" s="57" t="str">
        <f>'(Drop Down) Data Base '!C24</f>
        <v>Projek 20</v>
      </c>
      <c r="O27" s="52">
        <f>SUMIFS('1st week'!$L$12:$L$60,'1st week'!$B$12:$B$60,Dashboard!M27,'1st week'!$D$12:$D$60,Dashboard!$O$7)+SUMIFS('2nd week'!$L$12:$L$60,'2nd week'!$B$12:$B$60,Dashboard!M27,'2nd week'!$D$12:$D$60,Dashboard!$O$7)+SUMIFS('3rd week'!$L$12:$L$60,'3rd week'!$B$12:$B$60,Dashboard!M27,'3rd week'!$D$12:$D$60,Dashboard!$O$7)+SUMIFS('4th week'!$L$12:$L$60,'4th week'!$B$12:$B$60,Dashboard!M27,'4th week'!$D$12:$D$60,Dashboard!$O$7)+SUMIFS('5th week'!$L$12:$L$60,'5th week'!$B$12:$B$60,Dashboard!M27,'5th week'!$D$12:$D$60,Dashboard!$O$7)</f>
        <v>0</v>
      </c>
      <c r="P27" s="52">
        <f>SUMIFS('1st week'!$L$12:$L$60,'1st week'!$B$12:$B$60,Dashboard!M27,'1st week'!$D$12:$D$60,Dashboard!$P$7)+SUMIFS('2nd week'!$L$12:$L$60,'2nd week'!$B$12:$B$60,Dashboard!M27,'2nd week'!$D$12:$D$60,Dashboard!$P$7)+SUMIFS('3rd week'!$L$12:$L$60,'3rd week'!$B$12:$B$60,Dashboard!M27,'3rd week'!$D$12:$D$60,Dashboard!$P$7)+SUMIFS('4th week'!$L$12:$L$60,'4th week'!$B$12:$B$60,Dashboard!M27,'4th week'!$D$12:$D$60,Dashboard!$P$7)+SUMIFS('5th week'!$L$12:$L$60,'5th week'!$B$12:$B$60,Dashboard!M27,'5th week'!$D$12:$D$60,Dashboard!$P$7)</f>
        <v>0</v>
      </c>
      <c r="Q27" s="52">
        <f>SUMIFS('1st week'!$L$12:$L$60,'1st week'!$B$12:$B$60,Dashboard!M27,'1st week'!$D$12:$D$60,Dashboard!$Q$7)+SUMIFS('2nd week'!$L$12:$L$60,'2nd week'!$B$12:$B$60,Dashboard!M27,'2nd week'!$D$12:$D$60,Dashboard!$Q$7)+SUMIFS('3rd week'!$L$12:$L$60,'3rd week'!$B$12:$B$60,Dashboard!M27,'3rd week'!$D$12:$D$60,Dashboard!$Q$7)+SUMIFS('4th week'!$L$12:$L$60,'4th week'!$B$12:$B$60,Dashboard!M27,'4th week'!$D$12:$D$60,Dashboard!$Q$7)+SUMIFS('5th week'!$L$12:$L$60,'5th week'!$B$12:$B$60,Dashboard!M27,'5th week'!$D$12:$D$60,Dashboard!$Q$7)</f>
        <v>0</v>
      </c>
      <c r="R27" s="52">
        <f>SUMIFS('1st week'!$L$12:$L$60,'1st week'!$B$12:$B$60,Dashboard!M27,'1st week'!$D$12:$D$60,Dashboard!$R$7)+SUMIFS('2nd week'!$L$12:$L$60,'2nd week'!$B$12:$B$60,Dashboard!M27,'2nd week'!$D$12:$D$60,Dashboard!$R$7)+SUMIFS('3rd week'!$L$12:$L$60,'3rd week'!$B$12:$B$60,Dashboard!M27,'3rd week'!$D$12:$D$60,Dashboard!$R$7)+SUMIFS('4th week'!$L$12:$L$60,'4th week'!$B$12:$B$60,Dashboard!M27,'4th week'!$D$12:$D$60,Dashboard!$R$7)+SUMIFS('5th week'!$L$12:$L$60,'5th week'!$B$12:$B$60,Dashboard!M27,'5th week'!$D$12:$D$60,Dashboard!$R$7)</f>
        <v>0</v>
      </c>
      <c r="S27" s="52">
        <f>SUMIFS('1st week'!$L$12:$L$60,'1st week'!$B$12:$B$60,Dashboard!M27,'1st week'!$D$12:$D$60,Dashboard!$S$7)+SUMIFS('2nd week'!$L$12:$L$60,'2nd week'!$B$12:$B$60,Dashboard!M27,'2nd week'!$D$12:$D$60,Dashboard!$S$7)+SUMIFS('3rd week'!$L$12:$L$60,'3rd week'!$B$12:$B$60,Dashboard!M27,'3rd week'!$D$12:$D$60,Dashboard!$S$7)+SUMIFS('4th week'!$L$12:$L$60,'4th week'!$B$12:$B$60,Dashboard!M27,'4th week'!$D$12:$D$60,Dashboard!$S$7)+SUMIFS('5th week'!$L$12:$L$60,'5th week'!$B$12:$B$60,Dashboard!M27,'5th week'!$D$12:$D$60,Dashboard!$S$7)</f>
        <v>0</v>
      </c>
      <c r="T27" s="58">
        <f t="shared" si="0"/>
        <v>0</v>
      </c>
      <c r="U27" s="45"/>
    </row>
    <row r="28" spans="2:21" ht="13.8" x14ac:dyDescent="0.25">
      <c r="B28" s="45"/>
      <c r="C28" s="46"/>
      <c r="D28" s="46"/>
      <c r="E28" s="46"/>
      <c r="F28" s="46"/>
      <c r="G28" s="46"/>
      <c r="H28" s="46"/>
      <c r="I28" s="46"/>
      <c r="J28" s="46"/>
      <c r="L28" s="45"/>
      <c r="M28" s="57" t="str">
        <f>'(Drop Down) Data Base '!B25</f>
        <v>22-106</v>
      </c>
      <c r="N28" s="57" t="str">
        <f>'(Drop Down) Data Base '!C25</f>
        <v>Projek 21</v>
      </c>
      <c r="O28" s="52">
        <f>SUMIFS('1st week'!$L$12:$L$60,'1st week'!$B$12:$B$60,Dashboard!M28,'1st week'!$D$12:$D$60,Dashboard!$O$7)+SUMIFS('2nd week'!$L$12:$L$60,'2nd week'!$B$12:$B$60,Dashboard!M28,'2nd week'!$D$12:$D$60,Dashboard!$O$7)+SUMIFS('3rd week'!$L$12:$L$60,'3rd week'!$B$12:$B$60,Dashboard!M28,'3rd week'!$D$12:$D$60,Dashboard!$O$7)+SUMIFS('4th week'!$L$12:$L$60,'4th week'!$B$12:$B$60,Dashboard!M28,'4th week'!$D$12:$D$60,Dashboard!$O$7)+SUMIFS('5th week'!$L$12:$L$60,'5th week'!$B$12:$B$60,Dashboard!M28,'5th week'!$D$12:$D$60,Dashboard!$O$7)</f>
        <v>0</v>
      </c>
      <c r="P28" s="52">
        <f>SUMIFS('1st week'!$L$12:$L$60,'1st week'!$B$12:$B$60,Dashboard!M28,'1st week'!$D$12:$D$60,Dashboard!$P$7)+SUMIFS('2nd week'!$L$12:$L$60,'2nd week'!$B$12:$B$60,Dashboard!M28,'2nd week'!$D$12:$D$60,Dashboard!$P$7)+SUMIFS('3rd week'!$L$12:$L$60,'3rd week'!$B$12:$B$60,Dashboard!M28,'3rd week'!$D$12:$D$60,Dashboard!$P$7)+SUMIFS('4th week'!$L$12:$L$60,'4th week'!$B$12:$B$60,Dashboard!M28,'4th week'!$D$12:$D$60,Dashboard!$P$7)+SUMIFS('5th week'!$L$12:$L$60,'5th week'!$B$12:$B$60,Dashboard!M28,'5th week'!$D$12:$D$60,Dashboard!$P$7)</f>
        <v>0</v>
      </c>
      <c r="Q28" s="52">
        <f>SUMIFS('1st week'!$L$12:$L$60,'1st week'!$B$12:$B$60,Dashboard!M28,'1st week'!$D$12:$D$60,Dashboard!$Q$7)+SUMIFS('2nd week'!$L$12:$L$60,'2nd week'!$B$12:$B$60,Dashboard!M28,'2nd week'!$D$12:$D$60,Dashboard!$Q$7)+SUMIFS('3rd week'!$L$12:$L$60,'3rd week'!$B$12:$B$60,Dashboard!M28,'3rd week'!$D$12:$D$60,Dashboard!$Q$7)+SUMIFS('4th week'!$L$12:$L$60,'4th week'!$B$12:$B$60,Dashboard!M28,'4th week'!$D$12:$D$60,Dashboard!$Q$7)+SUMIFS('5th week'!$L$12:$L$60,'5th week'!$B$12:$B$60,Dashboard!M28,'5th week'!$D$12:$D$60,Dashboard!$Q$7)</f>
        <v>0</v>
      </c>
      <c r="R28" s="52">
        <f>SUMIFS('1st week'!$L$12:$L$60,'1st week'!$B$12:$B$60,Dashboard!M28,'1st week'!$D$12:$D$60,Dashboard!$R$7)+SUMIFS('2nd week'!$L$12:$L$60,'2nd week'!$B$12:$B$60,Dashboard!M28,'2nd week'!$D$12:$D$60,Dashboard!$R$7)+SUMIFS('3rd week'!$L$12:$L$60,'3rd week'!$B$12:$B$60,Dashboard!M28,'3rd week'!$D$12:$D$60,Dashboard!$R$7)+SUMIFS('4th week'!$L$12:$L$60,'4th week'!$B$12:$B$60,Dashboard!M28,'4th week'!$D$12:$D$60,Dashboard!$R$7)+SUMIFS('5th week'!$L$12:$L$60,'5th week'!$B$12:$B$60,Dashboard!M28,'5th week'!$D$12:$D$60,Dashboard!$R$7)</f>
        <v>0</v>
      </c>
      <c r="S28" s="52">
        <f>SUMIFS('1st week'!$L$12:$L$60,'1st week'!$B$12:$B$60,Dashboard!M28,'1st week'!$D$12:$D$60,Dashboard!$S$7)+SUMIFS('2nd week'!$L$12:$L$60,'2nd week'!$B$12:$B$60,Dashboard!M28,'2nd week'!$D$12:$D$60,Dashboard!$S$7)+SUMIFS('3rd week'!$L$12:$L$60,'3rd week'!$B$12:$B$60,Dashboard!M28,'3rd week'!$D$12:$D$60,Dashboard!$S$7)+SUMIFS('4th week'!$L$12:$L$60,'4th week'!$B$12:$B$60,Dashboard!M28,'4th week'!$D$12:$D$60,Dashboard!$S$7)+SUMIFS('5th week'!$L$12:$L$60,'5th week'!$B$12:$B$60,Dashboard!M28,'5th week'!$D$12:$D$60,Dashboard!$S$7)</f>
        <v>0</v>
      </c>
      <c r="T28" s="58">
        <f t="shared" si="0"/>
        <v>0</v>
      </c>
      <c r="U28" s="45"/>
    </row>
    <row r="29" spans="2:21" ht="13.8" x14ac:dyDescent="0.25">
      <c r="B29" s="45"/>
      <c r="C29" s="46"/>
      <c r="D29" s="46"/>
      <c r="E29" s="46"/>
      <c r="F29" s="46"/>
      <c r="G29" s="46"/>
      <c r="H29" s="46"/>
      <c r="I29" s="46"/>
      <c r="J29" s="46"/>
      <c r="L29" s="45"/>
      <c r="M29" s="57" t="str">
        <f>'(Drop Down) Data Base '!B26</f>
        <v>22-102</v>
      </c>
      <c r="N29" s="57" t="str">
        <f>'(Drop Down) Data Base '!C26</f>
        <v>Projek 22</v>
      </c>
      <c r="O29" s="52">
        <f>SUMIFS('1st week'!$L$12:$L$60,'1st week'!$B$12:$B$60,Dashboard!M29,'1st week'!$D$12:$D$60,Dashboard!$O$7)+SUMIFS('2nd week'!$L$12:$L$60,'2nd week'!$B$12:$B$60,Dashboard!M29,'2nd week'!$D$12:$D$60,Dashboard!$O$7)+SUMIFS('3rd week'!$L$12:$L$60,'3rd week'!$B$12:$B$60,Dashboard!M29,'3rd week'!$D$12:$D$60,Dashboard!$O$7)+SUMIFS('4th week'!$L$12:$L$60,'4th week'!$B$12:$B$60,Dashboard!M29,'4th week'!$D$12:$D$60,Dashboard!$O$7)+SUMIFS('5th week'!$L$12:$L$60,'5th week'!$B$12:$B$60,Dashboard!M29,'5th week'!$D$12:$D$60,Dashboard!$O$7)</f>
        <v>0</v>
      </c>
      <c r="P29" s="52">
        <f>SUMIFS('1st week'!$L$12:$L$60,'1st week'!$B$12:$B$60,Dashboard!M29,'1st week'!$D$12:$D$60,Dashboard!$P$7)+SUMIFS('2nd week'!$L$12:$L$60,'2nd week'!$B$12:$B$60,Dashboard!M29,'2nd week'!$D$12:$D$60,Dashboard!$P$7)+SUMIFS('3rd week'!$L$12:$L$60,'3rd week'!$B$12:$B$60,Dashboard!M29,'3rd week'!$D$12:$D$60,Dashboard!$P$7)+SUMIFS('4th week'!$L$12:$L$60,'4th week'!$B$12:$B$60,Dashboard!M29,'4th week'!$D$12:$D$60,Dashboard!$P$7)+SUMIFS('5th week'!$L$12:$L$60,'5th week'!$B$12:$B$60,Dashboard!M29,'5th week'!$D$12:$D$60,Dashboard!$P$7)</f>
        <v>0</v>
      </c>
      <c r="Q29" s="52">
        <f>SUMIFS('1st week'!$L$12:$L$60,'1st week'!$B$12:$B$60,Dashboard!M29,'1st week'!$D$12:$D$60,Dashboard!$Q$7)+SUMIFS('2nd week'!$L$12:$L$60,'2nd week'!$B$12:$B$60,Dashboard!M29,'2nd week'!$D$12:$D$60,Dashboard!$Q$7)+SUMIFS('3rd week'!$L$12:$L$60,'3rd week'!$B$12:$B$60,Dashboard!M29,'3rd week'!$D$12:$D$60,Dashboard!$Q$7)+SUMIFS('4th week'!$L$12:$L$60,'4th week'!$B$12:$B$60,Dashboard!M29,'4th week'!$D$12:$D$60,Dashboard!$Q$7)+SUMIFS('5th week'!$L$12:$L$60,'5th week'!$B$12:$B$60,Dashboard!M29,'5th week'!$D$12:$D$60,Dashboard!$Q$7)</f>
        <v>0</v>
      </c>
      <c r="R29" s="52">
        <f>SUMIFS('1st week'!$L$12:$L$60,'1st week'!$B$12:$B$60,Dashboard!M29,'1st week'!$D$12:$D$60,Dashboard!$R$7)+SUMIFS('2nd week'!$L$12:$L$60,'2nd week'!$B$12:$B$60,Dashboard!M29,'2nd week'!$D$12:$D$60,Dashboard!$R$7)+SUMIFS('3rd week'!$L$12:$L$60,'3rd week'!$B$12:$B$60,Dashboard!M29,'3rd week'!$D$12:$D$60,Dashboard!$R$7)+SUMIFS('4th week'!$L$12:$L$60,'4th week'!$B$12:$B$60,Dashboard!M29,'4th week'!$D$12:$D$60,Dashboard!$R$7)+SUMIFS('5th week'!$L$12:$L$60,'5th week'!$B$12:$B$60,Dashboard!M29,'5th week'!$D$12:$D$60,Dashboard!$R$7)</f>
        <v>0</v>
      </c>
      <c r="S29" s="52">
        <f>SUMIFS('1st week'!$L$12:$L$60,'1st week'!$B$12:$B$60,Dashboard!M29,'1st week'!$D$12:$D$60,Dashboard!$S$7)+SUMIFS('2nd week'!$L$12:$L$60,'2nd week'!$B$12:$B$60,Dashboard!M29,'2nd week'!$D$12:$D$60,Dashboard!$S$7)+SUMIFS('3rd week'!$L$12:$L$60,'3rd week'!$B$12:$B$60,Dashboard!M29,'3rd week'!$D$12:$D$60,Dashboard!$S$7)+SUMIFS('4th week'!$L$12:$L$60,'4th week'!$B$12:$B$60,Dashboard!M29,'4th week'!$D$12:$D$60,Dashboard!$S$7)+SUMIFS('5th week'!$L$12:$L$60,'5th week'!$B$12:$B$60,Dashboard!M29,'5th week'!$D$12:$D$60,Dashboard!$S$7)</f>
        <v>0</v>
      </c>
      <c r="T29" s="58">
        <f t="shared" si="0"/>
        <v>0</v>
      </c>
      <c r="U29" s="45"/>
    </row>
    <row r="30" spans="2:21" ht="13.8" x14ac:dyDescent="0.25">
      <c r="B30" s="45"/>
      <c r="C30" s="46"/>
      <c r="D30" s="46"/>
      <c r="E30" s="46"/>
      <c r="F30" s="46"/>
      <c r="G30" s="46"/>
      <c r="H30" s="46"/>
      <c r="I30" s="46"/>
      <c r="J30" s="46"/>
      <c r="L30" s="45"/>
      <c r="M30" s="57" t="str">
        <f>'(Drop Down) Data Base '!B27</f>
        <v>22-103</v>
      </c>
      <c r="N30" s="57" t="str">
        <f>'(Drop Down) Data Base '!C27</f>
        <v>Projek 23</v>
      </c>
      <c r="O30" s="52">
        <f>SUMIFS('1st week'!$L$12:$L$60,'1st week'!$B$12:$B$60,Dashboard!M30,'1st week'!$D$12:$D$60,Dashboard!$O$7)+SUMIFS('2nd week'!$L$12:$L$60,'2nd week'!$B$12:$B$60,Dashboard!M30,'2nd week'!$D$12:$D$60,Dashboard!$O$7)+SUMIFS('3rd week'!$L$12:$L$60,'3rd week'!$B$12:$B$60,Dashboard!M30,'3rd week'!$D$12:$D$60,Dashboard!$O$7)+SUMIFS('4th week'!$L$12:$L$60,'4th week'!$B$12:$B$60,Dashboard!M30,'4th week'!$D$12:$D$60,Dashboard!$O$7)+SUMIFS('5th week'!$L$12:$L$60,'5th week'!$B$12:$B$60,Dashboard!M30,'5th week'!$D$12:$D$60,Dashboard!$O$7)</f>
        <v>0</v>
      </c>
      <c r="P30" s="52">
        <f>SUMIFS('1st week'!$L$12:$L$60,'1st week'!$B$12:$B$60,Dashboard!M30,'1st week'!$D$12:$D$60,Dashboard!$P$7)+SUMIFS('2nd week'!$L$12:$L$60,'2nd week'!$B$12:$B$60,Dashboard!M30,'2nd week'!$D$12:$D$60,Dashboard!$P$7)+SUMIFS('3rd week'!$L$12:$L$60,'3rd week'!$B$12:$B$60,Dashboard!M30,'3rd week'!$D$12:$D$60,Dashboard!$P$7)+SUMIFS('4th week'!$L$12:$L$60,'4th week'!$B$12:$B$60,Dashboard!M30,'4th week'!$D$12:$D$60,Dashboard!$P$7)+SUMIFS('5th week'!$L$12:$L$60,'5th week'!$B$12:$B$60,Dashboard!M30,'5th week'!$D$12:$D$60,Dashboard!$P$7)</f>
        <v>0</v>
      </c>
      <c r="Q30" s="52">
        <f>SUMIFS('1st week'!$L$12:$L$60,'1st week'!$B$12:$B$60,Dashboard!M30,'1st week'!$D$12:$D$60,Dashboard!$Q$7)+SUMIFS('2nd week'!$L$12:$L$60,'2nd week'!$B$12:$B$60,Dashboard!M30,'2nd week'!$D$12:$D$60,Dashboard!$Q$7)+SUMIFS('3rd week'!$L$12:$L$60,'3rd week'!$B$12:$B$60,Dashboard!M30,'3rd week'!$D$12:$D$60,Dashboard!$Q$7)+SUMIFS('4th week'!$L$12:$L$60,'4th week'!$B$12:$B$60,Dashboard!M30,'4th week'!$D$12:$D$60,Dashboard!$Q$7)+SUMIFS('5th week'!$L$12:$L$60,'5th week'!$B$12:$B$60,Dashboard!M30,'5th week'!$D$12:$D$60,Dashboard!$Q$7)</f>
        <v>0</v>
      </c>
      <c r="R30" s="52">
        <f>SUMIFS('1st week'!$L$12:$L$60,'1st week'!$B$12:$B$60,Dashboard!M30,'1st week'!$D$12:$D$60,Dashboard!$R$7)+SUMIFS('2nd week'!$L$12:$L$60,'2nd week'!$B$12:$B$60,Dashboard!M30,'2nd week'!$D$12:$D$60,Dashboard!$R$7)+SUMIFS('3rd week'!$L$12:$L$60,'3rd week'!$B$12:$B$60,Dashboard!M30,'3rd week'!$D$12:$D$60,Dashboard!$R$7)+SUMIFS('4th week'!$L$12:$L$60,'4th week'!$B$12:$B$60,Dashboard!M30,'4th week'!$D$12:$D$60,Dashboard!$R$7)+SUMIFS('5th week'!$L$12:$L$60,'5th week'!$B$12:$B$60,Dashboard!M30,'5th week'!$D$12:$D$60,Dashboard!$R$7)</f>
        <v>0</v>
      </c>
      <c r="S30" s="52">
        <f>SUMIFS('1st week'!$L$12:$L$60,'1st week'!$B$12:$B$60,Dashboard!M30,'1st week'!$D$12:$D$60,Dashboard!$S$7)+SUMIFS('2nd week'!$L$12:$L$60,'2nd week'!$B$12:$B$60,Dashboard!M30,'2nd week'!$D$12:$D$60,Dashboard!$S$7)+SUMIFS('3rd week'!$L$12:$L$60,'3rd week'!$B$12:$B$60,Dashboard!M30,'3rd week'!$D$12:$D$60,Dashboard!$S$7)+SUMIFS('4th week'!$L$12:$L$60,'4th week'!$B$12:$B$60,Dashboard!M30,'4th week'!$D$12:$D$60,Dashboard!$S$7)+SUMIFS('5th week'!$L$12:$L$60,'5th week'!$B$12:$B$60,Dashboard!M30,'5th week'!$D$12:$D$60,Dashboard!$S$7)</f>
        <v>0</v>
      </c>
      <c r="T30" s="58">
        <f t="shared" si="0"/>
        <v>0</v>
      </c>
      <c r="U30" s="45"/>
    </row>
    <row r="31" spans="2:21" ht="13.8" x14ac:dyDescent="0.25">
      <c r="B31" s="45"/>
      <c r="C31" s="46"/>
      <c r="D31" s="46"/>
      <c r="E31" s="46"/>
      <c r="F31" s="46"/>
      <c r="G31" s="46"/>
      <c r="H31" s="46"/>
      <c r="I31" s="46"/>
      <c r="J31" s="46"/>
      <c r="L31" s="45"/>
      <c r="M31" s="57" t="str">
        <f>'(Drop Down) Data Base '!B28</f>
        <v>21-406</v>
      </c>
      <c r="N31" s="57" t="str">
        <f>'(Drop Down) Data Base '!C28</f>
        <v>Projek 24</v>
      </c>
      <c r="O31" s="52">
        <f>SUMIFS('1st week'!$L$12:$L$60,'1st week'!$B$12:$B$60,Dashboard!M31,'1st week'!$D$12:$D$60,Dashboard!$O$7)+SUMIFS('2nd week'!$L$12:$L$60,'2nd week'!$B$12:$B$60,Dashboard!M31,'2nd week'!$D$12:$D$60,Dashboard!$O$7)+SUMIFS('3rd week'!$L$12:$L$60,'3rd week'!$B$12:$B$60,Dashboard!M31,'3rd week'!$D$12:$D$60,Dashboard!$O$7)+SUMIFS('4th week'!$L$12:$L$60,'4th week'!$B$12:$B$60,Dashboard!M31,'4th week'!$D$12:$D$60,Dashboard!$O$7)+SUMIFS('5th week'!$L$12:$L$60,'5th week'!$B$12:$B$60,Dashboard!M31,'5th week'!$D$12:$D$60,Dashboard!$O$7)</f>
        <v>0</v>
      </c>
      <c r="P31" s="52">
        <f>SUMIFS('1st week'!$L$12:$L$60,'1st week'!$B$12:$B$60,Dashboard!M31,'1st week'!$D$12:$D$60,Dashboard!$P$7)+SUMIFS('2nd week'!$L$12:$L$60,'2nd week'!$B$12:$B$60,Dashboard!M31,'2nd week'!$D$12:$D$60,Dashboard!$P$7)+SUMIFS('3rd week'!$L$12:$L$60,'3rd week'!$B$12:$B$60,Dashboard!M31,'3rd week'!$D$12:$D$60,Dashboard!$P$7)+SUMIFS('4th week'!$L$12:$L$60,'4th week'!$B$12:$B$60,Dashboard!M31,'4th week'!$D$12:$D$60,Dashboard!$P$7)+SUMIFS('5th week'!$L$12:$L$60,'5th week'!$B$12:$B$60,Dashboard!M31,'5th week'!$D$12:$D$60,Dashboard!$P$7)</f>
        <v>10</v>
      </c>
      <c r="Q31" s="52">
        <f>SUMIFS('1st week'!$L$12:$L$60,'1st week'!$B$12:$B$60,Dashboard!M31,'1st week'!$D$12:$D$60,Dashboard!$Q$7)+SUMIFS('2nd week'!$L$12:$L$60,'2nd week'!$B$12:$B$60,Dashboard!M31,'2nd week'!$D$12:$D$60,Dashboard!$Q$7)+SUMIFS('3rd week'!$L$12:$L$60,'3rd week'!$B$12:$B$60,Dashboard!M31,'3rd week'!$D$12:$D$60,Dashboard!$Q$7)+SUMIFS('4th week'!$L$12:$L$60,'4th week'!$B$12:$B$60,Dashboard!M31,'4th week'!$D$12:$D$60,Dashboard!$Q$7)+SUMIFS('5th week'!$L$12:$L$60,'5th week'!$B$12:$B$60,Dashboard!M31,'5th week'!$D$12:$D$60,Dashboard!$Q$7)</f>
        <v>0</v>
      </c>
      <c r="R31" s="52">
        <f>SUMIFS('1st week'!$L$12:$L$60,'1st week'!$B$12:$B$60,Dashboard!M31,'1st week'!$D$12:$D$60,Dashboard!$R$7)+SUMIFS('2nd week'!$L$12:$L$60,'2nd week'!$B$12:$B$60,Dashboard!M31,'2nd week'!$D$12:$D$60,Dashboard!$R$7)+SUMIFS('3rd week'!$L$12:$L$60,'3rd week'!$B$12:$B$60,Dashboard!M31,'3rd week'!$D$12:$D$60,Dashboard!$R$7)+SUMIFS('4th week'!$L$12:$L$60,'4th week'!$B$12:$B$60,Dashboard!M31,'4th week'!$D$12:$D$60,Dashboard!$R$7)+SUMIFS('5th week'!$L$12:$L$60,'5th week'!$B$12:$B$60,Dashboard!M31,'5th week'!$D$12:$D$60,Dashboard!$R$7)</f>
        <v>0</v>
      </c>
      <c r="S31" s="52">
        <f>SUMIFS('1st week'!$L$12:$L$60,'1st week'!$B$12:$B$60,Dashboard!M31,'1st week'!$D$12:$D$60,Dashboard!$S$7)+SUMIFS('2nd week'!$L$12:$L$60,'2nd week'!$B$12:$B$60,Dashboard!M31,'2nd week'!$D$12:$D$60,Dashboard!$S$7)+SUMIFS('3rd week'!$L$12:$L$60,'3rd week'!$B$12:$B$60,Dashboard!M31,'3rd week'!$D$12:$D$60,Dashboard!$S$7)+SUMIFS('4th week'!$L$12:$L$60,'4th week'!$B$12:$B$60,Dashboard!M31,'4th week'!$D$12:$D$60,Dashboard!$S$7)+SUMIFS('5th week'!$L$12:$L$60,'5th week'!$B$12:$B$60,Dashboard!M31,'5th week'!$D$12:$D$60,Dashboard!$S$7)</f>
        <v>0</v>
      </c>
      <c r="T31" s="58">
        <f t="shared" si="0"/>
        <v>10</v>
      </c>
      <c r="U31" s="45"/>
    </row>
    <row r="32" spans="2:21" ht="13.8" x14ac:dyDescent="0.25">
      <c r="B32" s="45"/>
      <c r="C32" s="46"/>
      <c r="D32" s="46"/>
      <c r="E32" s="46"/>
      <c r="F32" s="46"/>
      <c r="G32" s="46"/>
      <c r="H32" s="46"/>
      <c r="I32" s="46"/>
      <c r="J32" s="46"/>
      <c r="L32" s="45"/>
      <c r="M32" s="57">
        <f>'(Drop Down) Data Base '!B29</f>
        <v>0</v>
      </c>
      <c r="N32" s="57">
        <f>'(Drop Down) Data Base '!C29</f>
        <v>0</v>
      </c>
      <c r="O32" s="52">
        <f>SUMIFS('1st week'!$L$12:$L$60,'1st week'!$B$12:$B$60,Dashboard!M32,'1st week'!$D$12:$D$60,Dashboard!$O$7)+SUMIFS('2nd week'!$L$12:$L$60,'2nd week'!$B$12:$B$60,Dashboard!M32,'2nd week'!$D$12:$D$60,Dashboard!$O$7)+SUMIFS('3rd week'!$L$12:$L$60,'3rd week'!$B$12:$B$60,Dashboard!M32,'3rd week'!$D$12:$D$60,Dashboard!$O$7)+SUMIFS('4th week'!$L$12:$L$60,'4th week'!$B$12:$B$60,Dashboard!M32,'4th week'!$D$12:$D$60,Dashboard!$O$7)+SUMIFS('5th week'!$L$12:$L$60,'5th week'!$B$12:$B$60,Dashboard!M32,'5th week'!$D$12:$D$60,Dashboard!$O$7)</f>
        <v>0</v>
      </c>
      <c r="P32" s="52">
        <f>SUMIFS('1st week'!$L$12:$L$60,'1st week'!$B$12:$B$60,Dashboard!M32,'1st week'!$D$12:$D$60,Dashboard!$P$7)+SUMIFS('2nd week'!$L$12:$L$60,'2nd week'!$B$12:$B$60,Dashboard!M32,'2nd week'!$D$12:$D$60,Dashboard!$P$7)+SUMIFS('3rd week'!$L$12:$L$60,'3rd week'!$B$12:$B$60,Dashboard!M32,'3rd week'!$D$12:$D$60,Dashboard!$P$7)+SUMIFS('4th week'!$L$12:$L$60,'4th week'!$B$12:$B$60,Dashboard!M32,'4th week'!$D$12:$D$60,Dashboard!$P$7)+SUMIFS('5th week'!$L$12:$L$60,'5th week'!$B$12:$B$60,Dashboard!M32,'5th week'!$D$12:$D$60,Dashboard!$P$7)</f>
        <v>0</v>
      </c>
      <c r="Q32" s="52">
        <f>SUMIFS('1st week'!$L$12:$L$60,'1st week'!$B$12:$B$60,Dashboard!M32,'1st week'!$D$12:$D$60,Dashboard!$Q$7)+SUMIFS('2nd week'!$L$12:$L$60,'2nd week'!$B$12:$B$60,Dashboard!M32,'2nd week'!$D$12:$D$60,Dashboard!$Q$7)+SUMIFS('3rd week'!$L$12:$L$60,'3rd week'!$B$12:$B$60,Dashboard!M32,'3rd week'!$D$12:$D$60,Dashboard!$Q$7)+SUMIFS('4th week'!$L$12:$L$60,'4th week'!$B$12:$B$60,Dashboard!M32,'4th week'!$D$12:$D$60,Dashboard!$Q$7)+SUMIFS('5th week'!$L$12:$L$60,'5th week'!$B$12:$B$60,Dashboard!M32,'5th week'!$D$12:$D$60,Dashboard!$Q$7)</f>
        <v>0</v>
      </c>
      <c r="R32" s="52">
        <f>SUMIFS('1st week'!$L$12:$L$60,'1st week'!$B$12:$B$60,Dashboard!M32,'1st week'!$D$12:$D$60,Dashboard!$R$7)+SUMIFS('2nd week'!$L$12:$L$60,'2nd week'!$B$12:$B$60,Dashboard!M32,'2nd week'!$D$12:$D$60,Dashboard!$R$7)+SUMIFS('3rd week'!$L$12:$L$60,'3rd week'!$B$12:$B$60,Dashboard!M32,'3rd week'!$D$12:$D$60,Dashboard!$R$7)+SUMIFS('4th week'!$L$12:$L$60,'4th week'!$B$12:$B$60,Dashboard!M32,'4th week'!$D$12:$D$60,Dashboard!$R$7)+SUMIFS('5th week'!$L$12:$L$60,'5th week'!$B$12:$B$60,Dashboard!M32,'5th week'!$D$12:$D$60,Dashboard!$R$7)</f>
        <v>0</v>
      </c>
      <c r="S32" s="52">
        <f>SUMIFS('1st week'!$L$12:$L$60,'1st week'!$B$12:$B$60,Dashboard!M32,'1st week'!$D$12:$D$60,Dashboard!$S$7)+SUMIFS('2nd week'!$L$12:$L$60,'2nd week'!$B$12:$B$60,Dashboard!M32,'2nd week'!$D$12:$D$60,Dashboard!$S$7)+SUMIFS('3rd week'!$L$12:$L$60,'3rd week'!$B$12:$B$60,Dashboard!M32,'3rd week'!$D$12:$D$60,Dashboard!$S$7)+SUMIFS('4th week'!$L$12:$L$60,'4th week'!$B$12:$B$60,Dashboard!M32,'4th week'!$D$12:$D$60,Dashboard!$S$7)+SUMIFS('5th week'!$L$12:$L$60,'5th week'!$B$12:$B$60,Dashboard!M32,'5th week'!$D$12:$D$60,Dashboard!$S$7)</f>
        <v>0</v>
      </c>
      <c r="T32" s="58">
        <f t="shared" ref="T32" si="1">SUM(O32:S32)</f>
        <v>0</v>
      </c>
      <c r="U32" s="45"/>
    </row>
  </sheetData>
  <mergeCells count="7">
    <mergeCell ref="M6:M7"/>
    <mergeCell ref="C2:F2"/>
    <mergeCell ref="C3:E3"/>
    <mergeCell ref="O5:T5"/>
    <mergeCell ref="N6:N7"/>
    <mergeCell ref="O6:S6"/>
    <mergeCell ref="T6:T7"/>
  </mergeCells>
  <phoneticPr fontId="27" type="noConversion"/>
  <printOptions horizontalCentered="1"/>
  <pageMargins left="0" right="0" top="0.5" bottom="0" header="0.3" footer="0.3"/>
  <pageSetup scale="80" orientation="landscape" r:id="rId1"/>
  <ignoredErrors>
    <ignoredError sqref="T8" calculatedColumn="1"/>
  </ignoredErrors>
  <drawing r:id="rId2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'(Drop Down) Data Base '!$D$5:$D$29</xm:f>
          </x14:formula1>
          <xm:sqref>O7:S7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53"/>
  <sheetViews>
    <sheetView showGridLines="0" showRowColHeaders="0" zoomScaleNormal="100" workbookViewId="0">
      <selection activeCell="G12" sqref="G12"/>
    </sheetView>
  </sheetViews>
  <sheetFormatPr defaultRowHeight="13.2" x14ac:dyDescent="0.25"/>
  <cols>
    <col min="1" max="1" width="1.109375" style="2" customWidth="1"/>
    <col min="2" max="3" width="9.44140625" style="2" customWidth="1"/>
    <col min="4" max="4" width="22.44140625" style="2" customWidth="1"/>
    <col min="5" max="5" width="1" style="2" customWidth="1"/>
    <col min="6" max="16384" width="8.88671875" style="2"/>
  </cols>
  <sheetData>
    <row r="1" spans="2:4" ht="6" customHeight="1" x14ac:dyDescent="0.25"/>
    <row r="2" spans="2:4" ht="17.399999999999999" x14ac:dyDescent="0.3">
      <c r="B2" s="1" t="s">
        <v>56</v>
      </c>
      <c r="C2" s="1"/>
    </row>
    <row r="4" spans="2:4" ht="37.799999999999997" customHeight="1" x14ac:dyDescent="0.25">
      <c r="B4" s="37" t="s">
        <v>0</v>
      </c>
      <c r="C4" s="44" t="s">
        <v>70</v>
      </c>
      <c r="D4" s="38" t="s">
        <v>71</v>
      </c>
    </row>
    <row r="5" spans="2:4" x14ac:dyDescent="0.25">
      <c r="B5" s="22" t="s">
        <v>29</v>
      </c>
      <c r="C5" s="43" t="s">
        <v>72</v>
      </c>
      <c r="D5" s="36" t="s">
        <v>2</v>
      </c>
    </row>
    <row r="6" spans="2:4" x14ac:dyDescent="0.25">
      <c r="B6" s="22" t="s">
        <v>10</v>
      </c>
      <c r="C6" s="43" t="s">
        <v>73</v>
      </c>
      <c r="D6" s="36" t="s">
        <v>1</v>
      </c>
    </row>
    <row r="7" spans="2:4" x14ac:dyDescent="0.25">
      <c r="B7" s="22" t="s">
        <v>27</v>
      </c>
      <c r="C7" s="43" t="s">
        <v>74</v>
      </c>
      <c r="D7" s="36" t="s">
        <v>25</v>
      </c>
    </row>
    <row r="8" spans="2:4" x14ac:dyDescent="0.25">
      <c r="B8" s="22" t="s">
        <v>12</v>
      </c>
      <c r="C8" s="43" t="s">
        <v>75</v>
      </c>
      <c r="D8" s="36" t="s">
        <v>57</v>
      </c>
    </row>
    <row r="9" spans="2:4" x14ac:dyDescent="0.25">
      <c r="B9" s="22" t="s">
        <v>16</v>
      </c>
      <c r="C9" s="43" t="s">
        <v>76</v>
      </c>
      <c r="D9" s="36" t="s">
        <v>58</v>
      </c>
    </row>
    <row r="10" spans="2:4" x14ac:dyDescent="0.25">
      <c r="B10" s="22" t="s">
        <v>8</v>
      </c>
      <c r="C10" s="43" t="s">
        <v>77</v>
      </c>
      <c r="D10" s="36"/>
    </row>
    <row r="11" spans="2:4" x14ac:dyDescent="0.25">
      <c r="B11" s="22" t="s">
        <v>3</v>
      </c>
      <c r="C11" s="43" t="s">
        <v>78</v>
      </c>
      <c r="D11" s="36"/>
    </row>
    <row r="12" spans="2:4" x14ac:dyDescent="0.25">
      <c r="B12" s="22" t="s">
        <v>6</v>
      </c>
      <c r="C12" s="43" t="s">
        <v>79</v>
      </c>
      <c r="D12" s="36"/>
    </row>
    <row r="13" spans="2:4" x14ac:dyDescent="0.25">
      <c r="B13" s="22" t="s">
        <v>5</v>
      </c>
      <c r="C13" s="43" t="s">
        <v>80</v>
      </c>
      <c r="D13" s="36"/>
    </row>
    <row r="14" spans="2:4" x14ac:dyDescent="0.25">
      <c r="B14" s="22" t="s">
        <v>35</v>
      </c>
      <c r="C14" s="43" t="s">
        <v>81</v>
      </c>
      <c r="D14" s="36"/>
    </row>
    <row r="15" spans="2:4" x14ac:dyDescent="0.25">
      <c r="B15" s="22" t="s">
        <v>52</v>
      </c>
      <c r="C15" s="43" t="s">
        <v>82</v>
      </c>
      <c r="D15" s="36"/>
    </row>
    <row r="16" spans="2:4" x14ac:dyDescent="0.25">
      <c r="B16" s="22" t="s">
        <v>43</v>
      </c>
      <c r="C16" s="43" t="s">
        <v>83</v>
      </c>
      <c r="D16" s="36"/>
    </row>
    <row r="17" spans="2:4" x14ac:dyDescent="0.25">
      <c r="B17" s="22" t="s">
        <v>33</v>
      </c>
      <c r="C17" s="43" t="s">
        <v>84</v>
      </c>
      <c r="D17" s="36"/>
    </row>
    <row r="18" spans="2:4" x14ac:dyDescent="0.25">
      <c r="B18" s="22" t="s">
        <v>22</v>
      </c>
      <c r="C18" s="43" t="s">
        <v>85</v>
      </c>
      <c r="D18" s="36"/>
    </row>
    <row r="19" spans="2:4" x14ac:dyDescent="0.25">
      <c r="B19" s="22" t="s">
        <v>24</v>
      </c>
      <c r="C19" s="43" t="s">
        <v>86</v>
      </c>
      <c r="D19" s="36"/>
    </row>
    <row r="20" spans="2:4" x14ac:dyDescent="0.25">
      <c r="B20" s="22" t="s">
        <v>18</v>
      </c>
      <c r="C20" s="43" t="s">
        <v>87</v>
      </c>
      <c r="D20" s="36"/>
    </row>
    <row r="21" spans="2:4" x14ac:dyDescent="0.25">
      <c r="B21" s="22" t="s">
        <v>30</v>
      </c>
      <c r="C21" s="43" t="s">
        <v>88</v>
      </c>
      <c r="D21" s="36"/>
    </row>
    <row r="22" spans="2:4" x14ac:dyDescent="0.25">
      <c r="B22" s="22" t="s">
        <v>45</v>
      </c>
      <c r="C22" s="43" t="s">
        <v>89</v>
      </c>
      <c r="D22" s="36"/>
    </row>
    <row r="23" spans="2:4" x14ac:dyDescent="0.25">
      <c r="B23" s="22" t="s">
        <v>48</v>
      </c>
      <c r="C23" s="43" t="s">
        <v>90</v>
      </c>
      <c r="D23" s="36"/>
    </row>
    <row r="24" spans="2:4" x14ac:dyDescent="0.25">
      <c r="B24" s="22" t="s">
        <v>40</v>
      </c>
      <c r="C24" s="43" t="s">
        <v>91</v>
      </c>
      <c r="D24" s="36"/>
    </row>
    <row r="25" spans="2:4" x14ac:dyDescent="0.25">
      <c r="B25" s="22" t="s">
        <v>51</v>
      </c>
      <c r="C25" s="43" t="s">
        <v>92</v>
      </c>
      <c r="D25" s="36"/>
    </row>
    <row r="26" spans="2:4" x14ac:dyDescent="0.25">
      <c r="B26" s="22" t="s">
        <v>44</v>
      </c>
      <c r="C26" s="43" t="s">
        <v>93</v>
      </c>
      <c r="D26" s="36"/>
    </row>
    <row r="27" spans="2:4" x14ac:dyDescent="0.25">
      <c r="B27" s="22" t="s">
        <v>37</v>
      </c>
      <c r="C27" s="43" t="s">
        <v>94</v>
      </c>
      <c r="D27" s="36"/>
    </row>
    <row r="28" spans="2:4" x14ac:dyDescent="0.25">
      <c r="B28" s="22" t="s">
        <v>46</v>
      </c>
      <c r="C28" s="43" t="s">
        <v>95</v>
      </c>
      <c r="D28" s="36"/>
    </row>
    <row r="29" spans="2:4" x14ac:dyDescent="0.25">
      <c r="B29" s="22"/>
      <c r="C29" s="43"/>
      <c r="D29" s="36"/>
    </row>
    <row r="30" spans="2:4" x14ac:dyDescent="0.25">
      <c r="B30"/>
      <c r="C30"/>
      <c r="D30"/>
    </row>
    <row r="31" spans="2:4" x14ac:dyDescent="0.25">
      <c r="B31"/>
      <c r="C31"/>
      <c r="D31"/>
    </row>
    <row r="32" spans="2:4" x14ac:dyDescent="0.25">
      <c r="B32"/>
      <c r="C32"/>
      <c r="D32"/>
    </row>
    <row r="33" spans="2:4" x14ac:dyDescent="0.25">
      <c r="B33"/>
      <c r="C33"/>
      <c r="D33"/>
    </row>
    <row r="34" spans="2:4" x14ac:dyDescent="0.25">
      <c r="B34"/>
      <c r="C34"/>
      <c r="D34"/>
    </row>
    <row r="35" spans="2:4" x14ac:dyDescent="0.25">
      <c r="B35"/>
      <c r="C35"/>
      <c r="D35"/>
    </row>
    <row r="36" spans="2:4" x14ac:dyDescent="0.25">
      <c r="B36"/>
      <c r="C36"/>
      <c r="D36"/>
    </row>
    <row r="37" spans="2:4" x14ac:dyDescent="0.25">
      <c r="B37"/>
      <c r="C37"/>
      <c r="D37"/>
    </row>
    <row r="38" spans="2:4" x14ac:dyDescent="0.25">
      <c r="B38"/>
      <c r="C38"/>
      <c r="D38"/>
    </row>
    <row r="39" spans="2:4" x14ac:dyDescent="0.25">
      <c r="B39"/>
      <c r="C39"/>
      <c r="D39"/>
    </row>
    <row r="40" spans="2:4" x14ac:dyDescent="0.25">
      <c r="B40"/>
      <c r="C40"/>
      <c r="D40"/>
    </row>
    <row r="41" spans="2:4" x14ac:dyDescent="0.25">
      <c r="B41"/>
      <c r="C41"/>
      <c r="D41"/>
    </row>
    <row r="42" spans="2:4" x14ac:dyDescent="0.25">
      <c r="B42"/>
      <c r="C42"/>
      <c r="D42"/>
    </row>
    <row r="43" spans="2:4" x14ac:dyDescent="0.25">
      <c r="B43"/>
      <c r="C43"/>
      <c r="D43"/>
    </row>
    <row r="44" spans="2:4" x14ac:dyDescent="0.25">
      <c r="B44"/>
      <c r="C44"/>
      <c r="D44"/>
    </row>
    <row r="45" spans="2:4" x14ac:dyDescent="0.25">
      <c r="B45"/>
      <c r="C45"/>
      <c r="D45"/>
    </row>
    <row r="46" spans="2:4" x14ac:dyDescent="0.25">
      <c r="B46"/>
      <c r="C46"/>
      <c r="D46"/>
    </row>
    <row r="47" spans="2:4" x14ac:dyDescent="0.25">
      <c r="B47"/>
      <c r="C47"/>
      <c r="D47"/>
    </row>
    <row r="48" spans="2:4" x14ac:dyDescent="0.25">
      <c r="B48"/>
      <c r="C48"/>
      <c r="D48"/>
    </row>
    <row r="49" spans="2:4" x14ac:dyDescent="0.25">
      <c r="B49"/>
      <c r="C49"/>
      <c r="D49"/>
    </row>
    <row r="50" spans="2:4" x14ac:dyDescent="0.25">
      <c r="B50"/>
      <c r="C50"/>
      <c r="D50"/>
    </row>
    <row r="51" spans="2:4" x14ac:dyDescent="0.25">
      <c r="B51"/>
      <c r="C51"/>
      <c r="D51"/>
    </row>
    <row r="52" spans="2:4" x14ac:dyDescent="0.25">
      <c r="B52"/>
      <c r="C52"/>
      <c r="D52"/>
    </row>
    <row r="53" spans="2:4" x14ac:dyDescent="0.25">
      <c r="B53"/>
      <c r="C53"/>
      <c r="D53"/>
    </row>
  </sheetData>
  <phoneticPr fontId="27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3"/>
  <sheetViews>
    <sheetView showGridLines="0" showRowColHeaders="0" zoomScaleNormal="100" workbookViewId="0">
      <pane xSplit="4" ySplit="11" topLeftCell="E12" activePane="bottomRight" state="frozen"/>
      <selection activeCell="C7" sqref="C7"/>
      <selection pane="topRight" activeCell="C7" sqref="C7"/>
      <selection pane="bottomLeft" activeCell="C7" sqref="C7"/>
      <selection pane="bottomRight" activeCell="B7" sqref="B7"/>
    </sheetView>
  </sheetViews>
  <sheetFormatPr defaultRowHeight="19.95" customHeight="1" x14ac:dyDescent="0.25"/>
  <cols>
    <col min="1" max="1" width="1.109375" style="4" customWidth="1"/>
    <col min="2" max="3" width="14.88671875" style="9" customWidth="1"/>
    <col min="4" max="4" width="16.5546875" style="4" customWidth="1"/>
    <col min="5" max="11" width="12.21875" style="4" customWidth="1"/>
    <col min="12" max="12" width="11.44140625" style="4" customWidth="1"/>
    <col min="13" max="13" width="52" style="4" bestFit="1" customWidth="1"/>
    <col min="14" max="14" width="1.109375" style="4" customWidth="1"/>
    <col min="15" max="15" width="6.109375" style="4" customWidth="1"/>
    <col min="16" max="16384" width="8.88671875" style="4"/>
  </cols>
  <sheetData>
    <row r="1" spans="2:14" ht="13.2" x14ac:dyDescent="0.25"/>
    <row r="2" spans="2:14" ht="31.8" x14ac:dyDescent="0.25">
      <c r="B2" s="73" t="s">
        <v>60</v>
      </c>
      <c r="C2" s="73"/>
      <c r="D2" s="73"/>
      <c r="E2" s="73"/>
      <c r="F2" s="73"/>
    </row>
    <row r="3" spans="2:14" ht="21" customHeight="1" x14ac:dyDescent="0.35">
      <c r="B3" s="74" t="s">
        <v>101</v>
      </c>
      <c r="C3" s="74"/>
      <c r="D3" s="74"/>
      <c r="E3" s="74"/>
      <c r="F3" s="13"/>
      <c r="G3" s="3"/>
      <c r="H3" s="3"/>
      <c r="I3" s="3"/>
      <c r="J3" s="3"/>
      <c r="K3" s="3"/>
      <c r="L3" s="3"/>
      <c r="M3" s="3"/>
    </row>
    <row r="4" spans="2:14" ht="13.2" x14ac:dyDescent="0.25">
      <c r="E4" s="14"/>
      <c r="F4" s="14"/>
    </row>
    <row r="5" spans="2:14" ht="9" customHeight="1" x14ac:dyDescent="0.25">
      <c r="B5" s="5"/>
      <c r="C5" s="5"/>
    </row>
    <row r="6" spans="2:14" ht="21" customHeight="1" x14ac:dyDescent="0.25">
      <c r="B6" s="16" t="s">
        <v>96</v>
      </c>
      <c r="C6" s="33" t="s">
        <v>59</v>
      </c>
      <c r="E6" s="6"/>
      <c r="F6" s="75"/>
      <c r="G6" s="75"/>
      <c r="H6" s="6"/>
      <c r="I6" s="11"/>
      <c r="J6" s="7"/>
      <c r="K6" s="7"/>
      <c r="L6" s="11"/>
    </row>
    <row r="7" spans="2:14" ht="21" customHeight="1" x14ac:dyDescent="0.3">
      <c r="B7" s="15" t="s">
        <v>97</v>
      </c>
      <c r="C7" s="32">
        <v>44743</v>
      </c>
      <c r="E7" s="6"/>
      <c r="F7" s="10"/>
      <c r="G7" s="10"/>
      <c r="H7" s="6"/>
      <c r="I7" s="11"/>
      <c r="J7" s="7"/>
      <c r="K7" s="7"/>
      <c r="L7" s="11"/>
    </row>
    <row r="8" spans="2:14" ht="15.6" x14ac:dyDescent="0.25">
      <c r="B8" s="12"/>
      <c r="C8" s="12"/>
    </row>
    <row r="9" spans="2:14" ht="24" customHeight="1" x14ac:dyDescent="0.25">
      <c r="B9" s="71" t="s">
        <v>0</v>
      </c>
      <c r="C9" s="76" t="s">
        <v>70</v>
      </c>
      <c r="D9" s="71" t="s">
        <v>71</v>
      </c>
      <c r="E9" s="71" t="s">
        <v>98</v>
      </c>
      <c r="F9" s="71"/>
      <c r="G9" s="71"/>
      <c r="H9" s="71"/>
      <c r="I9" s="71"/>
      <c r="J9" s="71"/>
      <c r="K9" s="71"/>
      <c r="L9" s="71" t="s">
        <v>99</v>
      </c>
      <c r="M9" s="71" t="s">
        <v>100</v>
      </c>
    </row>
    <row r="10" spans="2:14" ht="24" customHeight="1" x14ac:dyDescent="0.25">
      <c r="B10" s="71"/>
      <c r="C10" s="77"/>
      <c r="D10" s="71"/>
      <c r="E10" s="21">
        <f>C7</f>
        <v>44743</v>
      </c>
      <c r="F10" s="21">
        <f>IFERROR((IF(MONTH(E10)=MONTH(E10+1),E10+1," ")),"")</f>
        <v>44744</v>
      </c>
      <c r="G10" s="21">
        <f t="shared" ref="G10:K10" si="0">IFERROR((IF(MONTH(F10)=MONTH(F10+1),F10+1," ")),"")</f>
        <v>44745</v>
      </c>
      <c r="H10" s="21">
        <f t="shared" si="0"/>
        <v>44746</v>
      </c>
      <c r="I10" s="21">
        <f t="shared" si="0"/>
        <v>44747</v>
      </c>
      <c r="J10" s="21">
        <f t="shared" si="0"/>
        <v>44748</v>
      </c>
      <c r="K10" s="21">
        <f t="shared" si="0"/>
        <v>44749</v>
      </c>
      <c r="L10" s="71"/>
      <c r="M10" s="71"/>
    </row>
    <row r="11" spans="2:14" ht="24" customHeight="1" x14ac:dyDescent="0.25">
      <c r="B11" s="71"/>
      <c r="C11" s="78"/>
      <c r="D11" s="71"/>
      <c r="E11" s="17" t="str">
        <f>TEXT(E10,"DDDD")</f>
        <v>Friday</v>
      </c>
      <c r="F11" s="17" t="str">
        <f t="shared" ref="F11:K11" si="1">TEXT(F10,"DDDD")</f>
        <v>Saturday</v>
      </c>
      <c r="G11" s="17" t="str">
        <f t="shared" si="1"/>
        <v>Sunday</v>
      </c>
      <c r="H11" s="17" t="str">
        <f t="shared" si="1"/>
        <v>Monday</v>
      </c>
      <c r="I11" s="17" t="str">
        <f t="shared" si="1"/>
        <v>Tuesday</v>
      </c>
      <c r="J11" s="17" t="str">
        <f t="shared" si="1"/>
        <v>Wednesday</v>
      </c>
      <c r="K11" s="17" t="str">
        <f t="shared" si="1"/>
        <v>Thursday</v>
      </c>
      <c r="L11" s="71"/>
      <c r="M11" s="71"/>
      <c r="N11" s="8"/>
    </row>
    <row r="12" spans="2:14" ht="19.95" customHeight="1" x14ac:dyDescent="0.25">
      <c r="B12" s="22" t="s">
        <v>29</v>
      </c>
      <c r="C12" s="22" t="str">
        <f t="array" ref="C12">IFERROR((INDEX(Table7[Nama Projek],MATCH(Table2[[#This Row],[Column1]],Table7[Job '#],0))),"")</f>
        <v>Projek 1</v>
      </c>
      <c r="D12" s="19" t="s">
        <v>2</v>
      </c>
      <c r="E12" s="18">
        <v>5</v>
      </c>
      <c r="F12" s="18">
        <v>10</v>
      </c>
      <c r="G12" s="18">
        <v>11</v>
      </c>
      <c r="H12" s="18">
        <v>0</v>
      </c>
      <c r="I12" s="18"/>
      <c r="J12" s="18"/>
      <c r="K12" s="18"/>
      <c r="L12" s="34">
        <f>SUM(E12:K12)</f>
        <v>26</v>
      </c>
      <c r="M12" s="23" t="s">
        <v>32</v>
      </c>
    </row>
    <row r="13" spans="2:14" ht="19.95" customHeight="1" x14ac:dyDescent="0.25">
      <c r="B13" s="22" t="s">
        <v>29</v>
      </c>
      <c r="C13" s="22" t="str">
        <f t="array" ref="C13">IFERROR((INDEX(Table7[Nama Projek],MATCH(Table2[[#This Row],[Column1]],Table7[Job '#],0))),"")</f>
        <v>Projek 1</v>
      </c>
      <c r="D13" s="19" t="s">
        <v>1</v>
      </c>
      <c r="E13" s="18">
        <v>11</v>
      </c>
      <c r="F13" s="18">
        <v>15</v>
      </c>
      <c r="G13" s="18">
        <v>50</v>
      </c>
      <c r="H13" s="18"/>
      <c r="I13" s="18"/>
      <c r="J13" s="18"/>
      <c r="K13" s="18"/>
      <c r="L13" s="34">
        <f t="shared" ref="L13:L42" si="2">SUM(E13:K13)</f>
        <v>76</v>
      </c>
      <c r="M13" s="23" t="s">
        <v>32</v>
      </c>
    </row>
    <row r="14" spans="2:14" ht="19.95" customHeight="1" x14ac:dyDescent="0.25">
      <c r="B14" s="22" t="s">
        <v>10</v>
      </c>
      <c r="C14" s="22" t="str">
        <f t="array" ref="C14">IFERROR((INDEX(Table7[Nama Projek],MATCH(Table2[[#This Row],[Column1]],Table7[Job '#],0))),"")</f>
        <v>Projek 2</v>
      </c>
      <c r="D14" s="19" t="s">
        <v>25</v>
      </c>
      <c r="E14" s="18"/>
      <c r="F14" s="18"/>
      <c r="G14" s="18"/>
      <c r="H14" s="18"/>
      <c r="I14" s="18"/>
      <c r="J14" s="18"/>
      <c r="K14" s="18"/>
      <c r="L14" s="34">
        <f t="shared" si="2"/>
        <v>0</v>
      </c>
      <c r="M14" s="23" t="s">
        <v>11</v>
      </c>
    </row>
    <row r="15" spans="2:14" ht="19.95" customHeight="1" x14ac:dyDescent="0.25">
      <c r="B15" s="22" t="s">
        <v>16</v>
      </c>
      <c r="C15" s="22" t="str">
        <f t="array" ref="C15">IFERROR((INDEX(Table7[Nama Projek],MATCH(Table2[[#This Row],[Column1]],Table7[Job '#],0))),"")</f>
        <v>Projek 5</v>
      </c>
      <c r="D15" s="19" t="s">
        <v>1</v>
      </c>
      <c r="E15" s="18"/>
      <c r="F15" s="18"/>
      <c r="G15" s="18"/>
      <c r="H15" s="18"/>
      <c r="I15" s="18"/>
      <c r="J15" s="18"/>
      <c r="K15" s="18"/>
      <c r="L15" s="34">
        <f t="shared" si="2"/>
        <v>0</v>
      </c>
      <c r="M15" s="23" t="s">
        <v>11</v>
      </c>
    </row>
    <row r="16" spans="2:14" ht="19.95" customHeight="1" x14ac:dyDescent="0.25">
      <c r="B16" s="22" t="s">
        <v>8</v>
      </c>
      <c r="C16" s="22" t="str">
        <f t="array" ref="C16">IFERROR((INDEX(Table7[Nama Projek],MATCH(Table2[[#This Row],[Column1]],Table7[Job '#],0))),"")</f>
        <v>Projek 6</v>
      </c>
      <c r="D16" s="19" t="s">
        <v>58</v>
      </c>
      <c r="E16" s="18"/>
      <c r="F16" s="18"/>
      <c r="G16" s="18"/>
      <c r="H16" s="18"/>
      <c r="I16" s="18"/>
      <c r="J16" s="18"/>
      <c r="K16" s="18"/>
      <c r="L16" s="34">
        <f t="shared" si="2"/>
        <v>0</v>
      </c>
      <c r="M16" s="23" t="s">
        <v>28</v>
      </c>
    </row>
    <row r="17" spans="2:13" ht="19.95" customHeight="1" x14ac:dyDescent="0.25">
      <c r="B17" s="22" t="s">
        <v>27</v>
      </c>
      <c r="C17" s="22" t="str">
        <f t="array" ref="C17">IFERROR((INDEX(Table7[Nama Projek],MATCH(Table2[[#This Row],[Column1]],Table7[Job '#],0))),"")</f>
        <v>Projek 3</v>
      </c>
      <c r="D17" s="19" t="s">
        <v>25</v>
      </c>
      <c r="E17" s="18"/>
      <c r="F17" s="18"/>
      <c r="G17" s="18"/>
      <c r="H17" s="18"/>
      <c r="I17" s="18"/>
      <c r="J17" s="18"/>
      <c r="K17" s="18"/>
      <c r="L17" s="34">
        <f t="shared" si="2"/>
        <v>0</v>
      </c>
      <c r="M17" s="23" t="s">
        <v>28</v>
      </c>
    </row>
    <row r="18" spans="2:13" ht="19.95" customHeight="1" x14ac:dyDescent="0.25">
      <c r="B18" s="22" t="s">
        <v>12</v>
      </c>
      <c r="C18" s="22" t="str">
        <f t="array" ref="C18">IFERROR((INDEX(Table7[Nama Projek],MATCH(Table2[[#This Row],[Column1]],Table7[Job '#],0))),"")</f>
        <v>Projek 4</v>
      </c>
      <c r="D18" s="19" t="s">
        <v>1</v>
      </c>
      <c r="E18" s="18"/>
      <c r="F18" s="18"/>
      <c r="G18" s="18"/>
      <c r="H18" s="18"/>
      <c r="I18" s="18"/>
      <c r="J18" s="18"/>
      <c r="K18" s="18"/>
      <c r="L18" s="34">
        <f t="shared" si="2"/>
        <v>0</v>
      </c>
      <c r="M18" s="23" t="s">
        <v>15</v>
      </c>
    </row>
    <row r="19" spans="2:13" ht="19.95" customHeight="1" x14ac:dyDescent="0.25">
      <c r="B19" s="22" t="s">
        <v>3</v>
      </c>
      <c r="C19" s="22" t="str">
        <f t="array" ref="C19">IFERROR((INDEX(Table7[Nama Projek],MATCH(Table2[[#This Row],[Column1]],Table7[Job '#],0))),"")</f>
        <v>Projek 7</v>
      </c>
      <c r="D19" s="19" t="s">
        <v>2</v>
      </c>
      <c r="E19" s="18"/>
      <c r="F19" s="18"/>
      <c r="G19" s="18"/>
      <c r="H19" s="18"/>
      <c r="I19" s="18"/>
      <c r="J19" s="18"/>
      <c r="K19" s="18"/>
      <c r="L19" s="34">
        <f t="shared" si="2"/>
        <v>0</v>
      </c>
      <c r="M19" s="23" t="s">
        <v>15</v>
      </c>
    </row>
    <row r="20" spans="2:13" ht="19.95" customHeight="1" x14ac:dyDescent="0.25">
      <c r="B20" s="22" t="s">
        <v>16</v>
      </c>
      <c r="C20" s="22" t="str">
        <f t="array" ref="C20">IFERROR((INDEX(Table7[Nama Projek],MATCH(Table2[[#This Row],[Column1]],Table7[Job '#],0))),"")</f>
        <v>Projek 5</v>
      </c>
      <c r="D20" s="19" t="s">
        <v>1</v>
      </c>
      <c r="E20" s="18"/>
      <c r="F20" s="18"/>
      <c r="G20" s="18"/>
      <c r="H20" s="18"/>
      <c r="I20" s="18"/>
      <c r="J20" s="18"/>
      <c r="K20" s="18"/>
      <c r="L20" s="34">
        <f t="shared" si="2"/>
        <v>0</v>
      </c>
      <c r="M20" s="23" t="s">
        <v>17</v>
      </c>
    </row>
    <row r="21" spans="2:13" ht="19.95" customHeight="1" x14ac:dyDescent="0.25">
      <c r="B21" s="22" t="s">
        <v>16</v>
      </c>
      <c r="C21" s="22" t="str">
        <f t="array" ref="C21">IFERROR((INDEX(Table7[Nama Projek],MATCH(Table2[[#This Row],[Column1]],Table7[Job '#],0))),"")</f>
        <v>Projek 5</v>
      </c>
      <c r="D21" s="19" t="s">
        <v>2</v>
      </c>
      <c r="E21" s="18"/>
      <c r="F21" s="18"/>
      <c r="G21" s="18"/>
      <c r="H21" s="18"/>
      <c r="I21" s="18"/>
      <c r="J21" s="18"/>
      <c r="K21" s="18"/>
      <c r="L21" s="34">
        <f t="shared" si="2"/>
        <v>0</v>
      </c>
      <c r="M21" s="23" t="s">
        <v>17</v>
      </c>
    </row>
    <row r="22" spans="2:13" ht="19.95" customHeight="1" x14ac:dyDescent="0.25">
      <c r="B22" s="22" t="s">
        <v>8</v>
      </c>
      <c r="C22" s="22" t="str">
        <f t="array" ref="C22">IFERROR((INDEX(Table7[Nama Projek],MATCH(Table2[[#This Row],[Column1]],Table7[Job '#],0))),"")</f>
        <v>Projek 6</v>
      </c>
      <c r="D22" s="19" t="s">
        <v>2</v>
      </c>
      <c r="E22" s="18"/>
      <c r="F22" s="18"/>
      <c r="G22" s="18"/>
      <c r="H22" s="18"/>
      <c r="I22" s="18"/>
      <c r="J22" s="18"/>
      <c r="K22" s="18"/>
      <c r="L22" s="34">
        <f t="shared" si="2"/>
        <v>0</v>
      </c>
      <c r="M22" s="23" t="s">
        <v>20</v>
      </c>
    </row>
    <row r="23" spans="2:13" ht="19.95" customHeight="1" x14ac:dyDescent="0.25">
      <c r="B23" s="22" t="s">
        <v>8</v>
      </c>
      <c r="C23" s="22" t="str">
        <f t="array" ref="C23">IFERROR((INDEX(Table7[Nama Projek],MATCH(Table2[[#This Row],[Column1]],Table7[Job '#],0))),"")</f>
        <v>Projek 6</v>
      </c>
      <c r="D23" s="19" t="s">
        <v>1</v>
      </c>
      <c r="E23" s="18"/>
      <c r="F23" s="18"/>
      <c r="G23" s="18"/>
      <c r="H23" s="18"/>
      <c r="I23" s="18"/>
      <c r="J23" s="18"/>
      <c r="K23" s="18"/>
      <c r="L23" s="34">
        <f t="shared" si="2"/>
        <v>0</v>
      </c>
      <c r="M23" s="23" t="s">
        <v>20</v>
      </c>
    </row>
    <row r="24" spans="2:13" ht="19.95" customHeight="1" x14ac:dyDescent="0.25">
      <c r="B24" s="22" t="s">
        <v>8</v>
      </c>
      <c r="C24" s="22" t="str">
        <f t="array" ref="C24">IFERROR((INDEX(Table7[Nama Projek],MATCH(Table2[[#This Row],[Column1]],Table7[Job '#],0))),"")</f>
        <v>Projek 6</v>
      </c>
      <c r="D24" s="19" t="s">
        <v>2</v>
      </c>
      <c r="E24" s="18"/>
      <c r="F24" s="18"/>
      <c r="G24" s="18"/>
      <c r="H24" s="18"/>
      <c r="I24" s="18"/>
      <c r="J24" s="18"/>
      <c r="K24" s="18"/>
      <c r="L24" s="34">
        <f t="shared" si="2"/>
        <v>0</v>
      </c>
      <c r="M24" s="23" t="s">
        <v>21</v>
      </c>
    </row>
    <row r="25" spans="2:13" ht="19.95" customHeight="1" x14ac:dyDescent="0.25">
      <c r="B25" s="22" t="s">
        <v>8</v>
      </c>
      <c r="C25" s="22" t="str">
        <f t="array" ref="C25">IFERROR((INDEX(Table7[Nama Projek],MATCH(Table2[[#This Row],[Column1]],Table7[Job '#],0))),"")</f>
        <v>Projek 6</v>
      </c>
      <c r="D25" s="19" t="s">
        <v>1</v>
      </c>
      <c r="E25" s="18"/>
      <c r="F25" s="18"/>
      <c r="G25" s="18"/>
      <c r="H25" s="18"/>
      <c r="I25" s="18"/>
      <c r="J25" s="18"/>
      <c r="K25" s="18"/>
      <c r="L25" s="34">
        <f t="shared" si="2"/>
        <v>0</v>
      </c>
      <c r="M25" s="23" t="s">
        <v>21</v>
      </c>
    </row>
    <row r="26" spans="2:13" ht="19.95" customHeight="1" x14ac:dyDescent="0.25">
      <c r="B26" s="22" t="s">
        <v>3</v>
      </c>
      <c r="C26" s="22" t="str">
        <f t="array" ref="C26">IFERROR((INDEX(Table7[Nama Projek],MATCH(Table2[[#This Row],[Column1]],Table7[Job '#],0))),"")</f>
        <v>Projek 7</v>
      </c>
      <c r="D26" s="19" t="s">
        <v>2</v>
      </c>
      <c r="E26" s="18"/>
      <c r="F26" s="18"/>
      <c r="G26" s="18"/>
      <c r="H26" s="18"/>
      <c r="I26" s="18"/>
      <c r="J26" s="18"/>
      <c r="K26" s="18"/>
      <c r="L26" s="34">
        <f t="shared" si="2"/>
        <v>0</v>
      </c>
      <c r="M26" s="23" t="s">
        <v>4</v>
      </c>
    </row>
    <row r="27" spans="2:13" ht="19.95" customHeight="1" x14ac:dyDescent="0.25">
      <c r="B27" s="22" t="s">
        <v>3</v>
      </c>
      <c r="C27" s="22" t="str">
        <f t="array" ref="C27">IFERROR((INDEX(Table7[Nama Projek],MATCH(Table2[[#This Row],[Column1]],Table7[Job '#],0))),"")</f>
        <v>Projek 7</v>
      </c>
      <c r="D27" s="19" t="s">
        <v>1</v>
      </c>
      <c r="E27" s="18"/>
      <c r="F27" s="18"/>
      <c r="G27" s="18"/>
      <c r="H27" s="18"/>
      <c r="I27" s="18"/>
      <c r="J27" s="18"/>
      <c r="K27" s="18"/>
      <c r="L27" s="34">
        <f t="shared" si="2"/>
        <v>0</v>
      </c>
      <c r="M27" s="23" t="s">
        <v>4</v>
      </c>
    </row>
    <row r="28" spans="2:13" ht="19.95" customHeight="1" x14ac:dyDescent="0.25">
      <c r="B28" s="22" t="s">
        <v>6</v>
      </c>
      <c r="C28" s="22" t="str">
        <f t="array" ref="C28">IFERROR((INDEX(Table7[Nama Projek],MATCH(Table2[[#This Row],[Column1]],Table7[Job '#],0))),"")</f>
        <v>Projek 8</v>
      </c>
      <c r="D28" s="19" t="s">
        <v>2</v>
      </c>
      <c r="E28" s="18"/>
      <c r="F28" s="18"/>
      <c r="G28" s="18"/>
      <c r="H28" s="18"/>
      <c r="I28" s="18"/>
      <c r="J28" s="18"/>
      <c r="K28" s="18"/>
      <c r="L28" s="34">
        <f t="shared" si="2"/>
        <v>0</v>
      </c>
      <c r="M28" s="23" t="s">
        <v>7</v>
      </c>
    </row>
    <row r="29" spans="2:13" ht="19.95" customHeight="1" x14ac:dyDescent="0.25">
      <c r="B29" s="22" t="s">
        <v>6</v>
      </c>
      <c r="C29" s="22" t="str">
        <f t="array" ref="C29">IFERROR((INDEX(Table7[Nama Projek],MATCH(Table2[[#This Row],[Column1]],Table7[Job '#],0))),"")</f>
        <v>Projek 8</v>
      </c>
      <c r="D29" s="19" t="s">
        <v>1</v>
      </c>
      <c r="E29" s="18"/>
      <c r="F29" s="18"/>
      <c r="G29" s="18"/>
      <c r="H29" s="18"/>
      <c r="I29" s="18"/>
      <c r="J29" s="18"/>
      <c r="K29" s="18"/>
      <c r="L29" s="34">
        <f t="shared" si="2"/>
        <v>0</v>
      </c>
      <c r="M29" s="23" t="s">
        <v>7</v>
      </c>
    </row>
    <row r="30" spans="2:13" ht="19.95" customHeight="1" x14ac:dyDescent="0.25">
      <c r="B30" s="22" t="s">
        <v>5</v>
      </c>
      <c r="C30" s="22" t="str">
        <f t="array" ref="C30">IFERROR((INDEX(Table7[Nama Projek],MATCH(Table2[[#This Row],[Column1]],Table7[Job '#],0))),"")</f>
        <v>Projek 9</v>
      </c>
      <c r="D30" s="19" t="s">
        <v>2</v>
      </c>
      <c r="E30" s="18"/>
      <c r="F30" s="18"/>
      <c r="G30" s="18"/>
      <c r="H30" s="18"/>
      <c r="I30" s="18"/>
      <c r="J30" s="18"/>
      <c r="K30" s="18"/>
      <c r="L30" s="34">
        <f t="shared" si="2"/>
        <v>0</v>
      </c>
      <c r="M30" s="23" t="s">
        <v>14</v>
      </c>
    </row>
    <row r="31" spans="2:13" ht="19.95" customHeight="1" x14ac:dyDescent="0.25">
      <c r="B31" s="22" t="s">
        <v>5</v>
      </c>
      <c r="C31" s="22" t="str">
        <f t="array" ref="C31">IFERROR((INDEX(Table7[Nama Projek],MATCH(Table2[[#This Row],[Column1]],Table7[Job '#],0))),"")</f>
        <v>Projek 9</v>
      </c>
      <c r="D31" s="19" t="s">
        <v>1</v>
      </c>
      <c r="E31" s="18"/>
      <c r="F31" s="18"/>
      <c r="G31" s="18"/>
      <c r="H31" s="18"/>
      <c r="I31" s="18"/>
      <c r="J31" s="18"/>
      <c r="K31" s="18"/>
      <c r="L31" s="34">
        <f t="shared" si="2"/>
        <v>0</v>
      </c>
      <c r="M31" s="23" t="s">
        <v>14</v>
      </c>
    </row>
    <row r="32" spans="2:13" ht="19.95" customHeight="1" x14ac:dyDescent="0.25">
      <c r="B32" s="22" t="s">
        <v>5</v>
      </c>
      <c r="C32" s="22" t="str">
        <f t="array" ref="C32">IFERROR((INDEX(Table7[Nama Projek],MATCH(Table2[[#This Row],[Column1]],Table7[Job '#],0))),"")</f>
        <v>Projek 9</v>
      </c>
      <c r="D32" s="19" t="s">
        <v>2</v>
      </c>
      <c r="E32" s="18"/>
      <c r="F32" s="18"/>
      <c r="G32" s="18"/>
      <c r="H32" s="18"/>
      <c r="I32" s="18"/>
      <c r="J32" s="18"/>
      <c r="K32" s="18"/>
      <c r="L32" s="34">
        <f t="shared" si="2"/>
        <v>0</v>
      </c>
      <c r="M32" s="23" t="s">
        <v>9</v>
      </c>
    </row>
    <row r="33" spans="2:13" ht="19.95" customHeight="1" x14ac:dyDescent="0.25">
      <c r="B33" s="22" t="s">
        <v>35</v>
      </c>
      <c r="C33" s="22" t="str">
        <f t="array" ref="C33">IFERROR((INDEX(Table7[Nama Projek],MATCH(Table2[[#This Row],[Column1]],Table7[Job '#],0))),"")</f>
        <v>Projek 10</v>
      </c>
      <c r="D33" s="19" t="s">
        <v>2</v>
      </c>
      <c r="E33" s="18"/>
      <c r="F33" s="18"/>
      <c r="G33" s="18"/>
      <c r="H33" s="18"/>
      <c r="I33" s="18"/>
      <c r="J33" s="18"/>
      <c r="K33" s="18"/>
      <c r="L33" s="34">
        <f t="shared" si="2"/>
        <v>0</v>
      </c>
      <c r="M33" s="23" t="s">
        <v>36</v>
      </c>
    </row>
    <row r="34" spans="2:13" ht="19.95" customHeight="1" x14ac:dyDescent="0.25">
      <c r="B34" s="22" t="s">
        <v>35</v>
      </c>
      <c r="C34" s="22" t="str">
        <f t="array" ref="C34">IFERROR((INDEX(Table7[Nama Projek],MATCH(Table2[[#This Row],[Column1]],Table7[Job '#],0))),"")</f>
        <v>Projek 10</v>
      </c>
      <c r="D34" s="19" t="s">
        <v>1</v>
      </c>
      <c r="E34" s="18"/>
      <c r="F34" s="18"/>
      <c r="G34" s="18"/>
      <c r="H34" s="18"/>
      <c r="I34" s="18"/>
      <c r="J34" s="18"/>
      <c r="K34" s="18"/>
      <c r="L34" s="34">
        <f t="shared" si="2"/>
        <v>0</v>
      </c>
      <c r="M34" s="23" t="s">
        <v>36</v>
      </c>
    </row>
    <row r="35" spans="2:13" ht="19.95" customHeight="1" x14ac:dyDescent="0.25">
      <c r="B35" s="22" t="s">
        <v>52</v>
      </c>
      <c r="C35" s="22" t="str">
        <f t="array" ref="C35">IFERROR((INDEX(Table7[Nama Projek],MATCH(Table2[[#This Row],[Column1]],Table7[Job '#],0))),"")</f>
        <v>Projek 11</v>
      </c>
      <c r="D35" s="19" t="s">
        <v>2</v>
      </c>
      <c r="E35" s="18"/>
      <c r="F35" s="18"/>
      <c r="G35" s="18"/>
      <c r="H35" s="18"/>
      <c r="I35" s="18"/>
      <c r="J35" s="18"/>
      <c r="K35" s="18"/>
      <c r="L35" s="34">
        <f t="shared" si="2"/>
        <v>0</v>
      </c>
      <c r="M35" s="23" t="s">
        <v>53</v>
      </c>
    </row>
    <row r="36" spans="2:13" ht="19.95" customHeight="1" x14ac:dyDescent="0.25">
      <c r="B36" s="22" t="s">
        <v>52</v>
      </c>
      <c r="C36" s="22" t="str">
        <f t="array" ref="C36">IFERROR((INDEX(Table7[Nama Projek],MATCH(Table2[[#This Row],[Column1]],Table7[Job '#],0))),"")</f>
        <v>Projek 11</v>
      </c>
      <c r="D36" s="19" t="s">
        <v>1</v>
      </c>
      <c r="E36" s="18">
        <v>4</v>
      </c>
      <c r="F36" s="18"/>
      <c r="G36" s="18"/>
      <c r="H36" s="18"/>
      <c r="I36" s="18"/>
      <c r="J36" s="18"/>
      <c r="K36" s="18"/>
      <c r="L36" s="34">
        <f t="shared" si="2"/>
        <v>4</v>
      </c>
      <c r="M36" s="23" t="s">
        <v>53</v>
      </c>
    </row>
    <row r="37" spans="2:13" ht="19.95" customHeight="1" x14ac:dyDescent="0.25">
      <c r="B37" s="22" t="s">
        <v>43</v>
      </c>
      <c r="C37" s="22" t="str">
        <f t="array" ref="C37">IFERROR((INDEX(Table7[Nama Projek],MATCH(Table2[[#This Row],[Column1]],Table7[Job '#],0))),"")</f>
        <v>Projek 12</v>
      </c>
      <c r="D37" s="19" t="s">
        <v>2</v>
      </c>
      <c r="E37" s="18"/>
      <c r="F37" s="18"/>
      <c r="G37" s="18"/>
      <c r="H37" s="18"/>
      <c r="I37" s="18"/>
      <c r="J37" s="18"/>
      <c r="K37" s="18"/>
      <c r="L37" s="34">
        <f t="shared" si="2"/>
        <v>0</v>
      </c>
      <c r="M37" s="23" t="s">
        <v>13</v>
      </c>
    </row>
    <row r="38" spans="2:13" ht="19.95" customHeight="1" x14ac:dyDescent="0.25">
      <c r="B38" s="22" t="s">
        <v>43</v>
      </c>
      <c r="C38" s="22" t="str">
        <f t="array" ref="C38">IFERROR((INDEX(Table7[Nama Projek],MATCH(Table2[[#This Row],[Column1]],Table7[Job '#],0))),"")</f>
        <v>Projek 12</v>
      </c>
      <c r="D38" s="19" t="s">
        <v>1</v>
      </c>
      <c r="E38" s="18"/>
      <c r="F38" s="18"/>
      <c r="G38" s="18"/>
      <c r="H38" s="18"/>
      <c r="I38" s="18"/>
      <c r="J38" s="18"/>
      <c r="K38" s="18"/>
      <c r="L38" s="34">
        <f t="shared" si="2"/>
        <v>0</v>
      </c>
      <c r="M38" s="23" t="s">
        <v>13</v>
      </c>
    </row>
    <row r="39" spans="2:13" ht="19.95" customHeight="1" x14ac:dyDescent="0.25">
      <c r="B39" s="22" t="s">
        <v>33</v>
      </c>
      <c r="C39" s="22" t="str">
        <f t="array" ref="C39">IFERROR((INDEX(Table7[Nama Projek],MATCH(Table2[[#This Row],[Column1]],Table7[Job '#],0))),"")</f>
        <v>Projek 13</v>
      </c>
      <c r="D39" s="19" t="s">
        <v>2</v>
      </c>
      <c r="E39" s="18"/>
      <c r="F39" s="18"/>
      <c r="G39" s="18"/>
      <c r="H39" s="18"/>
      <c r="I39" s="18"/>
      <c r="J39" s="18"/>
      <c r="K39" s="18"/>
      <c r="L39" s="34">
        <f t="shared" si="2"/>
        <v>0</v>
      </c>
      <c r="M39" s="23" t="s">
        <v>34</v>
      </c>
    </row>
    <row r="40" spans="2:13" ht="19.95" customHeight="1" x14ac:dyDescent="0.25">
      <c r="B40" s="22" t="s">
        <v>33</v>
      </c>
      <c r="C40" s="22" t="str">
        <f t="array" ref="C40">IFERROR((INDEX(Table7[Nama Projek],MATCH(Table2[[#This Row],[Column1]],Table7[Job '#],0))),"")</f>
        <v>Projek 13</v>
      </c>
      <c r="D40" s="19" t="s">
        <v>1</v>
      </c>
      <c r="E40" s="18"/>
      <c r="F40" s="18"/>
      <c r="G40" s="18"/>
      <c r="H40" s="18"/>
      <c r="I40" s="18"/>
      <c r="J40" s="18"/>
      <c r="K40" s="18"/>
      <c r="L40" s="34">
        <f t="shared" si="2"/>
        <v>0</v>
      </c>
      <c r="M40" s="23" t="s">
        <v>34</v>
      </c>
    </row>
    <row r="41" spans="2:13" ht="19.95" customHeight="1" x14ac:dyDescent="0.25">
      <c r="B41" s="22" t="s">
        <v>22</v>
      </c>
      <c r="C41" s="22" t="str">
        <f t="array" ref="C41">IFERROR((INDEX(Table7[Nama Projek],MATCH(Table2[[#This Row],[Column1]],Table7[Job '#],0))),"")</f>
        <v>Projek 14</v>
      </c>
      <c r="D41" s="19" t="s">
        <v>2</v>
      </c>
      <c r="E41" s="18"/>
      <c r="F41" s="18"/>
      <c r="G41" s="18"/>
      <c r="H41" s="18"/>
      <c r="I41" s="18"/>
      <c r="J41" s="18"/>
      <c r="K41" s="18"/>
      <c r="L41" s="34">
        <f t="shared" si="2"/>
        <v>0</v>
      </c>
      <c r="M41" s="23" t="s">
        <v>23</v>
      </c>
    </row>
    <row r="42" spans="2:13" ht="19.95" customHeight="1" x14ac:dyDescent="0.25">
      <c r="B42" s="22" t="s">
        <v>22</v>
      </c>
      <c r="C42" s="22" t="str">
        <f t="array" ref="C42">IFERROR((INDEX(Table7[Nama Projek],MATCH(Table2[[#This Row],[Column1]],Table7[Job '#],0))),"")</f>
        <v>Projek 14</v>
      </c>
      <c r="D42" s="19" t="s">
        <v>1</v>
      </c>
      <c r="E42" s="18"/>
      <c r="F42" s="18"/>
      <c r="G42" s="18"/>
      <c r="H42" s="18"/>
      <c r="I42" s="18"/>
      <c r="J42" s="18"/>
      <c r="K42" s="18"/>
      <c r="L42" s="34">
        <f t="shared" si="2"/>
        <v>0</v>
      </c>
      <c r="M42" s="23" t="s">
        <v>23</v>
      </c>
    </row>
    <row r="43" spans="2:13" ht="19.95" customHeight="1" x14ac:dyDescent="0.25">
      <c r="B43" s="22" t="s">
        <v>24</v>
      </c>
      <c r="C43" s="22" t="str">
        <f t="array" ref="C43">IFERROR((INDEX(Table7[Nama Projek],MATCH(Table2[[#This Row],[Column1]],Table7[Job '#],0))),"")</f>
        <v>Projek 15</v>
      </c>
      <c r="D43" s="19" t="s">
        <v>25</v>
      </c>
      <c r="E43" s="18"/>
      <c r="F43" s="18"/>
      <c r="G43" s="18"/>
      <c r="H43" s="18"/>
      <c r="I43" s="18"/>
      <c r="J43" s="18"/>
      <c r="K43" s="18"/>
      <c r="L43" s="34">
        <f>SUM(E43:K43)</f>
        <v>0</v>
      </c>
      <c r="M43" s="23" t="s">
        <v>26</v>
      </c>
    </row>
    <row r="44" spans="2:13" ht="19.95" customHeight="1" x14ac:dyDescent="0.25">
      <c r="B44" s="22" t="s">
        <v>18</v>
      </c>
      <c r="C44" s="22" t="str">
        <f t="array" ref="C44">IFERROR((INDEX(Table7[Nama Projek],MATCH(Table2[[#This Row],[Column1]],Table7[Job '#],0))),"")</f>
        <v>Projek 16</v>
      </c>
      <c r="D44" s="19" t="s">
        <v>2</v>
      </c>
      <c r="E44" s="18"/>
      <c r="F44" s="18"/>
      <c r="G44" s="18"/>
      <c r="H44" s="18"/>
      <c r="I44" s="18"/>
      <c r="J44" s="18"/>
      <c r="K44" s="18"/>
      <c r="L44" s="34">
        <f t="shared" ref="L44:L59" si="3">SUM(E44:K44)</f>
        <v>0</v>
      </c>
      <c r="M44" s="23" t="s">
        <v>19</v>
      </c>
    </row>
    <row r="45" spans="2:13" ht="19.95" customHeight="1" x14ac:dyDescent="0.25">
      <c r="B45" s="22" t="s">
        <v>30</v>
      </c>
      <c r="C45" s="22" t="str">
        <f t="array" ref="C45">IFERROR((INDEX(Table7[Nama Projek],MATCH(Table2[[#This Row],[Column1]],Table7[Job '#],0))),"")</f>
        <v>Projek 17</v>
      </c>
      <c r="D45" s="19" t="s">
        <v>2</v>
      </c>
      <c r="E45" s="18"/>
      <c r="F45" s="18"/>
      <c r="G45" s="18"/>
      <c r="H45" s="18"/>
      <c r="I45" s="18"/>
      <c r="J45" s="18"/>
      <c r="K45" s="18"/>
      <c r="L45" s="34">
        <f t="shared" si="3"/>
        <v>0</v>
      </c>
      <c r="M45" s="23" t="s">
        <v>31</v>
      </c>
    </row>
    <row r="46" spans="2:13" ht="19.95" customHeight="1" x14ac:dyDescent="0.25">
      <c r="B46" s="22" t="s">
        <v>30</v>
      </c>
      <c r="C46" s="22" t="str">
        <f t="array" ref="C46">IFERROR((INDEX(Table7[Nama Projek],MATCH(Table2[[#This Row],[Column1]],Table7[Job '#],0))),"")</f>
        <v>Projek 17</v>
      </c>
      <c r="D46" s="19" t="s">
        <v>1</v>
      </c>
      <c r="E46" s="18"/>
      <c r="F46" s="18"/>
      <c r="G46" s="18"/>
      <c r="H46" s="18"/>
      <c r="I46" s="18"/>
      <c r="J46" s="18"/>
      <c r="K46" s="18"/>
      <c r="L46" s="34">
        <f t="shared" si="3"/>
        <v>0</v>
      </c>
      <c r="M46" s="23" t="s">
        <v>31</v>
      </c>
    </row>
    <row r="47" spans="2:13" ht="19.95" customHeight="1" x14ac:dyDescent="0.25">
      <c r="B47" s="22" t="s">
        <v>45</v>
      </c>
      <c r="C47" s="22" t="str">
        <f t="array" ref="C47">IFERROR((INDEX(Table7[Nama Projek],MATCH(Table2[[#This Row],[Column1]],Table7[Job '#],0))),"")</f>
        <v>Projek 18</v>
      </c>
      <c r="D47" s="19" t="s">
        <v>2</v>
      </c>
      <c r="E47" s="18"/>
      <c r="F47" s="18"/>
      <c r="G47" s="18"/>
      <c r="H47" s="18"/>
      <c r="I47" s="18"/>
      <c r="J47" s="18"/>
      <c r="K47" s="18"/>
      <c r="L47" s="34">
        <f t="shared" si="3"/>
        <v>0</v>
      </c>
      <c r="M47" s="23" t="s">
        <v>42</v>
      </c>
    </row>
    <row r="48" spans="2:13" ht="19.95" customHeight="1" x14ac:dyDescent="0.25">
      <c r="B48" s="22" t="s">
        <v>45</v>
      </c>
      <c r="C48" s="22" t="str">
        <f t="array" ref="C48">IFERROR((INDEX(Table7[Nama Projek],MATCH(Table2[[#This Row],[Column1]],Table7[Job '#],0))),"")</f>
        <v>Projek 18</v>
      </c>
      <c r="D48" s="19" t="s">
        <v>1</v>
      </c>
      <c r="E48" s="18"/>
      <c r="F48" s="18"/>
      <c r="G48" s="18"/>
      <c r="H48" s="18"/>
      <c r="I48" s="18"/>
      <c r="J48" s="18"/>
      <c r="K48" s="18"/>
      <c r="L48" s="34">
        <f t="shared" si="3"/>
        <v>0</v>
      </c>
      <c r="M48" s="23" t="s">
        <v>42</v>
      </c>
    </row>
    <row r="49" spans="1:14" ht="19.95" customHeight="1" x14ac:dyDescent="0.25">
      <c r="B49" s="22" t="s">
        <v>48</v>
      </c>
      <c r="C49" s="22" t="str">
        <f t="array" ref="C49">IFERROR((INDEX(Table7[Nama Projek],MATCH(Table2[[#This Row],[Column1]],Table7[Job '#],0))),"")</f>
        <v>Projek 19</v>
      </c>
      <c r="D49" s="19" t="s">
        <v>2</v>
      </c>
      <c r="E49" s="18"/>
      <c r="F49" s="18"/>
      <c r="G49" s="18"/>
      <c r="H49" s="18"/>
      <c r="I49" s="18"/>
      <c r="J49" s="18"/>
      <c r="K49" s="18"/>
      <c r="L49" s="34">
        <f t="shared" si="3"/>
        <v>0</v>
      </c>
      <c r="M49" s="23" t="s">
        <v>49</v>
      </c>
    </row>
    <row r="50" spans="1:14" ht="19.95" customHeight="1" x14ac:dyDescent="0.25">
      <c r="B50" s="22" t="s">
        <v>40</v>
      </c>
      <c r="C50" s="22" t="str">
        <f t="array" ref="C50">IFERROR((INDEX(Table7[Nama Projek],MATCH(Table2[[#This Row],[Column1]],Table7[Job '#],0))),"")</f>
        <v>Projek 20</v>
      </c>
      <c r="D50" s="19" t="s">
        <v>2</v>
      </c>
      <c r="E50" s="18"/>
      <c r="F50" s="18"/>
      <c r="G50" s="18"/>
      <c r="H50" s="18"/>
      <c r="I50" s="18"/>
      <c r="J50" s="18"/>
      <c r="K50" s="18"/>
      <c r="L50" s="34">
        <f t="shared" si="3"/>
        <v>0</v>
      </c>
      <c r="M50" s="23" t="s">
        <v>41</v>
      </c>
    </row>
    <row r="51" spans="1:14" ht="19.95" customHeight="1" x14ac:dyDescent="0.25">
      <c r="B51" s="22" t="s">
        <v>51</v>
      </c>
      <c r="C51" s="22" t="str">
        <f t="array" ref="C51">IFERROR((INDEX(Table7[Nama Projek],MATCH(Table2[[#This Row],[Column1]],Table7[Job '#],0))),"")</f>
        <v>Projek 21</v>
      </c>
      <c r="D51" s="19" t="s">
        <v>2</v>
      </c>
      <c r="E51" s="18"/>
      <c r="F51" s="18"/>
      <c r="G51" s="18"/>
      <c r="H51" s="18"/>
      <c r="I51" s="18"/>
      <c r="J51" s="18"/>
      <c r="K51" s="18"/>
      <c r="L51" s="34">
        <f t="shared" si="3"/>
        <v>0</v>
      </c>
      <c r="M51" s="23" t="s">
        <v>50</v>
      </c>
    </row>
    <row r="52" spans="1:14" ht="19.95" customHeight="1" x14ac:dyDescent="0.25">
      <c r="B52" s="22" t="s">
        <v>51</v>
      </c>
      <c r="C52" s="22" t="str">
        <f t="array" ref="C52">IFERROR((INDEX(Table7[Nama Projek],MATCH(Table2[[#This Row],[Column1]],Table7[Job '#],0))),"")</f>
        <v>Projek 21</v>
      </c>
      <c r="D52" s="19" t="s">
        <v>1</v>
      </c>
      <c r="E52" s="18"/>
      <c r="F52" s="18"/>
      <c r="G52" s="18"/>
      <c r="H52" s="18"/>
      <c r="I52" s="18"/>
      <c r="J52" s="18"/>
      <c r="K52" s="18"/>
      <c r="L52" s="34">
        <f t="shared" si="3"/>
        <v>0</v>
      </c>
      <c r="M52" s="23" t="s">
        <v>50</v>
      </c>
    </row>
    <row r="53" spans="1:14" ht="19.95" customHeight="1" x14ac:dyDescent="0.25">
      <c r="B53" s="22" t="s">
        <v>44</v>
      </c>
      <c r="C53" s="22" t="str">
        <f t="array" ref="C53">IFERROR((INDEX(Table7[Nama Projek],MATCH(Table2[[#This Row],[Column1]],Table7[Job '#],0))),"")</f>
        <v>Projek 22</v>
      </c>
      <c r="D53" s="19" t="s">
        <v>2</v>
      </c>
      <c r="E53" s="18"/>
      <c r="F53" s="18"/>
      <c r="G53" s="18"/>
      <c r="H53" s="18"/>
      <c r="I53" s="18"/>
      <c r="J53" s="18"/>
      <c r="K53" s="18"/>
      <c r="L53" s="34">
        <f t="shared" si="3"/>
        <v>0</v>
      </c>
      <c r="M53" s="23" t="s">
        <v>38</v>
      </c>
    </row>
    <row r="54" spans="1:14" ht="19.95" customHeight="1" x14ac:dyDescent="0.25">
      <c r="B54" s="22" t="s">
        <v>44</v>
      </c>
      <c r="C54" s="22" t="str">
        <f t="array" ref="C54">IFERROR((INDEX(Table7[Nama Projek],MATCH(Table2[[#This Row],[Column1]],Table7[Job '#],0))),"")</f>
        <v>Projek 22</v>
      </c>
      <c r="D54" s="19" t="s">
        <v>1</v>
      </c>
      <c r="E54" s="18"/>
      <c r="F54" s="18"/>
      <c r="G54" s="18"/>
      <c r="H54" s="18"/>
      <c r="I54" s="18"/>
      <c r="J54" s="18"/>
      <c r="K54" s="18"/>
      <c r="L54" s="34">
        <f t="shared" si="3"/>
        <v>0</v>
      </c>
      <c r="M54" s="23" t="s">
        <v>38</v>
      </c>
    </row>
    <row r="55" spans="1:14" ht="19.95" customHeight="1" x14ac:dyDescent="0.25">
      <c r="B55" s="22" t="s">
        <v>37</v>
      </c>
      <c r="C55" s="22" t="str">
        <f t="array" ref="C55">IFERROR((INDEX(Table7[Nama Projek],MATCH(Table2[[#This Row],[Column1]],Table7[Job '#],0))),"")</f>
        <v>Projek 23</v>
      </c>
      <c r="D55" s="19" t="s">
        <v>2</v>
      </c>
      <c r="E55" s="18"/>
      <c r="F55" s="18"/>
      <c r="G55" s="18"/>
      <c r="H55" s="18"/>
      <c r="I55" s="18"/>
      <c r="J55" s="18"/>
      <c r="K55" s="18"/>
      <c r="L55" s="34">
        <f t="shared" si="3"/>
        <v>0</v>
      </c>
      <c r="M55" s="23" t="s">
        <v>39</v>
      </c>
    </row>
    <row r="56" spans="1:14" ht="19.95" customHeight="1" x14ac:dyDescent="0.25">
      <c r="B56" s="22" t="s">
        <v>37</v>
      </c>
      <c r="C56" s="22" t="str">
        <f t="array" ref="C56">IFERROR((INDEX(Table7[Nama Projek],MATCH(Table2[[#This Row],[Column1]],Table7[Job '#],0))),"")</f>
        <v>Projek 23</v>
      </c>
      <c r="D56" s="19" t="s">
        <v>1</v>
      </c>
      <c r="E56" s="18"/>
      <c r="F56" s="18"/>
      <c r="G56" s="18"/>
      <c r="H56" s="18"/>
      <c r="I56" s="18"/>
      <c r="J56" s="18"/>
      <c r="K56" s="18"/>
      <c r="L56" s="34">
        <f t="shared" si="3"/>
        <v>0</v>
      </c>
      <c r="M56" s="23" t="s">
        <v>39</v>
      </c>
    </row>
    <row r="57" spans="1:14" ht="19.95" customHeight="1" x14ac:dyDescent="0.25">
      <c r="B57" s="22" t="s">
        <v>18</v>
      </c>
      <c r="C57" s="22" t="str">
        <f t="array" ref="C57">IFERROR((INDEX(Table7[Nama Projek],MATCH(Table2[[#This Row],[Column1]],Table7[Job '#],0))),"")</f>
        <v>Projek 16</v>
      </c>
      <c r="D57" s="19" t="s">
        <v>2</v>
      </c>
      <c r="E57" s="18"/>
      <c r="F57" s="18"/>
      <c r="G57" s="18"/>
      <c r="H57" s="18"/>
      <c r="I57" s="18"/>
      <c r="J57" s="18"/>
      <c r="K57" s="18"/>
      <c r="L57" s="34">
        <f t="shared" si="3"/>
        <v>0</v>
      </c>
      <c r="M57" s="23" t="s">
        <v>47</v>
      </c>
    </row>
    <row r="58" spans="1:14" ht="19.95" customHeight="1" x14ac:dyDescent="0.25">
      <c r="B58" s="22" t="s">
        <v>46</v>
      </c>
      <c r="C58" s="22" t="str">
        <f t="array" ref="C58">IFERROR((INDEX(Table7[Nama Projek],MATCH(Table2[[#This Row],[Column1]],Table7[Job '#],0))),"")</f>
        <v>Projek 24</v>
      </c>
      <c r="D58" s="19" t="s">
        <v>1</v>
      </c>
      <c r="E58" s="18">
        <v>2</v>
      </c>
      <c r="F58" s="18"/>
      <c r="G58" s="18"/>
      <c r="H58" s="18"/>
      <c r="I58" s="18"/>
      <c r="J58" s="18"/>
      <c r="K58" s="18"/>
      <c r="L58" s="34">
        <f t="shared" si="3"/>
        <v>2</v>
      </c>
      <c r="M58" s="23" t="s">
        <v>47</v>
      </c>
    </row>
    <row r="59" spans="1:14" ht="19.95" customHeight="1" x14ac:dyDescent="0.25">
      <c r="B59" s="22"/>
      <c r="C59" s="22" t="str">
        <f t="array" ref="C59">IFERROR((INDEX(Table7[Nama Projek],MATCH(Table2[[#This Row],[Column1]],Table7[Job '#],0))),"")</f>
        <v/>
      </c>
      <c r="D59" s="19" t="s">
        <v>25</v>
      </c>
      <c r="E59" s="18"/>
      <c r="F59" s="18"/>
      <c r="G59" s="18"/>
      <c r="H59" s="18"/>
      <c r="I59" s="18"/>
      <c r="J59" s="18"/>
      <c r="K59" s="18"/>
      <c r="L59" s="34">
        <f t="shared" si="3"/>
        <v>0</v>
      </c>
      <c r="M59" s="23"/>
    </row>
    <row r="60" spans="1:14" ht="19.95" customHeight="1" x14ac:dyDescent="0.25">
      <c r="B60" s="24"/>
      <c r="C60" s="22" t="str">
        <f t="array" ref="C60">IFERROR((INDEX(Table7[Nama Projek],MATCH(Table2[[#This Row],[Column1]],Table7[Job '#],0))),"")</f>
        <v/>
      </c>
      <c r="D60" s="25" t="s">
        <v>58</v>
      </c>
      <c r="E60" s="26"/>
      <c r="F60" s="26"/>
      <c r="G60" s="26"/>
      <c r="H60" s="26"/>
      <c r="I60" s="26"/>
      <c r="J60" s="26"/>
      <c r="K60" s="26"/>
      <c r="L60" s="35"/>
      <c r="M60" s="27"/>
    </row>
    <row r="61" spans="1:14" s="28" customFormat="1" ht="19.95" customHeight="1" x14ac:dyDescent="0.25">
      <c r="B61" s="29"/>
      <c r="C61" s="29"/>
      <c r="D61" s="30"/>
      <c r="E61" s="29"/>
      <c r="F61" s="29"/>
      <c r="G61" s="29"/>
      <c r="H61" s="29"/>
      <c r="I61" s="29"/>
      <c r="J61" s="29"/>
      <c r="K61" s="29"/>
      <c r="L61" s="31"/>
    </row>
    <row r="62" spans="1:14" ht="19.95" customHeight="1" thickBot="1" x14ac:dyDescent="0.3">
      <c r="B62" s="72" t="s">
        <v>54</v>
      </c>
      <c r="C62" s="72"/>
      <c r="D62" s="72"/>
      <c r="E62" s="20">
        <f t="shared" ref="E62:K62" si="4">SUM(E12:E60)</f>
        <v>22</v>
      </c>
      <c r="F62" s="20">
        <f t="shared" si="4"/>
        <v>25</v>
      </c>
      <c r="G62" s="20">
        <f t="shared" si="4"/>
        <v>61</v>
      </c>
      <c r="H62" s="20">
        <f t="shared" si="4"/>
        <v>0</v>
      </c>
      <c r="I62" s="20">
        <f t="shared" si="4"/>
        <v>0</v>
      </c>
      <c r="J62" s="20">
        <f t="shared" si="4"/>
        <v>0</v>
      </c>
      <c r="K62" s="20">
        <f t="shared" si="4"/>
        <v>0</v>
      </c>
    </row>
    <row r="63" spans="1:14" s="9" customFormat="1" ht="19.95" customHeight="1" thickTop="1" x14ac:dyDescent="0.25">
      <c r="A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</sheetData>
  <mergeCells count="10">
    <mergeCell ref="L9:L11"/>
    <mergeCell ref="M9:M11"/>
    <mergeCell ref="B62:D62"/>
    <mergeCell ref="B2:F2"/>
    <mergeCell ref="B3:E3"/>
    <mergeCell ref="F6:G6"/>
    <mergeCell ref="B9:B11"/>
    <mergeCell ref="D9:D11"/>
    <mergeCell ref="E9:K9"/>
    <mergeCell ref="C9:C11"/>
  </mergeCells>
  <printOptions horizontalCentered="1"/>
  <pageMargins left="0" right="0" top="0.25" bottom="0" header="0.5" footer="0.5"/>
  <pageSetup scale="75" orientation="landscape" r:id="rId1"/>
  <headerFooter alignWithMargins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'(Drop Down) Data Base '!$B$5:$B$50</xm:f>
          </x14:formula1>
          <xm:sqref>B12:B60</xm:sqref>
        </x14:dataValidation>
        <x14:dataValidation type="list" allowBlank="1" showInputMessage="1" showErrorMessage="1" xr:uid="{00000000-0002-0000-0200-000001000000}">
          <x14:formula1>
            <xm:f>'(Drop Down) Data Base '!$D$5:$D$29</xm:f>
          </x14:formula1>
          <xm:sqref>D12:D60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3"/>
  <sheetViews>
    <sheetView showGridLines="0" showRowColHeaders="0" zoomScaleNormal="100" workbookViewId="0">
      <pane xSplit="4" ySplit="11" topLeftCell="E12" activePane="bottomRight" state="frozen"/>
      <selection activeCell="C7" sqref="C7"/>
      <selection pane="topRight" activeCell="C7" sqref="C7"/>
      <selection pane="bottomLeft" activeCell="C7" sqref="C7"/>
      <selection pane="bottomRight" activeCell="B8" sqref="B8"/>
    </sheetView>
  </sheetViews>
  <sheetFormatPr defaultRowHeight="19.95" customHeight="1" x14ac:dyDescent="0.25"/>
  <cols>
    <col min="1" max="1" width="1.109375" style="4" customWidth="1"/>
    <col min="2" max="3" width="14.88671875" style="9" customWidth="1"/>
    <col min="4" max="4" width="16.5546875" style="4" customWidth="1"/>
    <col min="5" max="11" width="12.21875" style="4" customWidth="1"/>
    <col min="12" max="12" width="11.44140625" style="4" customWidth="1"/>
    <col min="13" max="13" width="52" style="4" bestFit="1" customWidth="1"/>
    <col min="14" max="14" width="1.109375" style="4" customWidth="1"/>
    <col min="15" max="15" width="6.109375" style="4" customWidth="1"/>
    <col min="16" max="16384" width="8.88671875" style="4"/>
  </cols>
  <sheetData>
    <row r="1" spans="2:14" ht="13.2" x14ac:dyDescent="0.25"/>
    <row r="2" spans="2:14" ht="31.8" x14ac:dyDescent="0.25">
      <c r="B2" s="73" t="s">
        <v>60</v>
      </c>
      <c r="C2" s="73"/>
      <c r="D2" s="73"/>
      <c r="E2" s="73"/>
      <c r="F2" s="73"/>
    </row>
    <row r="3" spans="2:14" ht="21" customHeight="1" x14ac:dyDescent="0.35">
      <c r="B3" s="74" t="s">
        <v>101</v>
      </c>
      <c r="C3" s="74"/>
      <c r="D3" s="74"/>
      <c r="E3" s="74"/>
      <c r="F3" s="13"/>
      <c r="G3" s="3"/>
      <c r="H3" s="3"/>
      <c r="I3" s="3"/>
      <c r="J3" s="3"/>
      <c r="K3" s="3"/>
      <c r="L3" s="3"/>
      <c r="M3" s="3"/>
    </row>
    <row r="4" spans="2:14" ht="13.2" x14ac:dyDescent="0.25">
      <c r="E4" s="14"/>
      <c r="F4" s="14"/>
    </row>
    <row r="5" spans="2:14" ht="9" customHeight="1" x14ac:dyDescent="0.25">
      <c r="B5" s="5"/>
      <c r="C5" s="5"/>
    </row>
    <row r="6" spans="2:14" ht="21" customHeight="1" x14ac:dyDescent="0.25">
      <c r="B6" s="16" t="s">
        <v>96</v>
      </c>
      <c r="C6" s="33" t="s">
        <v>59</v>
      </c>
      <c r="E6" s="6"/>
      <c r="F6" s="75"/>
      <c r="G6" s="75"/>
      <c r="H6" s="6"/>
      <c r="I6" s="11"/>
      <c r="J6" s="7"/>
      <c r="K6" s="7"/>
      <c r="L6" s="11"/>
    </row>
    <row r="7" spans="2:14" ht="21" customHeight="1" x14ac:dyDescent="0.3">
      <c r="B7" s="15" t="s">
        <v>97</v>
      </c>
      <c r="C7" s="32">
        <f>IFERROR((IF(MONTH('1st week'!K10)=MONTH('1st week'!K10+1),('1st week'!K10+1),"")),"")</f>
        <v>44750</v>
      </c>
      <c r="E7" s="6"/>
      <c r="F7" s="10"/>
      <c r="G7" s="10"/>
      <c r="H7" s="6"/>
      <c r="I7" s="11"/>
      <c r="J7" s="7"/>
      <c r="K7" s="7"/>
      <c r="L7" s="11"/>
    </row>
    <row r="8" spans="2:14" ht="15.6" x14ac:dyDescent="0.25">
      <c r="B8" s="12"/>
      <c r="C8" s="12"/>
    </row>
    <row r="9" spans="2:14" ht="24" customHeight="1" x14ac:dyDescent="0.25">
      <c r="B9" s="71" t="s">
        <v>0</v>
      </c>
      <c r="C9" s="76" t="s">
        <v>70</v>
      </c>
      <c r="D9" s="71" t="s">
        <v>71</v>
      </c>
      <c r="E9" s="71" t="s">
        <v>98</v>
      </c>
      <c r="F9" s="71"/>
      <c r="G9" s="71"/>
      <c r="H9" s="71"/>
      <c r="I9" s="71"/>
      <c r="J9" s="71"/>
      <c r="K9" s="71"/>
      <c r="L9" s="71" t="s">
        <v>99</v>
      </c>
      <c r="M9" s="71" t="s">
        <v>100</v>
      </c>
    </row>
    <row r="10" spans="2:14" ht="24" customHeight="1" x14ac:dyDescent="0.25">
      <c r="B10" s="71"/>
      <c r="C10" s="77"/>
      <c r="D10" s="71"/>
      <c r="E10" s="21">
        <f>C7</f>
        <v>44750</v>
      </c>
      <c r="F10" s="21">
        <f>IFERROR((IF(MONTH(E10)=MONTH(E10+1),E10+1," ")),"")</f>
        <v>44751</v>
      </c>
      <c r="G10" s="21">
        <f t="shared" ref="G10:K10" si="0">IFERROR((IF(MONTH(F10)=MONTH(F10+1),F10+1," ")),"")</f>
        <v>44752</v>
      </c>
      <c r="H10" s="21">
        <f t="shared" si="0"/>
        <v>44753</v>
      </c>
      <c r="I10" s="21">
        <f t="shared" si="0"/>
        <v>44754</v>
      </c>
      <c r="J10" s="21">
        <f t="shared" si="0"/>
        <v>44755</v>
      </c>
      <c r="K10" s="21">
        <f t="shared" si="0"/>
        <v>44756</v>
      </c>
      <c r="L10" s="71"/>
      <c r="M10" s="71"/>
    </row>
    <row r="11" spans="2:14" ht="24" customHeight="1" x14ac:dyDescent="0.25">
      <c r="B11" s="71"/>
      <c r="C11" s="78"/>
      <c r="D11" s="71"/>
      <c r="E11" s="17" t="str">
        <f>TEXT(E10,"DDDD")</f>
        <v>Friday</v>
      </c>
      <c r="F11" s="17" t="str">
        <f t="shared" ref="F11:K11" si="1">TEXT(F10,"DDDD")</f>
        <v>Saturday</v>
      </c>
      <c r="G11" s="17" t="str">
        <f t="shared" si="1"/>
        <v>Sunday</v>
      </c>
      <c r="H11" s="17" t="str">
        <f t="shared" si="1"/>
        <v>Monday</v>
      </c>
      <c r="I11" s="17" t="str">
        <f t="shared" si="1"/>
        <v>Tuesday</v>
      </c>
      <c r="J11" s="17" t="str">
        <f t="shared" si="1"/>
        <v>Wednesday</v>
      </c>
      <c r="K11" s="17" t="str">
        <f t="shared" si="1"/>
        <v>Thursday</v>
      </c>
      <c r="L11" s="71"/>
      <c r="M11" s="71"/>
      <c r="N11" s="8"/>
    </row>
    <row r="12" spans="2:14" ht="19.95" customHeight="1" x14ac:dyDescent="0.25">
      <c r="B12" s="22" t="s">
        <v>29</v>
      </c>
      <c r="C12" s="22" t="str">
        <f t="array" ref="C12">IFERROR((INDEX(Table7[Nama Projek],MATCH(Table24[[#This Row],[Column1]],Table7[Job '#],0))),"")</f>
        <v>Projek 1</v>
      </c>
      <c r="D12" s="19" t="s">
        <v>2</v>
      </c>
      <c r="E12" s="18">
        <v>5</v>
      </c>
      <c r="F12" s="18">
        <v>10</v>
      </c>
      <c r="G12" s="18">
        <v>11</v>
      </c>
      <c r="H12" s="18">
        <v>0</v>
      </c>
      <c r="I12" s="18"/>
      <c r="J12" s="18"/>
      <c r="K12" s="18"/>
      <c r="L12" s="34">
        <f>SUM(E12:K12)</f>
        <v>26</v>
      </c>
      <c r="M12" s="23" t="s">
        <v>32</v>
      </c>
    </row>
    <row r="13" spans="2:14" ht="19.95" customHeight="1" x14ac:dyDescent="0.25">
      <c r="B13" s="22" t="s">
        <v>29</v>
      </c>
      <c r="C13" s="22" t="str">
        <f t="array" ref="C13">IFERROR((INDEX(Table7[Nama Projek],MATCH(Table24[[#This Row],[Column1]],Table7[Job '#],0))),"")</f>
        <v>Projek 1</v>
      </c>
      <c r="D13" s="19" t="s">
        <v>1</v>
      </c>
      <c r="E13" s="18"/>
      <c r="F13" s="18"/>
      <c r="G13" s="18"/>
      <c r="H13" s="18"/>
      <c r="I13" s="18"/>
      <c r="J13" s="18"/>
      <c r="K13" s="18"/>
      <c r="L13" s="34">
        <f t="shared" ref="L13:L42" si="2">SUM(E13:K13)</f>
        <v>0</v>
      </c>
      <c r="M13" s="23" t="s">
        <v>32</v>
      </c>
    </row>
    <row r="14" spans="2:14" ht="19.95" customHeight="1" x14ac:dyDescent="0.25">
      <c r="B14" s="22" t="s">
        <v>8</v>
      </c>
      <c r="C14" s="22" t="str">
        <f t="array" ref="C14">IFERROR((INDEX(Table7[Nama Projek],MATCH(Table24[[#This Row],[Column1]],Table7[Job '#],0))),"")</f>
        <v>Projek 6</v>
      </c>
      <c r="D14" s="19" t="s">
        <v>1</v>
      </c>
      <c r="E14" s="18">
        <v>20</v>
      </c>
      <c r="F14" s="18">
        <v>22</v>
      </c>
      <c r="G14" s="18">
        <v>40</v>
      </c>
      <c r="H14" s="18"/>
      <c r="I14" s="18"/>
      <c r="J14" s="18"/>
      <c r="K14" s="18"/>
      <c r="L14" s="34">
        <f t="shared" si="2"/>
        <v>82</v>
      </c>
      <c r="M14" s="23" t="s">
        <v>11</v>
      </c>
    </row>
    <row r="15" spans="2:14" ht="19.95" customHeight="1" x14ac:dyDescent="0.25">
      <c r="B15" s="22" t="s">
        <v>10</v>
      </c>
      <c r="C15" s="22" t="str">
        <f t="array" ref="C15">IFERROR((INDEX(Table7[Nama Projek],MATCH(Table24[[#This Row],[Column1]],Table7[Job '#],0))),"")</f>
        <v>Projek 2</v>
      </c>
      <c r="D15" s="19" t="s">
        <v>1</v>
      </c>
      <c r="E15" s="18"/>
      <c r="F15" s="18"/>
      <c r="G15" s="18"/>
      <c r="H15" s="18"/>
      <c r="I15" s="18"/>
      <c r="J15" s="18"/>
      <c r="K15" s="18"/>
      <c r="L15" s="34">
        <f t="shared" si="2"/>
        <v>0</v>
      </c>
      <c r="M15" s="23" t="s">
        <v>11</v>
      </c>
    </row>
    <row r="16" spans="2:14" ht="19.95" customHeight="1" x14ac:dyDescent="0.25">
      <c r="B16" s="22" t="s">
        <v>27</v>
      </c>
      <c r="C16" s="22" t="str">
        <f t="array" ref="C16">IFERROR((INDEX(Table7[Nama Projek],MATCH(Table24[[#This Row],[Column1]],Table7[Job '#],0))),"")</f>
        <v>Projek 3</v>
      </c>
      <c r="D16" s="19" t="s">
        <v>1</v>
      </c>
      <c r="E16" s="18"/>
      <c r="F16" s="18"/>
      <c r="G16" s="18"/>
      <c r="H16" s="18"/>
      <c r="I16" s="18"/>
      <c r="J16" s="18"/>
      <c r="K16" s="18"/>
      <c r="L16" s="34">
        <f t="shared" si="2"/>
        <v>0</v>
      </c>
      <c r="M16" s="23" t="s">
        <v>28</v>
      </c>
    </row>
    <row r="17" spans="2:13" ht="19.95" customHeight="1" x14ac:dyDescent="0.25">
      <c r="B17" s="22" t="s">
        <v>27</v>
      </c>
      <c r="C17" s="22" t="str">
        <f t="array" ref="C17">IFERROR((INDEX(Table7[Nama Projek],MATCH(Table24[[#This Row],[Column1]],Table7[Job '#],0))),"")</f>
        <v>Projek 3</v>
      </c>
      <c r="D17" s="19" t="s">
        <v>2</v>
      </c>
      <c r="E17" s="18"/>
      <c r="F17" s="18"/>
      <c r="G17" s="18"/>
      <c r="H17" s="18"/>
      <c r="I17" s="18"/>
      <c r="J17" s="18"/>
      <c r="K17" s="18"/>
      <c r="L17" s="34">
        <f t="shared" si="2"/>
        <v>0</v>
      </c>
      <c r="M17" s="23" t="s">
        <v>28</v>
      </c>
    </row>
    <row r="18" spans="2:13" ht="19.95" customHeight="1" x14ac:dyDescent="0.25">
      <c r="B18" s="22" t="s">
        <v>12</v>
      </c>
      <c r="C18" s="22" t="str">
        <f t="array" ref="C18">IFERROR((INDEX(Table7[Nama Projek],MATCH(Table24[[#This Row],[Column1]],Table7[Job '#],0))),"")</f>
        <v>Projek 4</v>
      </c>
      <c r="D18" s="19" t="s">
        <v>1</v>
      </c>
      <c r="E18" s="18"/>
      <c r="F18" s="18"/>
      <c r="G18" s="18"/>
      <c r="H18" s="18"/>
      <c r="I18" s="18"/>
      <c r="J18" s="18"/>
      <c r="K18" s="18"/>
      <c r="L18" s="34">
        <f t="shared" si="2"/>
        <v>0</v>
      </c>
      <c r="M18" s="23" t="s">
        <v>15</v>
      </c>
    </row>
    <row r="19" spans="2:13" ht="19.95" customHeight="1" x14ac:dyDescent="0.25">
      <c r="B19" s="22" t="s">
        <v>12</v>
      </c>
      <c r="C19" s="22" t="str">
        <f t="array" ref="C19">IFERROR((INDEX(Table7[Nama Projek],MATCH(Table24[[#This Row],[Column1]],Table7[Job '#],0))),"")</f>
        <v>Projek 4</v>
      </c>
      <c r="D19" s="19" t="s">
        <v>2</v>
      </c>
      <c r="E19" s="18"/>
      <c r="F19" s="18"/>
      <c r="G19" s="18"/>
      <c r="H19" s="18"/>
      <c r="I19" s="18"/>
      <c r="J19" s="18"/>
      <c r="K19" s="18"/>
      <c r="L19" s="34">
        <f t="shared" si="2"/>
        <v>0</v>
      </c>
      <c r="M19" s="23" t="s">
        <v>15</v>
      </c>
    </row>
    <row r="20" spans="2:13" ht="19.95" customHeight="1" x14ac:dyDescent="0.25">
      <c r="B20" s="22" t="s">
        <v>16</v>
      </c>
      <c r="C20" s="22" t="str">
        <f t="array" ref="C20">IFERROR((INDEX(Table7[Nama Projek],MATCH(Table24[[#This Row],[Column1]],Table7[Job '#],0))),"")</f>
        <v>Projek 5</v>
      </c>
      <c r="D20" s="19" t="s">
        <v>1</v>
      </c>
      <c r="E20" s="18"/>
      <c r="F20" s="18"/>
      <c r="G20" s="18"/>
      <c r="H20" s="18"/>
      <c r="I20" s="18"/>
      <c r="J20" s="18"/>
      <c r="K20" s="18"/>
      <c r="L20" s="34">
        <f t="shared" si="2"/>
        <v>0</v>
      </c>
      <c r="M20" s="23" t="s">
        <v>17</v>
      </c>
    </row>
    <row r="21" spans="2:13" ht="19.95" customHeight="1" x14ac:dyDescent="0.25">
      <c r="B21" s="22" t="s">
        <v>16</v>
      </c>
      <c r="C21" s="22" t="str">
        <f t="array" ref="C21">IFERROR((INDEX(Table7[Nama Projek],MATCH(Table24[[#This Row],[Column1]],Table7[Job '#],0))),"")</f>
        <v>Projek 5</v>
      </c>
      <c r="D21" s="19" t="s">
        <v>2</v>
      </c>
      <c r="E21" s="18"/>
      <c r="F21" s="18"/>
      <c r="G21" s="18"/>
      <c r="H21" s="18"/>
      <c r="I21" s="18"/>
      <c r="J21" s="18"/>
      <c r="K21" s="18"/>
      <c r="L21" s="34">
        <f t="shared" si="2"/>
        <v>0</v>
      </c>
      <c r="M21" s="23" t="s">
        <v>17</v>
      </c>
    </row>
    <row r="22" spans="2:13" ht="19.95" customHeight="1" x14ac:dyDescent="0.25">
      <c r="B22" s="22" t="s">
        <v>8</v>
      </c>
      <c r="C22" s="22" t="str">
        <f t="array" ref="C22">IFERROR((INDEX(Table7[Nama Projek],MATCH(Table24[[#This Row],[Column1]],Table7[Job '#],0))),"")</f>
        <v>Projek 6</v>
      </c>
      <c r="D22" s="19" t="s">
        <v>2</v>
      </c>
      <c r="E22" s="18"/>
      <c r="F22" s="18"/>
      <c r="G22" s="18"/>
      <c r="H22" s="18"/>
      <c r="I22" s="18"/>
      <c r="J22" s="18"/>
      <c r="K22" s="18"/>
      <c r="L22" s="34">
        <f t="shared" si="2"/>
        <v>0</v>
      </c>
      <c r="M22" s="23" t="s">
        <v>20</v>
      </c>
    </row>
    <row r="23" spans="2:13" ht="19.95" customHeight="1" x14ac:dyDescent="0.25">
      <c r="B23" s="22" t="s">
        <v>8</v>
      </c>
      <c r="C23" s="22" t="str">
        <f t="array" ref="C23">IFERROR((INDEX(Table7[Nama Projek],MATCH(Table24[[#This Row],[Column1]],Table7[Job '#],0))),"")</f>
        <v>Projek 6</v>
      </c>
      <c r="D23" s="19" t="s">
        <v>1</v>
      </c>
      <c r="E23" s="18"/>
      <c r="F23" s="18"/>
      <c r="G23" s="18"/>
      <c r="H23" s="18"/>
      <c r="I23" s="18"/>
      <c r="J23" s="18"/>
      <c r="K23" s="18"/>
      <c r="L23" s="34">
        <f t="shared" si="2"/>
        <v>0</v>
      </c>
      <c r="M23" s="23" t="s">
        <v>20</v>
      </c>
    </row>
    <row r="24" spans="2:13" ht="19.95" customHeight="1" x14ac:dyDescent="0.25">
      <c r="B24" s="22" t="s">
        <v>8</v>
      </c>
      <c r="C24" s="22" t="str">
        <f t="array" ref="C24">IFERROR((INDEX(Table7[Nama Projek],MATCH(Table24[[#This Row],[Column1]],Table7[Job '#],0))),"")</f>
        <v>Projek 6</v>
      </c>
      <c r="D24" s="19" t="s">
        <v>2</v>
      </c>
      <c r="E24" s="18"/>
      <c r="F24" s="18"/>
      <c r="G24" s="18"/>
      <c r="H24" s="18"/>
      <c r="I24" s="18"/>
      <c r="J24" s="18"/>
      <c r="K24" s="18"/>
      <c r="L24" s="34">
        <f t="shared" si="2"/>
        <v>0</v>
      </c>
      <c r="M24" s="23" t="s">
        <v>21</v>
      </c>
    </row>
    <row r="25" spans="2:13" ht="19.95" customHeight="1" x14ac:dyDescent="0.25">
      <c r="B25" s="22" t="s">
        <v>8</v>
      </c>
      <c r="C25" s="22" t="str">
        <f t="array" ref="C25">IFERROR((INDEX(Table7[Nama Projek],MATCH(Table24[[#This Row],[Column1]],Table7[Job '#],0))),"")</f>
        <v>Projek 6</v>
      </c>
      <c r="D25" s="19" t="s">
        <v>1</v>
      </c>
      <c r="E25" s="18"/>
      <c r="F25" s="18"/>
      <c r="G25" s="18"/>
      <c r="H25" s="18"/>
      <c r="I25" s="18"/>
      <c r="J25" s="18"/>
      <c r="K25" s="18"/>
      <c r="L25" s="34">
        <f t="shared" si="2"/>
        <v>0</v>
      </c>
      <c r="M25" s="23" t="s">
        <v>21</v>
      </c>
    </row>
    <row r="26" spans="2:13" ht="19.95" customHeight="1" x14ac:dyDescent="0.25">
      <c r="B26" s="22" t="s">
        <v>3</v>
      </c>
      <c r="C26" s="22" t="str">
        <f t="array" ref="C26">IFERROR((INDEX(Table7[Nama Projek],MATCH(Table24[[#This Row],[Column1]],Table7[Job '#],0))),"")</f>
        <v>Projek 7</v>
      </c>
      <c r="D26" s="19" t="s">
        <v>2</v>
      </c>
      <c r="E26" s="18"/>
      <c r="F26" s="18"/>
      <c r="G26" s="18"/>
      <c r="H26" s="18"/>
      <c r="I26" s="18"/>
      <c r="J26" s="18"/>
      <c r="K26" s="18"/>
      <c r="L26" s="34">
        <f t="shared" si="2"/>
        <v>0</v>
      </c>
      <c r="M26" s="23" t="s">
        <v>4</v>
      </c>
    </row>
    <row r="27" spans="2:13" ht="19.95" customHeight="1" x14ac:dyDescent="0.25">
      <c r="B27" s="22" t="s">
        <v>3</v>
      </c>
      <c r="C27" s="22" t="str">
        <f t="array" ref="C27">IFERROR((INDEX(Table7[Nama Projek],MATCH(Table24[[#This Row],[Column1]],Table7[Job '#],0))),"")</f>
        <v>Projek 7</v>
      </c>
      <c r="D27" s="19" t="s">
        <v>1</v>
      </c>
      <c r="E27" s="18"/>
      <c r="F27" s="18"/>
      <c r="G27" s="18"/>
      <c r="H27" s="18"/>
      <c r="I27" s="18"/>
      <c r="J27" s="18"/>
      <c r="K27" s="18"/>
      <c r="L27" s="34">
        <f t="shared" si="2"/>
        <v>0</v>
      </c>
      <c r="M27" s="23" t="s">
        <v>4</v>
      </c>
    </row>
    <row r="28" spans="2:13" ht="19.95" customHeight="1" x14ac:dyDescent="0.25">
      <c r="B28" s="22" t="s">
        <v>6</v>
      </c>
      <c r="C28" s="22" t="str">
        <f t="array" ref="C28">IFERROR((INDEX(Table7[Nama Projek],MATCH(Table24[[#This Row],[Column1]],Table7[Job '#],0))),"")</f>
        <v>Projek 8</v>
      </c>
      <c r="D28" s="19" t="s">
        <v>2</v>
      </c>
      <c r="E28" s="18"/>
      <c r="F28" s="18"/>
      <c r="G28" s="18"/>
      <c r="H28" s="18"/>
      <c r="I28" s="18"/>
      <c r="J28" s="18"/>
      <c r="K28" s="18"/>
      <c r="L28" s="34">
        <f t="shared" si="2"/>
        <v>0</v>
      </c>
      <c r="M28" s="23" t="s">
        <v>7</v>
      </c>
    </row>
    <row r="29" spans="2:13" ht="19.95" customHeight="1" x14ac:dyDescent="0.25">
      <c r="B29" s="22" t="s">
        <v>6</v>
      </c>
      <c r="C29" s="22" t="str">
        <f t="array" ref="C29">IFERROR((INDEX(Table7[Nama Projek],MATCH(Table24[[#This Row],[Column1]],Table7[Job '#],0))),"")</f>
        <v>Projek 8</v>
      </c>
      <c r="D29" s="19" t="s">
        <v>1</v>
      </c>
      <c r="E29" s="18"/>
      <c r="F29" s="18"/>
      <c r="G29" s="18"/>
      <c r="H29" s="18"/>
      <c r="I29" s="18"/>
      <c r="J29" s="18"/>
      <c r="K29" s="18"/>
      <c r="L29" s="34">
        <f t="shared" si="2"/>
        <v>0</v>
      </c>
      <c r="M29" s="23" t="s">
        <v>7</v>
      </c>
    </row>
    <row r="30" spans="2:13" ht="19.95" customHeight="1" x14ac:dyDescent="0.25">
      <c r="B30" s="22" t="s">
        <v>5</v>
      </c>
      <c r="C30" s="22" t="str">
        <f t="array" ref="C30">IFERROR((INDEX(Table7[Nama Projek],MATCH(Table24[[#This Row],[Column1]],Table7[Job '#],0))),"")</f>
        <v>Projek 9</v>
      </c>
      <c r="D30" s="19" t="s">
        <v>2</v>
      </c>
      <c r="E30" s="18"/>
      <c r="F30" s="18"/>
      <c r="G30" s="18"/>
      <c r="H30" s="18"/>
      <c r="I30" s="18"/>
      <c r="J30" s="18"/>
      <c r="K30" s="18"/>
      <c r="L30" s="34">
        <f t="shared" si="2"/>
        <v>0</v>
      </c>
      <c r="M30" s="23" t="s">
        <v>14</v>
      </c>
    </row>
    <row r="31" spans="2:13" ht="19.95" customHeight="1" x14ac:dyDescent="0.25">
      <c r="B31" s="22" t="s">
        <v>5</v>
      </c>
      <c r="C31" s="22" t="str">
        <f t="array" ref="C31">IFERROR((INDEX(Table7[Nama Projek],MATCH(Table24[[#This Row],[Column1]],Table7[Job '#],0))),"")</f>
        <v>Projek 9</v>
      </c>
      <c r="D31" s="19" t="s">
        <v>1</v>
      </c>
      <c r="E31" s="18"/>
      <c r="F31" s="18"/>
      <c r="G31" s="18"/>
      <c r="H31" s="18"/>
      <c r="I31" s="18"/>
      <c r="J31" s="18"/>
      <c r="K31" s="18"/>
      <c r="L31" s="34">
        <f t="shared" si="2"/>
        <v>0</v>
      </c>
      <c r="M31" s="23" t="s">
        <v>14</v>
      </c>
    </row>
    <row r="32" spans="2:13" ht="19.95" customHeight="1" x14ac:dyDescent="0.25">
      <c r="B32" s="22" t="s">
        <v>5</v>
      </c>
      <c r="C32" s="22" t="str">
        <f t="array" ref="C32">IFERROR((INDEX(Table7[Nama Projek],MATCH(Table24[[#This Row],[Column1]],Table7[Job '#],0))),"")</f>
        <v>Projek 9</v>
      </c>
      <c r="D32" s="19" t="s">
        <v>2</v>
      </c>
      <c r="E32" s="18"/>
      <c r="F32" s="18"/>
      <c r="G32" s="18"/>
      <c r="H32" s="18"/>
      <c r="I32" s="18"/>
      <c r="J32" s="18"/>
      <c r="K32" s="18"/>
      <c r="L32" s="34">
        <f t="shared" si="2"/>
        <v>0</v>
      </c>
      <c r="M32" s="23" t="s">
        <v>9</v>
      </c>
    </row>
    <row r="33" spans="2:13" ht="19.95" customHeight="1" x14ac:dyDescent="0.25">
      <c r="B33" s="22" t="s">
        <v>35</v>
      </c>
      <c r="C33" s="22" t="str">
        <f t="array" ref="C33">IFERROR((INDEX(Table7[Nama Projek],MATCH(Table24[[#This Row],[Column1]],Table7[Job '#],0))),"")</f>
        <v>Projek 10</v>
      </c>
      <c r="D33" s="19" t="s">
        <v>2</v>
      </c>
      <c r="E33" s="18"/>
      <c r="F33" s="18"/>
      <c r="G33" s="18"/>
      <c r="H33" s="18"/>
      <c r="I33" s="18"/>
      <c r="J33" s="18"/>
      <c r="K33" s="18"/>
      <c r="L33" s="34">
        <f t="shared" si="2"/>
        <v>0</v>
      </c>
      <c r="M33" s="23" t="s">
        <v>36</v>
      </c>
    </row>
    <row r="34" spans="2:13" ht="19.95" customHeight="1" x14ac:dyDescent="0.25">
      <c r="B34" s="22" t="s">
        <v>35</v>
      </c>
      <c r="C34" s="22" t="str">
        <f t="array" ref="C34">IFERROR((INDEX(Table7[Nama Projek],MATCH(Table24[[#This Row],[Column1]],Table7[Job '#],0))),"")</f>
        <v>Projek 10</v>
      </c>
      <c r="D34" s="19" t="s">
        <v>1</v>
      </c>
      <c r="E34" s="18"/>
      <c r="F34" s="18"/>
      <c r="G34" s="18"/>
      <c r="H34" s="18"/>
      <c r="I34" s="18"/>
      <c r="J34" s="18"/>
      <c r="K34" s="18"/>
      <c r="L34" s="34">
        <f t="shared" si="2"/>
        <v>0</v>
      </c>
      <c r="M34" s="23" t="s">
        <v>36</v>
      </c>
    </row>
    <row r="35" spans="2:13" ht="19.95" customHeight="1" x14ac:dyDescent="0.25">
      <c r="B35" s="22" t="s">
        <v>52</v>
      </c>
      <c r="C35" s="22" t="str">
        <f t="array" ref="C35">IFERROR((INDEX(Table7[Nama Projek],MATCH(Table24[[#This Row],[Column1]],Table7[Job '#],0))),"")</f>
        <v>Projek 11</v>
      </c>
      <c r="D35" s="19" t="s">
        <v>2</v>
      </c>
      <c r="E35" s="18"/>
      <c r="F35" s="18"/>
      <c r="G35" s="18"/>
      <c r="H35" s="18"/>
      <c r="I35" s="18"/>
      <c r="J35" s="18"/>
      <c r="K35" s="18"/>
      <c r="L35" s="34">
        <f t="shared" si="2"/>
        <v>0</v>
      </c>
      <c r="M35" s="23" t="s">
        <v>53</v>
      </c>
    </row>
    <row r="36" spans="2:13" ht="19.95" customHeight="1" x14ac:dyDescent="0.25">
      <c r="B36" s="22" t="s">
        <v>52</v>
      </c>
      <c r="C36" s="22" t="str">
        <f t="array" ref="C36">IFERROR((INDEX(Table7[Nama Projek],MATCH(Table24[[#This Row],[Column1]],Table7[Job '#],0))),"")</f>
        <v>Projek 11</v>
      </c>
      <c r="D36" s="19" t="s">
        <v>1</v>
      </c>
      <c r="E36" s="18">
        <v>4</v>
      </c>
      <c r="F36" s="18"/>
      <c r="G36" s="18"/>
      <c r="H36" s="18"/>
      <c r="I36" s="18"/>
      <c r="J36" s="18"/>
      <c r="K36" s="18"/>
      <c r="L36" s="34">
        <f t="shared" si="2"/>
        <v>4</v>
      </c>
      <c r="M36" s="23" t="s">
        <v>53</v>
      </c>
    </row>
    <row r="37" spans="2:13" ht="19.95" customHeight="1" x14ac:dyDescent="0.25">
      <c r="B37" s="22" t="s">
        <v>43</v>
      </c>
      <c r="C37" s="22" t="str">
        <f t="array" ref="C37">IFERROR((INDEX(Table7[Nama Projek],MATCH(Table24[[#This Row],[Column1]],Table7[Job '#],0))),"")</f>
        <v>Projek 12</v>
      </c>
      <c r="D37" s="19" t="s">
        <v>2</v>
      </c>
      <c r="E37" s="18"/>
      <c r="F37" s="18"/>
      <c r="G37" s="18"/>
      <c r="H37" s="18"/>
      <c r="I37" s="18"/>
      <c r="J37" s="18"/>
      <c r="K37" s="18"/>
      <c r="L37" s="34">
        <f t="shared" si="2"/>
        <v>0</v>
      </c>
      <c r="M37" s="23" t="s">
        <v>13</v>
      </c>
    </row>
    <row r="38" spans="2:13" ht="19.95" customHeight="1" x14ac:dyDescent="0.25">
      <c r="B38" s="22" t="s">
        <v>43</v>
      </c>
      <c r="C38" s="22" t="str">
        <f t="array" ref="C38">IFERROR((INDEX(Table7[Nama Projek],MATCH(Table24[[#This Row],[Column1]],Table7[Job '#],0))),"")</f>
        <v>Projek 12</v>
      </c>
      <c r="D38" s="19" t="s">
        <v>1</v>
      </c>
      <c r="E38" s="18"/>
      <c r="F38" s="18"/>
      <c r="G38" s="18"/>
      <c r="H38" s="18"/>
      <c r="I38" s="18"/>
      <c r="J38" s="18"/>
      <c r="K38" s="18"/>
      <c r="L38" s="34">
        <f t="shared" si="2"/>
        <v>0</v>
      </c>
      <c r="M38" s="23" t="s">
        <v>13</v>
      </c>
    </row>
    <row r="39" spans="2:13" ht="19.95" customHeight="1" x14ac:dyDescent="0.25">
      <c r="B39" s="22" t="s">
        <v>33</v>
      </c>
      <c r="C39" s="22" t="str">
        <f t="array" ref="C39">IFERROR((INDEX(Table7[Nama Projek],MATCH(Table24[[#This Row],[Column1]],Table7[Job '#],0))),"")</f>
        <v>Projek 13</v>
      </c>
      <c r="D39" s="19" t="s">
        <v>2</v>
      </c>
      <c r="E39" s="18"/>
      <c r="F39" s="18"/>
      <c r="G39" s="18"/>
      <c r="H39" s="18"/>
      <c r="I39" s="18"/>
      <c r="J39" s="18"/>
      <c r="K39" s="18"/>
      <c r="L39" s="34">
        <f t="shared" si="2"/>
        <v>0</v>
      </c>
      <c r="M39" s="23" t="s">
        <v>34</v>
      </c>
    </row>
    <row r="40" spans="2:13" ht="19.95" customHeight="1" x14ac:dyDescent="0.25">
      <c r="B40" s="22" t="s">
        <v>33</v>
      </c>
      <c r="C40" s="22" t="str">
        <f t="array" ref="C40">IFERROR((INDEX(Table7[Nama Projek],MATCH(Table24[[#This Row],[Column1]],Table7[Job '#],0))),"")</f>
        <v>Projek 13</v>
      </c>
      <c r="D40" s="19" t="s">
        <v>1</v>
      </c>
      <c r="E40" s="18"/>
      <c r="F40" s="18"/>
      <c r="G40" s="18"/>
      <c r="H40" s="18"/>
      <c r="I40" s="18"/>
      <c r="J40" s="18"/>
      <c r="K40" s="18"/>
      <c r="L40" s="34">
        <f t="shared" si="2"/>
        <v>0</v>
      </c>
      <c r="M40" s="23" t="s">
        <v>34</v>
      </c>
    </row>
    <row r="41" spans="2:13" ht="19.95" customHeight="1" x14ac:dyDescent="0.25">
      <c r="B41" s="22" t="s">
        <v>22</v>
      </c>
      <c r="C41" s="22" t="str">
        <f t="array" ref="C41">IFERROR((INDEX(Table7[Nama Projek],MATCH(Table24[[#This Row],[Column1]],Table7[Job '#],0))),"")</f>
        <v>Projek 14</v>
      </c>
      <c r="D41" s="19" t="s">
        <v>2</v>
      </c>
      <c r="E41" s="18"/>
      <c r="F41" s="18"/>
      <c r="G41" s="18"/>
      <c r="H41" s="18"/>
      <c r="I41" s="18"/>
      <c r="J41" s="18"/>
      <c r="K41" s="18"/>
      <c r="L41" s="34">
        <f t="shared" si="2"/>
        <v>0</v>
      </c>
      <c r="M41" s="23" t="s">
        <v>23</v>
      </c>
    </row>
    <row r="42" spans="2:13" ht="19.95" customHeight="1" x14ac:dyDescent="0.25">
      <c r="B42" s="22" t="s">
        <v>22</v>
      </c>
      <c r="C42" s="22" t="str">
        <f t="array" ref="C42">IFERROR((INDEX(Table7[Nama Projek],MATCH(Table24[[#This Row],[Column1]],Table7[Job '#],0))),"")</f>
        <v>Projek 14</v>
      </c>
      <c r="D42" s="19" t="s">
        <v>1</v>
      </c>
      <c r="E42" s="18"/>
      <c r="F42" s="18"/>
      <c r="G42" s="18"/>
      <c r="H42" s="18"/>
      <c r="I42" s="18"/>
      <c r="J42" s="18"/>
      <c r="K42" s="18"/>
      <c r="L42" s="34">
        <f t="shared" si="2"/>
        <v>0</v>
      </c>
      <c r="M42" s="23" t="s">
        <v>23</v>
      </c>
    </row>
    <row r="43" spans="2:13" ht="19.95" customHeight="1" x14ac:dyDescent="0.25">
      <c r="B43" s="22" t="s">
        <v>24</v>
      </c>
      <c r="C43" s="22" t="str">
        <f t="array" ref="C43">IFERROR((INDEX(Table7[Nama Projek],MATCH(Table24[[#This Row],[Column1]],Table7[Job '#],0))),"")</f>
        <v>Projek 15</v>
      </c>
      <c r="D43" s="19" t="s">
        <v>25</v>
      </c>
      <c r="E43" s="18"/>
      <c r="F43" s="18"/>
      <c r="G43" s="18"/>
      <c r="H43" s="18"/>
      <c r="I43" s="18"/>
      <c r="J43" s="18"/>
      <c r="K43" s="18"/>
      <c r="L43" s="34">
        <f>SUM(E43:K43)</f>
        <v>0</v>
      </c>
      <c r="M43" s="23" t="s">
        <v>26</v>
      </c>
    </row>
    <row r="44" spans="2:13" ht="19.95" customHeight="1" x14ac:dyDescent="0.25">
      <c r="B44" s="22" t="s">
        <v>18</v>
      </c>
      <c r="C44" s="22" t="str">
        <f t="array" ref="C44">IFERROR((INDEX(Table7[Nama Projek],MATCH(Table24[[#This Row],[Column1]],Table7[Job '#],0))),"")</f>
        <v>Projek 16</v>
      </c>
      <c r="D44" s="19" t="s">
        <v>2</v>
      </c>
      <c r="E44" s="18"/>
      <c r="F44" s="18"/>
      <c r="G44" s="18"/>
      <c r="H44" s="18"/>
      <c r="I44" s="18"/>
      <c r="J44" s="18"/>
      <c r="K44" s="18"/>
      <c r="L44" s="34">
        <f t="shared" ref="L44:L59" si="3">SUM(E44:K44)</f>
        <v>0</v>
      </c>
      <c r="M44" s="23" t="s">
        <v>19</v>
      </c>
    </row>
    <row r="45" spans="2:13" ht="19.95" customHeight="1" x14ac:dyDescent="0.25">
      <c r="B45" s="22" t="s">
        <v>30</v>
      </c>
      <c r="C45" s="22" t="str">
        <f t="array" ref="C45">IFERROR((INDEX(Table7[Nama Projek],MATCH(Table24[[#This Row],[Column1]],Table7[Job '#],0))),"")</f>
        <v>Projek 17</v>
      </c>
      <c r="D45" s="19" t="s">
        <v>2</v>
      </c>
      <c r="E45" s="18"/>
      <c r="F45" s="18"/>
      <c r="G45" s="18"/>
      <c r="H45" s="18"/>
      <c r="I45" s="18"/>
      <c r="J45" s="18"/>
      <c r="K45" s="18"/>
      <c r="L45" s="34">
        <f t="shared" si="3"/>
        <v>0</v>
      </c>
      <c r="M45" s="23" t="s">
        <v>31</v>
      </c>
    </row>
    <row r="46" spans="2:13" ht="19.95" customHeight="1" x14ac:dyDescent="0.25">
      <c r="B46" s="22" t="s">
        <v>30</v>
      </c>
      <c r="C46" s="22" t="str">
        <f t="array" ref="C46">IFERROR((INDEX(Table7[Nama Projek],MATCH(Table24[[#This Row],[Column1]],Table7[Job '#],0))),"")</f>
        <v>Projek 17</v>
      </c>
      <c r="D46" s="19" t="s">
        <v>1</v>
      </c>
      <c r="E46" s="18"/>
      <c r="F46" s="18"/>
      <c r="G46" s="18"/>
      <c r="H46" s="18"/>
      <c r="I46" s="18"/>
      <c r="J46" s="18"/>
      <c r="K46" s="18"/>
      <c r="L46" s="34">
        <f t="shared" si="3"/>
        <v>0</v>
      </c>
      <c r="M46" s="23" t="s">
        <v>31</v>
      </c>
    </row>
    <row r="47" spans="2:13" ht="19.95" customHeight="1" x14ac:dyDescent="0.25">
      <c r="B47" s="22" t="s">
        <v>45</v>
      </c>
      <c r="C47" s="22" t="str">
        <f t="array" ref="C47">IFERROR((INDEX(Table7[Nama Projek],MATCH(Table24[[#This Row],[Column1]],Table7[Job '#],0))),"")</f>
        <v>Projek 18</v>
      </c>
      <c r="D47" s="19" t="s">
        <v>2</v>
      </c>
      <c r="E47" s="18"/>
      <c r="F47" s="18"/>
      <c r="G47" s="18"/>
      <c r="H47" s="18"/>
      <c r="I47" s="18"/>
      <c r="J47" s="18"/>
      <c r="K47" s="18"/>
      <c r="L47" s="34">
        <f t="shared" si="3"/>
        <v>0</v>
      </c>
      <c r="M47" s="23" t="s">
        <v>42</v>
      </c>
    </row>
    <row r="48" spans="2:13" ht="19.95" customHeight="1" x14ac:dyDescent="0.25">
      <c r="B48" s="22" t="s">
        <v>45</v>
      </c>
      <c r="C48" s="22" t="str">
        <f t="array" ref="C48">IFERROR((INDEX(Table7[Nama Projek],MATCH(Table24[[#This Row],[Column1]],Table7[Job '#],0))),"")</f>
        <v>Projek 18</v>
      </c>
      <c r="D48" s="19" t="s">
        <v>1</v>
      </c>
      <c r="E48" s="18"/>
      <c r="F48" s="18"/>
      <c r="G48" s="18"/>
      <c r="H48" s="18"/>
      <c r="I48" s="18"/>
      <c r="J48" s="18"/>
      <c r="K48" s="18"/>
      <c r="L48" s="34">
        <f t="shared" si="3"/>
        <v>0</v>
      </c>
      <c r="M48" s="23" t="s">
        <v>42</v>
      </c>
    </row>
    <row r="49" spans="1:14" ht="19.95" customHeight="1" x14ac:dyDescent="0.25">
      <c r="B49" s="22" t="s">
        <v>48</v>
      </c>
      <c r="C49" s="22" t="str">
        <f t="array" ref="C49">IFERROR((INDEX(Table7[Nama Projek],MATCH(Table24[[#This Row],[Column1]],Table7[Job '#],0))),"")</f>
        <v>Projek 19</v>
      </c>
      <c r="D49" s="19" t="s">
        <v>2</v>
      </c>
      <c r="E49" s="18"/>
      <c r="F49" s="18"/>
      <c r="G49" s="18"/>
      <c r="H49" s="18"/>
      <c r="I49" s="18"/>
      <c r="J49" s="18"/>
      <c r="K49" s="18"/>
      <c r="L49" s="34">
        <f t="shared" si="3"/>
        <v>0</v>
      </c>
      <c r="M49" s="23" t="s">
        <v>49</v>
      </c>
    </row>
    <row r="50" spans="1:14" ht="19.95" customHeight="1" x14ac:dyDescent="0.25">
      <c r="B50" s="22" t="s">
        <v>40</v>
      </c>
      <c r="C50" s="22" t="str">
        <f t="array" ref="C50">IFERROR((INDEX(Table7[Nama Projek],MATCH(Table24[[#This Row],[Column1]],Table7[Job '#],0))),"")</f>
        <v>Projek 20</v>
      </c>
      <c r="D50" s="19" t="s">
        <v>2</v>
      </c>
      <c r="E50" s="18"/>
      <c r="F50" s="18"/>
      <c r="G50" s="18"/>
      <c r="H50" s="18"/>
      <c r="I50" s="18"/>
      <c r="J50" s="18"/>
      <c r="K50" s="18"/>
      <c r="L50" s="34">
        <f t="shared" si="3"/>
        <v>0</v>
      </c>
      <c r="M50" s="23" t="s">
        <v>41</v>
      </c>
    </row>
    <row r="51" spans="1:14" ht="19.95" customHeight="1" x14ac:dyDescent="0.25">
      <c r="B51" s="22" t="s">
        <v>51</v>
      </c>
      <c r="C51" s="22" t="str">
        <f t="array" ref="C51">IFERROR((INDEX(Table7[Nama Projek],MATCH(Table24[[#This Row],[Column1]],Table7[Job '#],0))),"")</f>
        <v>Projek 21</v>
      </c>
      <c r="D51" s="19" t="s">
        <v>2</v>
      </c>
      <c r="E51" s="18"/>
      <c r="F51" s="18"/>
      <c r="G51" s="18"/>
      <c r="H51" s="18"/>
      <c r="I51" s="18"/>
      <c r="J51" s="18"/>
      <c r="K51" s="18"/>
      <c r="L51" s="34">
        <f t="shared" si="3"/>
        <v>0</v>
      </c>
      <c r="M51" s="23" t="s">
        <v>50</v>
      </c>
    </row>
    <row r="52" spans="1:14" ht="19.95" customHeight="1" x14ac:dyDescent="0.25">
      <c r="B52" s="22" t="s">
        <v>51</v>
      </c>
      <c r="C52" s="22" t="str">
        <f t="array" ref="C52">IFERROR((INDEX(Table7[Nama Projek],MATCH(Table24[[#This Row],[Column1]],Table7[Job '#],0))),"")</f>
        <v>Projek 21</v>
      </c>
      <c r="D52" s="19" t="s">
        <v>1</v>
      </c>
      <c r="E52" s="18"/>
      <c r="F52" s="18"/>
      <c r="G52" s="18"/>
      <c r="H52" s="18"/>
      <c r="I52" s="18"/>
      <c r="J52" s="18"/>
      <c r="K52" s="18"/>
      <c r="L52" s="34">
        <f t="shared" si="3"/>
        <v>0</v>
      </c>
      <c r="M52" s="23" t="s">
        <v>50</v>
      </c>
    </row>
    <row r="53" spans="1:14" ht="19.95" customHeight="1" x14ac:dyDescent="0.25">
      <c r="B53" s="22" t="s">
        <v>44</v>
      </c>
      <c r="C53" s="22" t="str">
        <f t="array" ref="C53">IFERROR((INDEX(Table7[Nama Projek],MATCH(Table24[[#This Row],[Column1]],Table7[Job '#],0))),"")</f>
        <v>Projek 22</v>
      </c>
      <c r="D53" s="19" t="s">
        <v>2</v>
      </c>
      <c r="E53" s="18"/>
      <c r="F53" s="18"/>
      <c r="G53" s="18"/>
      <c r="H53" s="18"/>
      <c r="I53" s="18"/>
      <c r="J53" s="18"/>
      <c r="K53" s="18"/>
      <c r="L53" s="34">
        <f t="shared" si="3"/>
        <v>0</v>
      </c>
      <c r="M53" s="23" t="s">
        <v>38</v>
      </c>
    </row>
    <row r="54" spans="1:14" ht="19.95" customHeight="1" x14ac:dyDescent="0.25">
      <c r="B54" s="22" t="s">
        <v>44</v>
      </c>
      <c r="C54" s="22" t="str">
        <f t="array" ref="C54">IFERROR((INDEX(Table7[Nama Projek],MATCH(Table24[[#This Row],[Column1]],Table7[Job '#],0))),"")</f>
        <v>Projek 22</v>
      </c>
      <c r="D54" s="19" t="s">
        <v>1</v>
      </c>
      <c r="E54" s="18"/>
      <c r="F54" s="18"/>
      <c r="G54" s="18"/>
      <c r="H54" s="18"/>
      <c r="I54" s="18"/>
      <c r="J54" s="18"/>
      <c r="K54" s="18"/>
      <c r="L54" s="34">
        <f t="shared" si="3"/>
        <v>0</v>
      </c>
      <c r="M54" s="23" t="s">
        <v>38</v>
      </c>
    </row>
    <row r="55" spans="1:14" ht="19.95" customHeight="1" x14ac:dyDescent="0.25">
      <c r="B55" s="22" t="s">
        <v>37</v>
      </c>
      <c r="C55" s="22" t="str">
        <f t="array" ref="C55">IFERROR((INDEX(Table7[Nama Projek],MATCH(Table24[[#This Row],[Column1]],Table7[Job '#],0))),"")</f>
        <v>Projek 23</v>
      </c>
      <c r="D55" s="19" t="s">
        <v>2</v>
      </c>
      <c r="E55" s="18"/>
      <c r="F55" s="18"/>
      <c r="G55" s="18"/>
      <c r="H55" s="18"/>
      <c r="I55" s="18"/>
      <c r="J55" s="18"/>
      <c r="K55" s="18"/>
      <c r="L55" s="34">
        <f t="shared" si="3"/>
        <v>0</v>
      </c>
      <c r="M55" s="23" t="s">
        <v>39</v>
      </c>
    </row>
    <row r="56" spans="1:14" ht="19.95" customHeight="1" x14ac:dyDescent="0.25">
      <c r="B56" s="22" t="s">
        <v>37</v>
      </c>
      <c r="C56" s="22" t="str">
        <f t="array" ref="C56">IFERROR((INDEX(Table7[Nama Projek],MATCH(Table24[[#This Row],[Column1]],Table7[Job '#],0))),"")</f>
        <v>Projek 23</v>
      </c>
      <c r="D56" s="19" t="s">
        <v>1</v>
      </c>
      <c r="E56" s="18"/>
      <c r="F56" s="18"/>
      <c r="G56" s="18"/>
      <c r="H56" s="18"/>
      <c r="I56" s="18"/>
      <c r="J56" s="18"/>
      <c r="K56" s="18"/>
      <c r="L56" s="34">
        <f t="shared" si="3"/>
        <v>0</v>
      </c>
      <c r="M56" s="23" t="s">
        <v>39</v>
      </c>
    </row>
    <row r="57" spans="1:14" ht="19.95" customHeight="1" x14ac:dyDescent="0.25">
      <c r="B57" s="22" t="s">
        <v>46</v>
      </c>
      <c r="C57" s="22" t="str">
        <f t="array" ref="C57">IFERROR((INDEX(Table7[Nama Projek],MATCH(Table24[[#This Row],[Column1]],Table7[Job '#],0))),"")</f>
        <v>Projek 24</v>
      </c>
      <c r="D57" s="19" t="s">
        <v>2</v>
      </c>
      <c r="E57" s="18"/>
      <c r="F57" s="18"/>
      <c r="G57" s="18"/>
      <c r="H57" s="18"/>
      <c r="I57" s="18"/>
      <c r="J57" s="18"/>
      <c r="K57" s="18"/>
      <c r="L57" s="34">
        <f t="shared" si="3"/>
        <v>0</v>
      </c>
      <c r="M57" s="23" t="s">
        <v>47</v>
      </c>
    </row>
    <row r="58" spans="1:14" ht="19.95" customHeight="1" x14ac:dyDescent="0.25">
      <c r="B58" s="22" t="s">
        <v>46</v>
      </c>
      <c r="C58" s="22" t="str">
        <f t="array" ref="C58">IFERROR((INDEX(Table7[Nama Projek],MATCH(Table24[[#This Row],[Column1]],Table7[Job '#],0))),"")</f>
        <v>Projek 24</v>
      </c>
      <c r="D58" s="19" t="s">
        <v>1</v>
      </c>
      <c r="E58" s="18">
        <v>2</v>
      </c>
      <c r="F58" s="18"/>
      <c r="G58" s="18"/>
      <c r="H58" s="18"/>
      <c r="I58" s="18"/>
      <c r="J58" s="18"/>
      <c r="K58" s="18"/>
      <c r="L58" s="34">
        <f t="shared" si="3"/>
        <v>2</v>
      </c>
      <c r="M58" s="23" t="s">
        <v>47</v>
      </c>
    </row>
    <row r="59" spans="1:14" ht="19.95" customHeight="1" x14ac:dyDescent="0.25">
      <c r="B59" s="22"/>
      <c r="C59" s="22" t="str">
        <f t="array" ref="C59">IFERROR((INDEX(Table7[Nama Projek],MATCH(Table24[[#This Row],[Column1]],Table7[Job '#],0))),"")</f>
        <v/>
      </c>
      <c r="D59" s="19" t="s">
        <v>58</v>
      </c>
      <c r="E59" s="18"/>
      <c r="F59" s="18"/>
      <c r="G59" s="18"/>
      <c r="H59" s="18"/>
      <c r="I59" s="18"/>
      <c r="J59" s="18"/>
      <c r="K59" s="18"/>
      <c r="L59" s="34">
        <f t="shared" si="3"/>
        <v>0</v>
      </c>
      <c r="M59" s="23"/>
    </row>
    <row r="60" spans="1:14" ht="19.95" customHeight="1" x14ac:dyDescent="0.25">
      <c r="B60" s="24"/>
      <c r="C60" s="22" t="str">
        <f t="array" ref="C60">IFERROR((INDEX(Table7[Nama Projek],MATCH(Table24[[#This Row],[Column1]],Table7[Job '#],0))),"")</f>
        <v/>
      </c>
      <c r="D60" s="25" t="s">
        <v>2</v>
      </c>
      <c r="E60" s="26"/>
      <c r="F60" s="26"/>
      <c r="G60" s="26"/>
      <c r="H60" s="26"/>
      <c r="I60" s="26"/>
      <c r="J60" s="26"/>
      <c r="K60" s="26"/>
      <c r="L60" s="35"/>
      <c r="M60" s="27"/>
    </row>
    <row r="61" spans="1:14" s="28" customFormat="1" ht="19.95" customHeight="1" x14ac:dyDescent="0.25">
      <c r="B61" s="29"/>
      <c r="C61" s="29"/>
      <c r="D61" s="30"/>
      <c r="E61" s="29"/>
      <c r="F61" s="29"/>
      <c r="G61" s="29"/>
      <c r="H61" s="29"/>
      <c r="I61" s="29"/>
      <c r="J61" s="29"/>
      <c r="K61" s="29"/>
      <c r="L61" s="31"/>
    </row>
    <row r="62" spans="1:14" ht="19.95" customHeight="1" thickBot="1" x14ac:dyDescent="0.3">
      <c r="B62" s="72" t="s">
        <v>54</v>
      </c>
      <c r="C62" s="72"/>
      <c r="D62" s="72"/>
      <c r="E62" s="20">
        <f t="shared" ref="E62:K62" si="4">SUM(E12:E60)</f>
        <v>31</v>
      </c>
      <c r="F62" s="20">
        <f t="shared" si="4"/>
        <v>32</v>
      </c>
      <c r="G62" s="20">
        <f t="shared" si="4"/>
        <v>51</v>
      </c>
      <c r="H62" s="20">
        <f t="shared" si="4"/>
        <v>0</v>
      </c>
      <c r="I62" s="20">
        <f t="shared" si="4"/>
        <v>0</v>
      </c>
      <c r="J62" s="20">
        <f t="shared" si="4"/>
        <v>0</v>
      </c>
      <c r="K62" s="20">
        <f t="shared" si="4"/>
        <v>0</v>
      </c>
    </row>
    <row r="63" spans="1:14" s="9" customFormat="1" ht="19.95" customHeight="1" thickTop="1" x14ac:dyDescent="0.25">
      <c r="A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</sheetData>
  <mergeCells count="10">
    <mergeCell ref="L9:L11"/>
    <mergeCell ref="M9:M11"/>
    <mergeCell ref="B62:D62"/>
    <mergeCell ref="B2:F2"/>
    <mergeCell ref="B3:E3"/>
    <mergeCell ref="F6:G6"/>
    <mergeCell ref="B9:B11"/>
    <mergeCell ref="D9:D11"/>
    <mergeCell ref="E9:K9"/>
    <mergeCell ref="C9:C11"/>
  </mergeCells>
  <printOptions horizontalCentered="1"/>
  <pageMargins left="0" right="0" top="0.25" bottom="0" header="0.5" footer="0.5"/>
  <pageSetup scale="75" orientation="landscape" r:id="rId1"/>
  <headerFooter alignWithMargins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'(Drop Down) Data Base '!$D$5:$D$29</xm:f>
          </x14:formula1>
          <xm:sqref>D12:D60</xm:sqref>
        </x14:dataValidation>
        <x14:dataValidation type="list" allowBlank="1" showInputMessage="1" showErrorMessage="1" xr:uid="{00000000-0002-0000-0300-000001000000}">
          <x14:formula1>
            <xm:f>'(Drop Down) Data Base '!$B$5:$B$50</xm:f>
          </x14:formula1>
          <xm:sqref>B12:B60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3"/>
  <sheetViews>
    <sheetView showGridLines="0" showRowColHeaders="0" zoomScaleNormal="100" workbookViewId="0">
      <pane xSplit="4" ySplit="11" topLeftCell="E14" activePane="bottomRight" state="frozen"/>
      <selection activeCell="C7" sqref="C7"/>
      <selection pane="topRight" activeCell="C7" sqref="C7"/>
      <selection pane="bottomLeft" activeCell="C7" sqref="C7"/>
      <selection pane="bottomRight" activeCell="B2" sqref="B2:G7"/>
    </sheetView>
  </sheetViews>
  <sheetFormatPr defaultRowHeight="19.95" customHeight="1" x14ac:dyDescent="0.25"/>
  <cols>
    <col min="1" max="1" width="1.109375" style="4" customWidth="1"/>
    <col min="2" max="3" width="14.88671875" style="9" customWidth="1"/>
    <col min="4" max="4" width="16.5546875" style="4" customWidth="1"/>
    <col min="5" max="11" width="12.21875" style="4" customWidth="1"/>
    <col min="12" max="12" width="11.44140625" style="4" customWidth="1"/>
    <col min="13" max="13" width="52" style="4" bestFit="1" customWidth="1"/>
    <col min="14" max="14" width="1.109375" style="4" customWidth="1"/>
    <col min="15" max="15" width="6.109375" style="4" customWidth="1"/>
    <col min="16" max="16384" width="8.88671875" style="4"/>
  </cols>
  <sheetData>
    <row r="1" spans="2:14" ht="13.2" x14ac:dyDescent="0.25"/>
    <row r="2" spans="2:14" ht="31.8" x14ac:dyDescent="0.25">
      <c r="B2" s="73" t="s">
        <v>60</v>
      </c>
      <c r="C2" s="73"/>
      <c r="D2" s="73"/>
      <c r="E2" s="73"/>
      <c r="F2" s="73"/>
    </row>
    <row r="3" spans="2:14" ht="21" customHeight="1" x14ac:dyDescent="0.35">
      <c r="B3" s="74" t="s">
        <v>101</v>
      </c>
      <c r="C3" s="74"/>
      <c r="D3" s="74"/>
      <c r="E3" s="74"/>
      <c r="F3" s="13"/>
      <c r="G3" s="3"/>
      <c r="H3" s="3"/>
      <c r="I3" s="3"/>
      <c r="J3" s="3"/>
      <c r="K3" s="3"/>
      <c r="L3" s="3"/>
      <c r="M3" s="3"/>
    </row>
    <row r="4" spans="2:14" ht="13.2" x14ac:dyDescent="0.25">
      <c r="E4" s="14"/>
      <c r="F4" s="14"/>
    </row>
    <row r="5" spans="2:14" ht="9" customHeight="1" x14ac:dyDescent="0.25">
      <c r="B5" s="5"/>
      <c r="C5" s="5"/>
    </row>
    <row r="6" spans="2:14" ht="21" customHeight="1" x14ac:dyDescent="0.25">
      <c r="B6" s="16" t="s">
        <v>96</v>
      </c>
      <c r="C6" s="33" t="s">
        <v>59</v>
      </c>
      <c r="E6" s="6"/>
      <c r="F6" s="75"/>
      <c r="G6" s="75"/>
      <c r="H6" s="6"/>
      <c r="I6" s="11"/>
      <c r="J6" s="7"/>
      <c r="K6" s="7"/>
      <c r="L6" s="11"/>
    </row>
    <row r="7" spans="2:14" ht="21" customHeight="1" x14ac:dyDescent="0.3">
      <c r="B7" s="15" t="s">
        <v>102</v>
      </c>
      <c r="C7" s="32">
        <f>IFERROR((IF(MONTH('1st week'!K10)=MONTH('1st week'!K10+1),('1st week'!K10+1),"")),"")</f>
        <v>44750</v>
      </c>
      <c r="E7" s="6"/>
      <c r="F7" s="10"/>
      <c r="G7" s="10"/>
      <c r="H7" s="6"/>
      <c r="I7" s="11"/>
      <c r="J7" s="7"/>
      <c r="K7" s="7"/>
      <c r="L7" s="11"/>
    </row>
    <row r="8" spans="2:14" ht="15.6" x14ac:dyDescent="0.25">
      <c r="B8" s="12"/>
      <c r="C8" s="12"/>
    </row>
    <row r="9" spans="2:14" ht="24" customHeight="1" x14ac:dyDescent="0.25">
      <c r="B9" s="71" t="s">
        <v>0</v>
      </c>
      <c r="C9" s="76" t="s">
        <v>70</v>
      </c>
      <c r="D9" s="71" t="s">
        <v>71</v>
      </c>
      <c r="E9" s="71" t="s">
        <v>98</v>
      </c>
      <c r="F9" s="71"/>
      <c r="G9" s="71"/>
      <c r="H9" s="71"/>
      <c r="I9" s="71"/>
      <c r="J9" s="71"/>
      <c r="K9" s="71"/>
      <c r="L9" s="71" t="s">
        <v>99</v>
      </c>
      <c r="M9" s="71" t="s">
        <v>100</v>
      </c>
    </row>
    <row r="10" spans="2:14" ht="24" customHeight="1" x14ac:dyDescent="0.25">
      <c r="B10" s="71"/>
      <c r="C10" s="77"/>
      <c r="D10" s="71"/>
      <c r="E10" s="21">
        <f>C7</f>
        <v>44750</v>
      </c>
      <c r="F10" s="21">
        <f>IFERROR((IF(MONTH(E10)=MONTH(E10+1),E10+1," ")),"")</f>
        <v>44751</v>
      </c>
      <c r="G10" s="21">
        <f t="shared" ref="G10:K10" si="0">IFERROR((IF(MONTH(F10)=MONTH(F10+1),F10+1," ")),"")</f>
        <v>44752</v>
      </c>
      <c r="H10" s="21">
        <f t="shared" si="0"/>
        <v>44753</v>
      </c>
      <c r="I10" s="21">
        <f t="shared" si="0"/>
        <v>44754</v>
      </c>
      <c r="J10" s="21">
        <f t="shared" si="0"/>
        <v>44755</v>
      </c>
      <c r="K10" s="21">
        <f t="shared" si="0"/>
        <v>44756</v>
      </c>
      <c r="L10" s="71"/>
      <c r="M10" s="71"/>
    </row>
    <row r="11" spans="2:14" ht="24" customHeight="1" x14ac:dyDescent="0.25">
      <c r="B11" s="71"/>
      <c r="C11" s="78"/>
      <c r="D11" s="71"/>
      <c r="E11" s="17" t="str">
        <f>TEXT(E10,"DDDD")</f>
        <v>Friday</v>
      </c>
      <c r="F11" s="17" t="str">
        <f t="shared" ref="F11:K11" si="1">TEXT(F10,"DDDD")</f>
        <v>Saturday</v>
      </c>
      <c r="G11" s="17" t="str">
        <f t="shared" si="1"/>
        <v>Sunday</v>
      </c>
      <c r="H11" s="17" t="str">
        <f t="shared" si="1"/>
        <v>Monday</v>
      </c>
      <c r="I11" s="17" t="str">
        <f t="shared" si="1"/>
        <v>Tuesday</v>
      </c>
      <c r="J11" s="17" t="str">
        <f t="shared" si="1"/>
        <v>Wednesday</v>
      </c>
      <c r="K11" s="17" t="str">
        <f t="shared" si="1"/>
        <v>Thursday</v>
      </c>
      <c r="L11" s="71"/>
      <c r="M11" s="71"/>
      <c r="N11" s="8"/>
    </row>
    <row r="12" spans="2:14" ht="19.95" customHeight="1" x14ac:dyDescent="0.25">
      <c r="B12" s="22" t="s">
        <v>29</v>
      </c>
      <c r="C12" s="22" t="str">
        <f t="array" ref="C12">IFERROR((INDEX(Table7[Nama Projek],MATCH(Table245[[#This Row],[Column1]],Table7[Job '#],0))),"")</f>
        <v>Projek 1</v>
      </c>
      <c r="D12" s="19" t="s">
        <v>2</v>
      </c>
      <c r="E12" s="18">
        <v>5</v>
      </c>
      <c r="F12" s="18">
        <v>10</v>
      </c>
      <c r="G12" s="18">
        <v>11</v>
      </c>
      <c r="H12" s="18">
        <v>0</v>
      </c>
      <c r="I12" s="18"/>
      <c r="J12" s="18"/>
      <c r="K12" s="18"/>
      <c r="L12" s="34">
        <f>SUM(E12:K12)</f>
        <v>26</v>
      </c>
      <c r="M12" s="23" t="s">
        <v>32</v>
      </c>
    </row>
    <row r="13" spans="2:14" ht="19.95" customHeight="1" x14ac:dyDescent="0.25">
      <c r="B13" s="22" t="s">
        <v>29</v>
      </c>
      <c r="C13" s="22" t="str">
        <f t="array" ref="C13">IFERROR((INDEX(Table7[Nama Projek],MATCH(Table245[[#This Row],[Column1]],Table7[Job '#],0))),"")</f>
        <v>Projek 1</v>
      </c>
      <c r="D13" s="19" t="s">
        <v>1</v>
      </c>
      <c r="E13" s="18"/>
      <c r="F13" s="18"/>
      <c r="G13" s="18"/>
      <c r="H13" s="18"/>
      <c r="I13" s="18"/>
      <c r="J13" s="18"/>
      <c r="K13" s="18"/>
      <c r="L13" s="34">
        <f t="shared" ref="L13:L42" si="2">SUM(E13:K13)</f>
        <v>0</v>
      </c>
      <c r="M13" s="23" t="s">
        <v>32</v>
      </c>
    </row>
    <row r="14" spans="2:14" ht="19.95" customHeight="1" x14ac:dyDescent="0.25">
      <c r="B14" s="22" t="s">
        <v>8</v>
      </c>
      <c r="C14" s="22" t="str">
        <f t="array" ref="C14">IFERROR((INDEX(Table7[Nama Projek],MATCH(Table245[[#This Row],[Column1]],Table7[Job '#],0))),"")</f>
        <v>Projek 6</v>
      </c>
      <c r="D14" s="19" t="s">
        <v>1</v>
      </c>
      <c r="E14" s="18"/>
      <c r="F14" s="18">
        <v>100</v>
      </c>
      <c r="G14" s="18"/>
      <c r="H14" s="18"/>
      <c r="I14" s="18"/>
      <c r="J14" s="18"/>
      <c r="K14" s="18"/>
      <c r="L14" s="34">
        <f t="shared" si="2"/>
        <v>100</v>
      </c>
      <c r="M14" s="23" t="s">
        <v>11</v>
      </c>
    </row>
    <row r="15" spans="2:14" ht="19.95" customHeight="1" x14ac:dyDescent="0.25">
      <c r="B15" s="22" t="s">
        <v>10</v>
      </c>
      <c r="C15" s="22" t="str">
        <f t="array" ref="C15">IFERROR((INDEX(Table7[Nama Projek],MATCH(Table245[[#This Row],[Column1]],Table7[Job '#],0))),"")</f>
        <v>Projek 2</v>
      </c>
      <c r="D15" s="19" t="s">
        <v>1</v>
      </c>
      <c r="E15" s="18"/>
      <c r="F15" s="18"/>
      <c r="G15" s="18"/>
      <c r="H15" s="18"/>
      <c r="I15" s="18"/>
      <c r="J15" s="18"/>
      <c r="K15" s="18"/>
      <c r="L15" s="34">
        <f t="shared" si="2"/>
        <v>0</v>
      </c>
      <c r="M15" s="23" t="s">
        <v>11</v>
      </c>
    </row>
    <row r="16" spans="2:14" ht="19.95" customHeight="1" x14ac:dyDescent="0.25">
      <c r="B16" s="22" t="s">
        <v>27</v>
      </c>
      <c r="C16" s="22" t="str">
        <f t="array" ref="C16">IFERROR((INDEX(Table7[Nama Projek],MATCH(Table245[[#This Row],[Column1]],Table7[Job '#],0))),"")</f>
        <v>Projek 3</v>
      </c>
      <c r="D16" s="19" t="s">
        <v>1</v>
      </c>
      <c r="E16" s="18"/>
      <c r="F16" s="18"/>
      <c r="G16" s="18"/>
      <c r="H16" s="18"/>
      <c r="I16" s="18"/>
      <c r="J16" s="18"/>
      <c r="K16" s="18"/>
      <c r="L16" s="34">
        <f t="shared" si="2"/>
        <v>0</v>
      </c>
      <c r="M16" s="23" t="s">
        <v>28</v>
      </c>
    </row>
    <row r="17" spans="2:13" ht="19.95" customHeight="1" x14ac:dyDescent="0.25">
      <c r="B17" s="22" t="s">
        <v>27</v>
      </c>
      <c r="C17" s="22" t="str">
        <f t="array" ref="C17">IFERROR((INDEX(Table7[Nama Projek],MATCH(Table245[[#This Row],[Column1]],Table7[Job '#],0))),"")</f>
        <v>Projek 3</v>
      </c>
      <c r="D17" s="19" t="s">
        <v>2</v>
      </c>
      <c r="E17" s="18"/>
      <c r="F17" s="18"/>
      <c r="G17" s="18"/>
      <c r="H17" s="18"/>
      <c r="I17" s="18"/>
      <c r="J17" s="18"/>
      <c r="K17" s="18"/>
      <c r="L17" s="34">
        <f t="shared" si="2"/>
        <v>0</v>
      </c>
      <c r="M17" s="23" t="s">
        <v>28</v>
      </c>
    </row>
    <row r="18" spans="2:13" ht="19.95" customHeight="1" x14ac:dyDescent="0.25">
      <c r="B18" s="22" t="s">
        <v>12</v>
      </c>
      <c r="C18" s="22" t="str">
        <f t="array" ref="C18">IFERROR((INDEX(Table7[Nama Projek],MATCH(Table245[[#This Row],[Column1]],Table7[Job '#],0))),"")</f>
        <v>Projek 4</v>
      </c>
      <c r="D18" s="19" t="s">
        <v>1</v>
      </c>
      <c r="E18" s="18"/>
      <c r="F18" s="18"/>
      <c r="G18" s="18"/>
      <c r="H18" s="18"/>
      <c r="I18" s="18"/>
      <c r="J18" s="18"/>
      <c r="K18" s="18"/>
      <c r="L18" s="34">
        <f t="shared" si="2"/>
        <v>0</v>
      </c>
      <c r="M18" s="23" t="s">
        <v>15</v>
      </c>
    </row>
    <row r="19" spans="2:13" ht="19.95" customHeight="1" x14ac:dyDescent="0.25">
      <c r="B19" s="22" t="s">
        <v>12</v>
      </c>
      <c r="C19" s="22" t="str">
        <f t="array" ref="C19">IFERROR((INDEX(Table7[Nama Projek],MATCH(Table245[[#This Row],[Column1]],Table7[Job '#],0))),"")</f>
        <v>Projek 4</v>
      </c>
      <c r="D19" s="19" t="s">
        <v>2</v>
      </c>
      <c r="E19" s="18"/>
      <c r="F19" s="18"/>
      <c r="G19" s="18"/>
      <c r="H19" s="18"/>
      <c r="I19" s="18"/>
      <c r="J19" s="18"/>
      <c r="K19" s="18"/>
      <c r="L19" s="34">
        <f t="shared" si="2"/>
        <v>0</v>
      </c>
      <c r="M19" s="23" t="s">
        <v>15</v>
      </c>
    </row>
    <row r="20" spans="2:13" ht="19.95" customHeight="1" x14ac:dyDescent="0.25">
      <c r="B20" s="22" t="s">
        <v>16</v>
      </c>
      <c r="C20" s="22" t="str">
        <f t="array" ref="C20">IFERROR((INDEX(Table7[Nama Projek],MATCH(Table245[[#This Row],[Column1]],Table7[Job '#],0))),"")</f>
        <v>Projek 5</v>
      </c>
      <c r="D20" s="19" t="s">
        <v>1</v>
      </c>
      <c r="E20" s="18"/>
      <c r="F20" s="18"/>
      <c r="G20" s="18"/>
      <c r="H20" s="18"/>
      <c r="I20" s="18"/>
      <c r="J20" s="18"/>
      <c r="K20" s="18"/>
      <c r="L20" s="34">
        <f t="shared" si="2"/>
        <v>0</v>
      </c>
      <c r="M20" s="23" t="s">
        <v>17</v>
      </c>
    </row>
    <row r="21" spans="2:13" ht="19.95" customHeight="1" x14ac:dyDescent="0.25">
      <c r="B21" s="22" t="s">
        <v>16</v>
      </c>
      <c r="C21" s="22" t="str">
        <f t="array" ref="C21">IFERROR((INDEX(Table7[Nama Projek],MATCH(Table245[[#This Row],[Column1]],Table7[Job '#],0))),"")</f>
        <v>Projek 5</v>
      </c>
      <c r="D21" s="19" t="s">
        <v>2</v>
      </c>
      <c r="E21" s="18"/>
      <c r="F21" s="18"/>
      <c r="G21" s="18"/>
      <c r="H21" s="18"/>
      <c r="I21" s="18"/>
      <c r="J21" s="18"/>
      <c r="K21" s="18"/>
      <c r="L21" s="34">
        <f t="shared" si="2"/>
        <v>0</v>
      </c>
      <c r="M21" s="23" t="s">
        <v>17</v>
      </c>
    </row>
    <row r="22" spans="2:13" ht="19.95" customHeight="1" x14ac:dyDescent="0.25">
      <c r="B22" s="22" t="s">
        <v>8</v>
      </c>
      <c r="C22" s="22" t="str">
        <f t="array" ref="C22">IFERROR((INDEX(Table7[Nama Projek],MATCH(Table245[[#This Row],[Column1]],Table7[Job '#],0))),"")</f>
        <v>Projek 6</v>
      </c>
      <c r="D22" s="19" t="s">
        <v>2</v>
      </c>
      <c r="E22" s="18"/>
      <c r="F22" s="18"/>
      <c r="G22" s="18"/>
      <c r="H22" s="18"/>
      <c r="I22" s="18"/>
      <c r="J22" s="18"/>
      <c r="K22" s="18"/>
      <c r="L22" s="34">
        <f t="shared" si="2"/>
        <v>0</v>
      </c>
      <c r="M22" s="23" t="s">
        <v>20</v>
      </c>
    </row>
    <row r="23" spans="2:13" ht="19.95" customHeight="1" x14ac:dyDescent="0.25">
      <c r="B23" s="22" t="s">
        <v>8</v>
      </c>
      <c r="C23" s="22" t="str">
        <f t="array" ref="C23">IFERROR((INDEX(Table7[Nama Projek],MATCH(Table245[[#This Row],[Column1]],Table7[Job '#],0))),"")</f>
        <v>Projek 6</v>
      </c>
      <c r="D23" s="19" t="s">
        <v>1</v>
      </c>
      <c r="E23" s="18"/>
      <c r="F23" s="18"/>
      <c r="G23" s="18"/>
      <c r="H23" s="18"/>
      <c r="I23" s="18"/>
      <c r="J23" s="18"/>
      <c r="K23" s="18"/>
      <c r="L23" s="34">
        <f t="shared" si="2"/>
        <v>0</v>
      </c>
      <c r="M23" s="23" t="s">
        <v>20</v>
      </c>
    </row>
    <row r="24" spans="2:13" ht="19.95" customHeight="1" x14ac:dyDescent="0.25">
      <c r="B24" s="22" t="s">
        <v>8</v>
      </c>
      <c r="C24" s="22" t="str">
        <f t="array" ref="C24">IFERROR((INDEX(Table7[Nama Projek],MATCH(Table245[[#This Row],[Column1]],Table7[Job '#],0))),"")</f>
        <v>Projek 6</v>
      </c>
      <c r="D24" s="19" t="s">
        <v>2</v>
      </c>
      <c r="E24" s="18"/>
      <c r="F24" s="18"/>
      <c r="G24" s="18"/>
      <c r="H24" s="18"/>
      <c r="I24" s="18"/>
      <c r="J24" s="18"/>
      <c r="K24" s="18"/>
      <c r="L24" s="34">
        <f t="shared" si="2"/>
        <v>0</v>
      </c>
      <c r="M24" s="23" t="s">
        <v>21</v>
      </c>
    </row>
    <row r="25" spans="2:13" ht="19.95" customHeight="1" x14ac:dyDescent="0.25">
      <c r="B25" s="22" t="s">
        <v>8</v>
      </c>
      <c r="C25" s="22" t="str">
        <f t="array" ref="C25">IFERROR((INDEX(Table7[Nama Projek],MATCH(Table245[[#This Row],[Column1]],Table7[Job '#],0))),"")</f>
        <v>Projek 6</v>
      </c>
      <c r="D25" s="19" t="s">
        <v>1</v>
      </c>
      <c r="E25" s="18"/>
      <c r="F25" s="18"/>
      <c r="G25" s="18"/>
      <c r="H25" s="18"/>
      <c r="I25" s="18"/>
      <c r="J25" s="18"/>
      <c r="K25" s="18"/>
      <c r="L25" s="34">
        <f t="shared" si="2"/>
        <v>0</v>
      </c>
      <c r="M25" s="23" t="s">
        <v>21</v>
      </c>
    </row>
    <row r="26" spans="2:13" ht="19.95" customHeight="1" x14ac:dyDescent="0.25">
      <c r="B26" s="22" t="s">
        <v>3</v>
      </c>
      <c r="C26" s="22" t="str">
        <f t="array" ref="C26">IFERROR((INDEX(Table7[Nama Projek],MATCH(Table245[[#This Row],[Column1]],Table7[Job '#],0))),"")</f>
        <v>Projek 7</v>
      </c>
      <c r="D26" s="19" t="s">
        <v>2</v>
      </c>
      <c r="E26" s="18"/>
      <c r="F26" s="18"/>
      <c r="G26" s="18"/>
      <c r="H26" s="18"/>
      <c r="I26" s="18"/>
      <c r="J26" s="18"/>
      <c r="K26" s="18"/>
      <c r="L26" s="34">
        <f t="shared" si="2"/>
        <v>0</v>
      </c>
      <c r="M26" s="23" t="s">
        <v>4</v>
      </c>
    </row>
    <row r="27" spans="2:13" ht="19.95" customHeight="1" x14ac:dyDescent="0.25">
      <c r="B27" s="22" t="s">
        <v>3</v>
      </c>
      <c r="C27" s="22" t="str">
        <f t="array" ref="C27">IFERROR((INDEX(Table7[Nama Projek],MATCH(Table245[[#This Row],[Column1]],Table7[Job '#],0))),"")</f>
        <v>Projek 7</v>
      </c>
      <c r="D27" s="19" t="s">
        <v>1</v>
      </c>
      <c r="E27" s="18"/>
      <c r="F27" s="18"/>
      <c r="G27" s="18"/>
      <c r="H27" s="18"/>
      <c r="I27" s="18"/>
      <c r="J27" s="18"/>
      <c r="K27" s="18"/>
      <c r="L27" s="34">
        <f t="shared" si="2"/>
        <v>0</v>
      </c>
      <c r="M27" s="23" t="s">
        <v>4</v>
      </c>
    </row>
    <row r="28" spans="2:13" ht="19.95" customHeight="1" x14ac:dyDescent="0.25">
      <c r="B28" s="22" t="s">
        <v>6</v>
      </c>
      <c r="C28" s="22" t="str">
        <f t="array" ref="C28">IFERROR((INDEX(Table7[Nama Projek],MATCH(Table245[[#This Row],[Column1]],Table7[Job '#],0))),"")</f>
        <v>Projek 8</v>
      </c>
      <c r="D28" s="19" t="s">
        <v>2</v>
      </c>
      <c r="E28" s="18"/>
      <c r="F28" s="18"/>
      <c r="G28" s="18"/>
      <c r="H28" s="18"/>
      <c r="I28" s="18"/>
      <c r="J28" s="18"/>
      <c r="K28" s="18"/>
      <c r="L28" s="34">
        <f t="shared" si="2"/>
        <v>0</v>
      </c>
      <c r="M28" s="23" t="s">
        <v>7</v>
      </c>
    </row>
    <row r="29" spans="2:13" ht="19.95" customHeight="1" x14ac:dyDescent="0.25">
      <c r="B29" s="22" t="s">
        <v>6</v>
      </c>
      <c r="C29" s="22" t="str">
        <f t="array" ref="C29">IFERROR((INDEX(Table7[Nama Projek],MATCH(Table245[[#This Row],[Column1]],Table7[Job '#],0))),"")</f>
        <v>Projek 8</v>
      </c>
      <c r="D29" s="19" t="s">
        <v>1</v>
      </c>
      <c r="E29" s="18"/>
      <c r="F29" s="18"/>
      <c r="G29" s="18"/>
      <c r="H29" s="18"/>
      <c r="I29" s="18"/>
      <c r="J29" s="18"/>
      <c r="K29" s="18"/>
      <c r="L29" s="34">
        <f t="shared" si="2"/>
        <v>0</v>
      </c>
      <c r="M29" s="23" t="s">
        <v>7</v>
      </c>
    </row>
    <row r="30" spans="2:13" ht="19.95" customHeight="1" x14ac:dyDescent="0.25">
      <c r="B30" s="22" t="s">
        <v>5</v>
      </c>
      <c r="C30" s="22" t="str">
        <f t="array" ref="C30">IFERROR((INDEX(Table7[Nama Projek],MATCH(Table245[[#This Row],[Column1]],Table7[Job '#],0))),"")</f>
        <v>Projek 9</v>
      </c>
      <c r="D30" s="19" t="s">
        <v>2</v>
      </c>
      <c r="E30" s="18"/>
      <c r="F30" s="18"/>
      <c r="G30" s="18"/>
      <c r="H30" s="18"/>
      <c r="I30" s="18"/>
      <c r="J30" s="18"/>
      <c r="K30" s="18"/>
      <c r="L30" s="34">
        <f t="shared" si="2"/>
        <v>0</v>
      </c>
      <c r="M30" s="23" t="s">
        <v>14</v>
      </c>
    </row>
    <row r="31" spans="2:13" ht="19.95" customHeight="1" x14ac:dyDescent="0.25">
      <c r="B31" s="22" t="s">
        <v>5</v>
      </c>
      <c r="C31" s="22" t="str">
        <f t="array" ref="C31">IFERROR((INDEX(Table7[Nama Projek],MATCH(Table245[[#This Row],[Column1]],Table7[Job '#],0))),"")</f>
        <v>Projek 9</v>
      </c>
      <c r="D31" s="19" t="s">
        <v>1</v>
      </c>
      <c r="E31" s="18"/>
      <c r="F31" s="18"/>
      <c r="G31" s="18"/>
      <c r="H31" s="18"/>
      <c r="I31" s="18"/>
      <c r="J31" s="18"/>
      <c r="K31" s="18"/>
      <c r="L31" s="34">
        <f t="shared" si="2"/>
        <v>0</v>
      </c>
      <c r="M31" s="23" t="s">
        <v>14</v>
      </c>
    </row>
    <row r="32" spans="2:13" ht="19.95" customHeight="1" x14ac:dyDescent="0.25">
      <c r="B32" s="22" t="s">
        <v>5</v>
      </c>
      <c r="C32" s="22" t="str">
        <f t="array" ref="C32">IFERROR((INDEX(Table7[Nama Projek],MATCH(Table245[[#This Row],[Column1]],Table7[Job '#],0))),"")</f>
        <v>Projek 9</v>
      </c>
      <c r="D32" s="19" t="s">
        <v>2</v>
      </c>
      <c r="E32" s="18"/>
      <c r="F32" s="18"/>
      <c r="G32" s="18"/>
      <c r="H32" s="18"/>
      <c r="I32" s="18"/>
      <c r="J32" s="18"/>
      <c r="K32" s="18"/>
      <c r="L32" s="34">
        <f t="shared" si="2"/>
        <v>0</v>
      </c>
      <c r="M32" s="23" t="s">
        <v>9</v>
      </c>
    </row>
    <row r="33" spans="2:13" ht="19.95" customHeight="1" x14ac:dyDescent="0.25">
      <c r="B33" s="22" t="s">
        <v>35</v>
      </c>
      <c r="C33" s="22" t="str">
        <f t="array" ref="C33">IFERROR((INDEX(Table7[Nama Projek],MATCH(Table245[[#This Row],[Column1]],Table7[Job '#],0))),"")</f>
        <v>Projek 10</v>
      </c>
      <c r="D33" s="19" t="s">
        <v>2</v>
      </c>
      <c r="E33" s="18"/>
      <c r="F33" s="18"/>
      <c r="G33" s="18"/>
      <c r="H33" s="18"/>
      <c r="I33" s="18"/>
      <c r="J33" s="18"/>
      <c r="K33" s="18"/>
      <c r="L33" s="34">
        <f t="shared" si="2"/>
        <v>0</v>
      </c>
      <c r="M33" s="23" t="s">
        <v>36</v>
      </c>
    </row>
    <row r="34" spans="2:13" ht="19.95" customHeight="1" x14ac:dyDescent="0.25">
      <c r="B34" s="22" t="s">
        <v>35</v>
      </c>
      <c r="C34" s="22" t="str">
        <f t="array" ref="C34">IFERROR((INDEX(Table7[Nama Projek],MATCH(Table245[[#This Row],[Column1]],Table7[Job '#],0))),"")</f>
        <v>Projek 10</v>
      </c>
      <c r="D34" s="19" t="s">
        <v>1</v>
      </c>
      <c r="E34" s="18"/>
      <c r="F34" s="18"/>
      <c r="G34" s="18"/>
      <c r="H34" s="18"/>
      <c r="I34" s="18"/>
      <c r="J34" s="18"/>
      <c r="K34" s="18"/>
      <c r="L34" s="34">
        <f t="shared" si="2"/>
        <v>0</v>
      </c>
      <c r="M34" s="23" t="s">
        <v>36</v>
      </c>
    </row>
    <row r="35" spans="2:13" ht="19.95" customHeight="1" x14ac:dyDescent="0.25">
      <c r="B35" s="22" t="s">
        <v>52</v>
      </c>
      <c r="C35" s="22" t="str">
        <f t="array" ref="C35">IFERROR((INDEX(Table7[Nama Projek],MATCH(Table245[[#This Row],[Column1]],Table7[Job '#],0))),"")</f>
        <v>Projek 11</v>
      </c>
      <c r="D35" s="19" t="s">
        <v>2</v>
      </c>
      <c r="E35" s="18"/>
      <c r="F35" s="18"/>
      <c r="G35" s="18"/>
      <c r="H35" s="18"/>
      <c r="I35" s="18"/>
      <c r="J35" s="18"/>
      <c r="K35" s="18"/>
      <c r="L35" s="34">
        <f t="shared" si="2"/>
        <v>0</v>
      </c>
      <c r="M35" s="23" t="s">
        <v>53</v>
      </c>
    </row>
    <row r="36" spans="2:13" ht="19.95" customHeight="1" x14ac:dyDescent="0.25">
      <c r="B36" s="22" t="s">
        <v>52</v>
      </c>
      <c r="C36" s="22" t="str">
        <f t="array" ref="C36">IFERROR((INDEX(Table7[Nama Projek],MATCH(Table245[[#This Row],[Column1]],Table7[Job '#],0))),"")</f>
        <v>Projek 11</v>
      </c>
      <c r="D36" s="19" t="s">
        <v>1</v>
      </c>
      <c r="E36" s="18">
        <v>4</v>
      </c>
      <c r="F36" s="18"/>
      <c r="G36" s="18"/>
      <c r="H36" s="18"/>
      <c r="I36" s="18"/>
      <c r="J36" s="18"/>
      <c r="K36" s="18"/>
      <c r="L36" s="34">
        <f t="shared" si="2"/>
        <v>4</v>
      </c>
      <c r="M36" s="23" t="s">
        <v>53</v>
      </c>
    </row>
    <row r="37" spans="2:13" ht="19.95" customHeight="1" x14ac:dyDescent="0.25">
      <c r="B37" s="22" t="s">
        <v>43</v>
      </c>
      <c r="C37" s="22" t="str">
        <f t="array" ref="C37">IFERROR((INDEX(Table7[Nama Projek],MATCH(Table245[[#This Row],[Column1]],Table7[Job '#],0))),"")</f>
        <v>Projek 12</v>
      </c>
      <c r="D37" s="19" t="s">
        <v>2</v>
      </c>
      <c r="E37" s="18"/>
      <c r="F37" s="18"/>
      <c r="G37" s="18"/>
      <c r="H37" s="18"/>
      <c r="I37" s="18"/>
      <c r="J37" s="18"/>
      <c r="K37" s="18"/>
      <c r="L37" s="34">
        <f t="shared" si="2"/>
        <v>0</v>
      </c>
      <c r="M37" s="23" t="s">
        <v>13</v>
      </c>
    </row>
    <row r="38" spans="2:13" ht="19.95" customHeight="1" x14ac:dyDescent="0.25">
      <c r="B38" s="22" t="s">
        <v>43</v>
      </c>
      <c r="C38" s="22" t="str">
        <f t="array" ref="C38">IFERROR((INDEX(Table7[Nama Projek],MATCH(Table245[[#This Row],[Column1]],Table7[Job '#],0))),"")</f>
        <v>Projek 12</v>
      </c>
      <c r="D38" s="19" t="s">
        <v>1</v>
      </c>
      <c r="E38" s="18"/>
      <c r="F38" s="18"/>
      <c r="G38" s="18"/>
      <c r="H38" s="18"/>
      <c r="I38" s="18"/>
      <c r="J38" s="18"/>
      <c r="K38" s="18"/>
      <c r="L38" s="34">
        <f t="shared" si="2"/>
        <v>0</v>
      </c>
      <c r="M38" s="23" t="s">
        <v>13</v>
      </c>
    </row>
    <row r="39" spans="2:13" ht="19.95" customHeight="1" x14ac:dyDescent="0.25">
      <c r="B39" s="22" t="s">
        <v>33</v>
      </c>
      <c r="C39" s="22" t="str">
        <f t="array" ref="C39">IFERROR((INDEX(Table7[Nama Projek],MATCH(Table245[[#This Row],[Column1]],Table7[Job '#],0))),"")</f>
        <v>Projek 13</v>
      </c>
      <c r="D39" s="19" t="s">
        <v>2</v>
      </c>
      <c r="E39" s="18"/>
      <c r="F39" s="18"/>
      <c r="G39" s="18"/>
      <c r="H39" s="18"/>
      <c r="I39" s="18"/>
      <c r="J39" s="18"/>
      <c r="K39" s="18"/>
      <c r="L39" s="34">
        <f t="shared" si="2"/>
        <v>0</v>
      </c>
      <c r="M39" s="23" t="s">
        <v>34</v>
      </c>
    </row>
    <row r="40" spans="2:13" ht="19.95" customHeight="1" x14ac:dyDescent="0.25">
      <c r="B40" s="22" t="s">
        <v>33</v>
      </c>
      <c r="C40" s="22" t="str">
        <f t="array" ref="C40">IFERROR((INDEX(Table7[Nama Projek],MATCH(Table245[[#This Row],[Column1]],Table7[Job '#],0))),"")</f>
        <v>Projek 13</v>
      </c>
      <c r="D40" s="19" t="s">
        <v>1</v>
      </c>
      <c r="E40" s="18"/>
      <c r="F40" s="18"/>
      <c r="G40" s="18"/>
      <c r="H40" s="18"/>
      <c r="I40" s="18"/>
      <c r="J40" s="18"/>
      <c r="K40" s="18"/>
      <c r="L40" s="34">
        <f t="shared" si="2"/>
        <v>0</v>
      </c>
      <c r="M40" s="23" t="s">
        <v>34</v>
      </c>
    </row>
    <row r="41" spans="2:13" ht="19.95" customHeight="1" x14ac:dyDescent="0.25">
      <c r="B41" s="22" t="s">
        <v>22</v>
      </c>
      <c r="C41" s="22" t="str">
        <f t="array" ref="C41">IFERROR((INDEX(Table7[Nama Projek],MATCH(Table245[[#This Row],[Column1]],Table7[Job '#],0))),"")</f>
        <v>Projek 14</v>
      </c>
      <c r="D41" s="19" t="s">
        <v>2</v>
      </c>
      <c r="E41" s="18"/>
      <c r="F41" s="18"/>
      <c r="G41" s="18"/>
      <c r="H41" s="18"/>
      <c r="I41" s="18"/>
      <c r="J41" s="18"/>
      <c r="K41" s="18"/>
      <c r="L41" s="34">
        <f t="shared" si="2"/>
        <v>0</v>
      </c>
      <c r="M41" s="23" t="s">
        <v>23</v>
      </c>
    </row>
    <row r="42" spans="2:13" ht="19.95" customHeight="1" x14ac:dyDescent="0.25">
      <c r="B42" s="22" t="s">
        <v>22</v>
      </c>
      <c r="C42" s="22" t="str">
        <f t="array" ref="C42">IFERROR((INDEX(Table7[Nama Projek],MATCH(Table245[[#This Row],[Column1]],Table7[Job '#],0))),"")</f>
        <v>Projek 14</v>
      </c>
      <c r="D42" s="19" t="s">
        <v>1</v>
      </c>
      <c r="E42" s="18"/>
      <c r="F42" s="18"/>
      <c r="G42" s="18"/>
      <c r="H42" s="18"/>
      <c r="I42" s="18"/>
      <c r="J42" s="18"/>
      <c r="K42" s="18"/>
      <c r="L42" s="34">
        <f t="shared" si="2"/>
        <v>0</v>
      </c>
      <c r="M42" s="23" t="s">
        <v>23</v>
      </c>
    </row>
    <row r="43" spans="2:13" ht="19.95" customHeight="1" x14ac:dyDescent="0.25">
      <c r="B43" s="22" t="s">
        <v>24</v>
      </c>
      <c r="C43" s="22" t="str">
        <f t="array" ref="C43">IFERROR((INDEX(Table7[Nama Projek],MATCH(Table245[[#This Row],[Column1]],Table7[Job '#],0))),"")</f>
        <v>Projek 15</v>
      </c>
      <c r="D43" s="19" t="s">
        <v>25</v>
      </c>
      <c r="E43" s="18"/>
      <c r="F43" s="18"/>
      <c r="G43" s="18"/>
      <c r="H43" s="18"/>
      <c r="I43" s="18"/>
      <c r="J43" s="18"/>
      <c r="K43" s="18"/>
      <c r="L43" s="34">
        <f>SUM(E43:K43)</f>
        <v>0</v>
      </c>
      <c r="M43" s="23" t="s">
        <v>26</v>
      </c>
    </row>
    <row r="44" spans="2:13" ht="19.95" customHeight="1" x14ac:dyDescent="0.25">
      <c r="B44" s="22" t="s">
        <v>18</v>
      </c>
      <c r="C44" s="22" t="str">
        <f t="array" ref="C44">IFERROR((INDEX(Table7[Nama Projek],MATCH(Table245[[#This Row],[Column1]],Table7[Job '#],0))),"")</f>
        <v>Projek 16</v>
      </c>
      <c r="D44" s="19" t="s">
        <v>2</v>
      </c>
      <c r="E44" s="18"/>
      <c r="F44" s="18"/>
      <c r="G44" s="18"/>
      <c r="H44" s="18"/>
      <c r="I44" s="18"/>
      <c r="J44" s="18"/>
      <c r="K44" s="18"/>
      <c r="L44" s="34">
        <f t="shared" ref="L44:L59" si="3">SUM(E44:K44)</f>
        <v>0</v>
      </c>
      <c r="M44" s="23" t="s">
        <v>19</v>
      </c>
    </row>
    <row r="45" spans="2:13" ht="19.95" customHeight="1" x14ac:dyDescent="0.25">
      <c r="B45" s="22" t="s">
        <v>30</v>
      </c>
      <c r="C45" s="22" t="str">
        <f t="array" ref="C45">IFERROR((INDEX(Table7[Nama Projek],MATCH(Table245[[#This Row],[Column1]],Table7[Job '#],0))),"")</f>
        <v>Projek 17</v>
      </c>
      <c r="D45" s="19" t="s">
        <v>2</v>
      </c>
      <c r="E45" s="18"/>
      <c r="F45" s="18"/>
      <c r="G45" s="18"/>
      <c r="H45" s="18"/>
      <c r="I45" s="18"/>
      <c r="J45" s="18"/>
      <c r="K45" s="18"/>
      <c r="L45" s="34">
        <f t="shared" si="3"/>
        <v>0</v>
      </c>
      <c r="M45" s="23" t="s">
        <v>31</v>
      </c>
    </row>
    <row r="46" spans="2:13" ht="19.95" customHeight="1" x14ac:dyDescent="0.25">
      <c r="B46" s="22" t="s">
        <v>30</v>
      </c>
      <c r="C46" s="22" t="str">
        <f t="array" ref="C46">IFERROR((INDEX(Table7[Nama Projek],MATCH(Table245[[#This Row],[Column1]],Table7[Job '#],0))),"")</f>
        <v>Projek 17</v>
      </c>
      <c r="D46" s="19" t="s">
        <v>1</v>
      </c>
      <c r="E46" s="18"/>
      <c r="F46" s="18"/>
      <c r="G46" s="18"/>
      <c r="H46" s="18"/>
      <c r="I46" s="18"/>
      <c r="J46" s="18"/>
      <c r="K46" s="18"/>
      <c r="L46" s="34">
        <f t="shared" si="3"/>
        <v>0</v>
      </c>
      <c r="M46" s="23" t="s">
        <v>31</v>
      </c>
    </row>
    <row r="47" spans="2:13" ht="19.95" customHeight="1" x14ac:dyDescent="0.25">
      <c r="B47" s="22" t="s">
        <v>45</v>
      </c>
      <c r="C47" s="22" t="str">
        <f t="array" ref="C47">IFERROR((INDEX(Table7[Nama Projek],MATCH(Table245[[#This Row],[Column1]],Table7[Job '#],0))),"")</f>
        <v>Projek 18</v>
      </c>
      <c r="D47" s="19" t="s">
        <v>2</v>
      </c>
      <c r="E47" s="18"/>
      <c r="F47" s="18"/>
      <c r="G47" s="18"/>
      <c r="H47" s="18"/>
      <c r="I47" s="18"/>
      <c r="J47" s="18"/>
      <c r="K47" s="18"/>
      <c r="L47" s="34">
        <f t="shared" si="3"/>
        <v>0</v>
      </c>
      <c r="M47" s="23" t="s">
        <v>42</v>
      </c>
    </row>
    <row r="48" spans="2:13" ht="19.95" customHeight="1" x14ac:dyDescent="0.25">
      <c r="B48" s="22" t="s">
        <v>45</v>
      </c>
      <c r="C48" s="22" t="str">
        <f t="array" ref="C48">IFERROR((INDEX(Table7[Nama Projek],MATCH(Table245[[#This Row],[Column1]],Table7[Job '#],0))),"")</f>
        <v>Projek 18</v>
      </c>
      <c r="D48" s="19" t="s">
        <v>1</v>
      </c>
      <c r="E48" s="18"/>
      <c r="F48" s="18"/>
      <c r="G48" s="18"/>
      <c r="H48" s="18"/>
      <c r="I48" s="18"/>
      <c r="J48" s="18"/>
      <c r="K48" s="18"/>
      <c r="L48" s="34">
        <f t="shared" si="3"/>
        <v>0</v>
      </c>
      <c r="M48" s="23" t="s">
        <v>42</v>
      </c>
    </row>
    <row r="49" spans="1:14" ht="19.95" customHeight="1" x14ac:dyDescent="0.25">
      <c r="B49" s="22" t="s">
        <v>48</v>
      </c>
      <c r="C49" s="22" t="str">
        <f t="array" ref="C49">IFERROR((INDEX(Table7[Nama Projek],MATCH(Table245[[#This Row],[Column1]],Table7[Job '#],0))),"")</f>
        <v>Projek 19</v>
      </c>
      <c r="D49" s="19" t="s">
        <v>2</v>
      </c>
      <c r="E49" s="18"/>
      <c r="F49" s="18"/>
      <c r="G49" s="18"/>
      <c r="H49" s="18"/>
      <c r="I49" s="18"/>
      <c r="J49" s="18"/>
      <c r="K49" s="18"/>
      <c r="L49" s="34">
        <f t="shared" si="3"/>
        <v>0</v>
      </c>
      <c r="M49" s="23" t="s">
        <v>49</v>
      </c>
    </row>
    <row r="50" spans="1:14" ht="19.95" customHeight="1" x14ac:dyDescent="0.25">
      <c r="B50" s="22" t="s">
        <v>40</v>
      </c>
      <c r="C50" s="22" t="str">
        <f t="array" ref="C50">IFERROR((INDEX(Table7[Nama Projek],MATCH(Table245[[#This Row],[Column1]],Table7[Job '#],0))),"")</f>
        <v>Projek 20</v>
      </c>
      <c r="D50" s="19" t="s">
        <v>2</v>
      </c>
      <c r="E50" s="18"/>
      <c r="F50" s="18"/>
      <c r="G50" s="18"/>
      <c r="H50" s="18"/>
      <c r="I50" s="18"/>
      <c r="J50" s="18"/>
      <c r="K50" s="18"/>
      <c r="L50" s="34">
        <f t="shared" si="3"/>
        <v>0</v>
      </c>
      <c r="M50" s="23" t="s">
        <v>41</v>
      </c>
    </row>
    <row r="51" spans="1:14" ht="19.95" customHeight="1" x14ac:dyDescent="0.25">
      <c r="B51" s="22" t="s">
        <v>51</v>
      </c>
      <c r="C51" s="22" t="str">
        <f t="array" ref="C51">IFERROR((INDEX(Table7[Nama Projek],MATCH(Table245[[#This Row],[Column1]],Table7[Job '#],0))),"")</f>
        <v>Projek 21</v>
      </c>
      <c r="D51" s="19" t="s">
        <v>2</v>
      </c>
      <c r="E51" s="18"/>
      <c r="F51" s="18"/>
      <c r="G51" s="18"/>
      <c r="H51" s="18"/>
      <c r="I51" s="18"/>
      <c r="J51" s="18"/>
      <c r="K51" s="18"/>
      <c r="L51" s="34">
        <f t="shared" si="3"/>
        <v>0</v>
      </c>
      <c r="M51" s="23" t="s">
        <v>50</v>
      </c>
    </row>
    <row r="52" spans="1:14" ht="19.95" customHeight="1" x14ac:dyDescent="0.25">
      <c r="B52" s="22" t="s">
        <v>51</v>
      </c>
      <c r="C52" s="22" t="str">
        <f t="array" ref="C52">IFERROR((INDEX(Table7[Nama Projek],MATCH(Table245[[#This Row],[Column1]],Table7[Job '#],0))),"")</f>
        <v>Projek 21</v>
      </c>
      <c r="D52" s="19" t="s">
        <v>1</v>
      </c>
      <c r="E52" s="18"/>
      <c r="F52" s="18"/>
      <c r="G52" s="18"/>
      <c r="H52" s="18"/>
      <c r="I52" s="18"/>
      <c r="J52" s="18"/>
      <c r="K52" s="18"/>
      <c r="L52" s="34">
        <f t="shared" si="3"/>
        <v>0</v>
      </c>
      <c r="M52" s="23" t="s">
        <v>50</v>
      </c>
    </row>
    <row r="53" spans="1:14" ht="19.95" customHeight="1" x14ac:dyDescent="0.25">
      <c r="B53" s="22" t="s">
        <v>44</v>
      </c>
      <c r="C53" s="22" t="str">
        <f t="array" ref="C53">IFERROR((INDEX(Table7[Nama Projek],MATCH(Table245[[#This Row],[Column1]],Table7[Job '#],0))),"")</f>
        <v>Projek 22</v>
      </c>
      <c r="D53" s="19" t="s">
        <v>2</v>
      </c>
      <c r="E53" s="18"/>
      <c r="F53" s="18"/>
      <c r="G53" s="18"/>
      <c r="H53" s="18"/>
      <c r="I53" s="18"/>
      <c r="J53" s="18"/>
      <c r="K53" s="18"/>
      <c r="L53" s="34">
        <f t="shared" si="3"/>
        <v>0</v>
      </c>
      <c r="M53" s="23" t="s">
        <v>38</v>
      </c>
    </row>
    <row r="54" spans="1:14" ht="19.95" customHeight="1" x14ac:dyDescent="0.25">
      <c r="B54" s="22" t="s">
        <v>44</v>
      </c>
      <c r="C54" s="22" t="str">
        <f t="array" ref="C54">IFERROR((INDEX(Table7[Nama Projek],MATCH(Table245[[#This Row],[Column1]],Table7[Job '#],0))),"")</f>
        <v>Projek 22</v>
      </c>
      <c r="D54" s="19" t="s">
        <v>1</v>
      </c>
      <c r="E54" s="18"/>
      <c r="F54" s="18"/>
      <c r="G54" s="18"/>
      <c r="H54" s="18"/>
      <c r="I54" s="18"/>
      <c r="J54" s="18"/>
      <c r="K54" s="18"/>
      <c r="L54" s="34">
        <f t="shared" si="3"/>
        <v>0</v>
      </c>
      <c r="M54" s="23" t="s">
        <v>38</v>
      </c>
    </row>
    <row r="55" spans="1:14" ht="19.95" customHeight="1" x14ac:dyDescent="0.25">
      <c r="B55" s="22" t="s">
        <v>37</v>
      </c>
      <c r="C55" s="22" t="str">
        <f t="array" ref="C55">IFERROR((INDEX(Table7[Nama Projek],MATCH(Table245[[#This Row],[Column1]],Table7[Job '#],0))),"")</f>
        <v>Projek 23</v>
      </c>
      <c r="D55" s="19" t="s">
        <v>2</v>
      </c>
      <c r="E55" s="18"/>
      <c r="F55" s="18"/>
      <c r="G55" s="18"/>
      <c r="H55" s="18"/>
      <c r="I55" s="18"/>
      <c r="J55" s="18"/>
      <c r="K55" s="18"/>
      <c r="L55" s="34">
        <f t="shared" si="3"/>
        <v>0</v>
      </c>
      <c r="M55" s="23" t="s">
        <v>39</v>
      </c>
    </row>
    <row r="56" spans="1:14" ht="19.95" customHeight="1" x14ac:dyDescent="0.25">
      <c r="B56" s="22" t="s">
        <v>37</v>
      </c>
      <c r="C56" s="22" t="str">
        <f t="array" ref="C56">IFERROR((INDEX(Table7[Nama Projek],MATCH(Table245[[#This Row],[Column1]],Table7[Job '#],0))),"")</f>
        <v>Projek 23</v>
      </c>
      <c r="D56" s="19" t="s">
        <v>1</v>
      </c>
      <c r="E56" s="18"/>
      <c r="F56" s="18"/>
      <c r="G56" s="18"/>
      <c r="H56" s="18"/>
      <c r="I56" s="18"/>
      <c r="J56" s="18"/>
      <c r="K56" s="18"/>
      <c r="L56" s="34">
        <f t="shared" si="3"/>
        <v>0</v>
      </c>
      <c r="M56" s="23" t="s">
        <v>39</v>
      </c>
    </row>
    <row r="57" spans="1:14" ht="19.95" customHeight="1" x14ac:dyDescent="0.25">
      <c r="B57" s="22" t="s">
        <v>46</v>
      </c>
      <c r="C57" s="22" t="str">
        <f t="array" ref="C57">IFERROR((INDEX(Table7[Nama Projek],MATCH(Table245[[#This Row],[Column1]],Table7[Job '#],0))),"")</f>
        <v>Projek 24</v>
      </c>
      <c r="D57" s="19" t="s">
        <v>2</v>
      </c>
      <c r="E57" s="18"/>
      <c r="F57" s="18"/>
      <c r="G57" s="18"/>
      <c r="H57" s="18"/>
      <c r="I57" s="18"/>
      <c r="J57" s="18"/>
      <c r="K57" s="18"/>
      <c r="L57" s="34">
        <f t="shared" si="3"/>
        <v>0</v>
      </c>
      <c r="M57" s="23" t="s">
        <v>47</v>
      </c>
    </row>
    <row r="58" spans="1:14" ht="19.95" customHeight="1" x14ac:dyDescent="0.25">
      <c r="B58" s="22" t="s">
        <v>46</v>
      </c>
      <c r="C58" s="22" t="str">
        <f t="array" ref="C58">IFERROR((INDEX(Table7[Nama Projek],MATCH(Table245[[#This Row],[Column1]],Table7[Job '#],0))),"")</f>
        <v>Projek 24</v>
      </c>
      <c r="D58" s="19" t="s">
        <v>1</v>
      </c>
      <c r="E58" s="18">
        <v>2</v>
      </c>
      <c r="F58" s="18"/>
      <c r="G58" s="18"/>
      <c r="H58" s="18"/>
      <c r="I58" s="18"/>
      <c r="J58" s="18"/>
      <c r="K58" s="18"/>
      <c r="L58" s="34">
        <f t="shared" si="3"/>
        <v>2</v>
      </c>
      <c r="M58" s="23" t="s">
        <v>47</v>
      </c>
    </row>
    <row r="59" spans="1:14" ht="19.95" customHeight="1" x14ac:dyDescent="0.25">
      <c r="B59" s="22"/>
      <c r="C59" s="22" t="str">
        <f t="array" ref="C59">IFERROR((INDEX(Table7[Nama Projek],MATCH(Table245[[#This Row],[Column1]],Table7[Job '#],0))),"")</f>
        <v/>
      </c>
      <c r="D59" s="19" t="s">
        <v>2</v>
      </c>
      <c r="E59" s="18"/>
      <c r="F59" s="18"/>
      <c r="G59" s="18"/>
      <c r="H59" s="18"/>
      <c r="I59" s="18"/>
      <c r="J59" s="18"/>
      <c r="K59" s="18"/>
      <c r="L59" s="34">
        <f t="shared" si="3"/>
        <v>0</v>
      </c>
      <c r="M59" s="23"/>
    </row>
    <row r="60" spans="1:14" ht="19.95" customHeight="1" x14ac:dyDescent="0.25">
      <c r="B60" s="24"/>
      <c r="C60" s="22" t="str">
        <f t="array" ref="C60">IFERROR((INDEX(Table7[Nama Projek],MATCH(Table245[[#This Row],[Column1]],Table7[Job '#],0))),"")</f>
        <v/>
      </c>
      <c r="D60" s="25" t="s">
        <v>1</v>
      </c>
      <c r="E60" s="26"/>
      <c r="F60" s="26"/>
      <c r="G60" s="26"/>
      <c r="H60" s="26"/>
      <c r="I60" s="26"/>
      <c r="J60" s="26"/>
      <c r="K60" s="26"/>
      <c r="L60" s="35"/>
      <c r="M60" s="27"/>
    </row>
    <row r="61" spans="1:14" s="28" customFormat="1" ht="19.95" customHeight="1" x14ac:dyDescent="0.25">
      <c r="B61" s="29"/>
      <c r="C61" s="29"/>
      <c r="D61" s="30"/>
      <c r="E61" s="29"/>
      <c r="F61" s="29"/>
      <c r="G61" s="29"/>
      <c r="H61" s="29"/>
      <c r="I61" s="29"/>
      <c r="J61" s="29"/>
      <c r="K61" s="29"/>
      <c r="L61" s="31"/>
    </row>
    <row r="62" spans="1:14" ht="19.95" customHeight="1" thickBot="1" x14ac:dyDescent="0.3">
      <c r="B62" s="72" t="s">
        <v>54</v>
      </c>
      <c r="C62" s="72"/>
      <c r="D62" s="72"/>
      <c r="E62" s="20">
        <f t="shared" ref="E62:K62" si="4">SUM(E12:E60)</f>
        <v>11</v>
      </c>
      <c r="F62" s="20">
        <f t="shared" si="4"/>
        <v>110</v>
      </c>
      <c r="G62" s="20">
        <f t="shared" si="4"/>
        <v>11</v>
      </c>
      <c r="H62" s="20">
        <f t="shared" si="4"/>
        <v>0</v>
      </c>
      <c r="I62" s="20">
        <f t="shared" si="4"/>
        <v>0</v>
      </c>
      <c r="J62" s="20">
        <f t="shared" si="4"/>
        <v>0</v>
      </c>
      <c r="K62" s="20">
        <f t="shared" si="4"/>
        <v>0</v>
      </c>
    </row>
    <row r="63" spans="1:14" s="9" customFormat="1" ht="19.95" customHeight="1" thickTop="1" x14ac:dyDescent="0.25">
      <c r="A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</sheetData>
  <mergeCells count="10">
    <mergeCell ref="L9:L11"/>
    <mergeCell ref="M9:M11"/>
    <mergeCell ref="B62:D62"/>
    <mergeCell ref="B2:F2"/>
    <mergeCell ref="B3:E3"/>
    <mergeCell ref="F6:G6"/>
    <mergeCell ref="B9:B11"/>
    <mergeCell ref="D9:D11"/>
    <mergeCell ref="E9:K9"/>
    <mergeCell ref="C9:C11"/>
  </mergeCells>
  <printOptions horizontalCentered="1"/>
  <pageMargins left="0" right="0" top="0.25" bottom="0" header="0.5" footer="0.5"/>
  <pageSetup scale="75" orientation="landscape" r:id="rId1"/>
  <headerFooter alignWithMargins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'(Drop Down) Data Base '!$B$5:$B$50</xm:f>
          </x14:formula1>
          <xm:sqref>B12:B60</xm:sqref>
        </x14:dataValidation>
        <x14:dataValidation type="list" allowBlank="1" showInputMessage="1" showErrorMessage="1" xr:uid="{00000000-0002-0000-0400-000001000000}">
          <x14:formula1>
            <xm:f>'(Drop Down) Data Base '!$D$5:$D$29</xm:f>
          </x14:formula1>
          <xm:sqref>D12:D60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3"/>
  <sheetViews>
    <sheetView showGridLines="0" showRowColHeaders="0" zoomScaleNormal="100" workbookViewId="0">
      <pane xSplit="4" ySplit="11" topLeftCell="E12" activePane="bottomRight" state="frozen"/>
      <selection activeCell="C7" sqref="C7"/>
      <selection pane="topRight" activeCell="C7" sqref="C7"/>
      <selection pane="bottomLeft" activeCell="C7" sqref="C7"/>
      <selection pane="bottomRight" activeCell="D12" sqref="D12:D60"/>
    </sheetView>
  </sheetViews>
  <sheetFormatPr defaultRowHeight="19.95" customHeight="1" x14ac:dyDescent="0.25"/>
  <cols>
    <col min="1" max="1" width="1.109375" style="4" customWidth="1"/>
    <col min="2" max="3" width="14.88671875" style="9" customWidth="1"/>
    <col min="4" max="4" width="16.5546875" style="4" customWidth="1"/>
    <col min="5" max="11" width="12.21875" style="4" customWidth="1"/>
    <col min="12" max="12" width="11.44140625" style="4" customWidth="1"/>
    <col min="13" max="13" width="52" style="4" bestFit="1" customWidth="1"/>
    <col min="14" max="14" width="1.109375" style="4" customWidth="1"/>
    <col min="15" max="15" width="6.109375" style="4" customWidth="1"/>
    <col min="16" max="16384" width="8.88671875" style="4"/>
  </cols>
  <sheetData>
    <row r="1" spans="2:14" ht="13.2" x14ac:dyDescent="0.25"/>
    <row r="2" spans="2:14" ht="31.8" x14ac:dyDescent="0.25">
      <c r="B2" s="73" t="s">
        <v>60</v>
      </c>
      <c r="C2" s="73"/>
      <c r="D2" s="73"/>
      <c r="E2" s="73"/>
      <c r="F2" s="73"/>
    </row>
    <row r="3" spans="2:14" ht="21" customHeight="1" x14ac:dyDescent="0.35">
      <c r="B3" s="74" t="s">
        <v>101</v>
      </c>
      <c r="C3" s="74"/>
      <c r="D3" s="74"/>
      <c r="E3" s="74"/>
      <c r="F3" s="13"/>
      <c r="G3" s="3"/>
      <c r="H3" s="3"/>
      <c r="I3" s="3"/>
      <c r="J3" s="3"/>
      <c r="K3" s="3"/>
      <c r="L3" s="3"/>
      <c r="M3" s="3"/>
    </row>
    <row r="4" spans="2:14" ht="13.2" x14ac:dyDescent="0.25">
      <c r="E4" s="14"/>
      <c r="F4" s="14"/>
    </row>
    <row r="5" spans="2:14" ht="9" customHeight="1" x14ac:dyDescent="0.25">
      <c r="B5" s="5"/>
      <c r="C5" s="5"/>
    </row>
    <row r="6" spans="2:14" ht="21" customHeight="1" x14ac:dyDescent="0.25">
      <c r="B6" s="16" t="s">
        <v>96</v>
      </c>
      <c r="C6" s="33" t="s">
        <v>59</v>
      </c>
      <c r="E6" s="6"/>
      <c r="F6" s="75"/>
      <c r="G6" s="75"/>
      <c r="H6" s="6"/>
      <c r="I6" s="11"/>
      <c r="J6" s="7"/>
      <c r="K6" s="7"/>
      <c r="L6" s="11"/>
    </row>
    <row r="7" spans="2:14" ht="21" customHeight="1" x14ac:dyDescent="0.3">
      <c r="B7" s="15" t="s">
        <v>102</v>
      </c>
      <c r="C7" s="32">
        <f>IFERROR((IF(MONTH('1st week'!K10)=MONTH('1st week'!K10+1),('1st week'!K10+1),"")),"")</f>
        <v>44750</v>
      </c>
      <c r="E7" s="6"/>
      <c r="F7" s="10"/>
      <c r="G7" s="10"/>
      <c r="H7" s="6"/>
      <c r="I7" s="11"/>
      <c r="J7" s="7"/>
      <c r="K7" s="7"/>
      <c r="L7" s="11"/>
    </row>
    <row r="8" spans="2:14" ht="15.6" x14ac:dyDescent="0.25">
      <c r="B8" s="12"/>
      <c r="C8" s="12"/>
    </row>
    <row r="9" spans="2:14" ht="24" customHeight="1" x14ac:dyDescent="0.25">
      <c r="B9" s="71" t="s">
        <v>0</v>
      </c>
      <c r="C9" s="76" t="s">
        <v>70</v>
      </c>
      <c r="D9" s="71" t="s">
        <v>103</v>
      </c>
      <c r="E9" s="71" t="s">
        <v>98</v>
      </c>
      <c r="F9" s="71"/>
      <c r="G9" s="71"/>
      <c r="H9" s="71"/>
      <c r="I9" s="71"/>
      <c r="J9" s="71"/>
      <c r="K9" s="71"/>
      <c r="L9" s="71" t="s">
        <v>99</v>
      </c>
      <c r="M9" s="71" t="s">
        <v>100</v>
      </c>
    </row>
    <row r="10" spans="2:14" ht="24" customHeight="1" x14ac:dyDescent="0.25">
      <c r="B10" s="71"/>
      <c r="C10" s="77"/>
      <c r="D10" s="71"/>
      <c r="E10" s="21">
        <f>C7</f>
        <v>44750</v>
      </c>
      <c r="F10" s="21">
        <f>IFERROR((IF(MONTH(E10)=MONTH(E10+1),E10+1," ")),"")</f>
        <v>44751</v>
      </c>
      <c r="G10" s="21">
        <f t="shared" ref="G10:K10" si="0">IFERROR((IF(MONTH(F10)=MONTH(F10+1),F10+1," ")),"")</f>
        <v>44752</v>
      </c>
      <c r="H10" s="21">
        <f t="shared" si="0"/>
        <v>44753</v>
      </c>
      <c r="I10" s="21">
        <f t="shared" si="0"/>
        <v>44754</v>
      </c>
      <c r="J10" s="21">
        <f t="shared" si="0"/>
        <v>44755</v>
      </c>
      <c r="K10" s="21">
        <f t="shared" si="0"/>
        <v>44756</v>
      </c>
      <c r="L10" s="71"/>
      <c r="M10" s="71"/>
    </row>
    <row r="11" spans="2:14" ht="24" customHeight="1" x14ac:dyDescent="0.25">
      <c r="B11" s="71"/>
      <c r="C11" s="78"/>
      <c r="D11" s="71"/>
      <c r="E11" s="17" t="str">
        <f>TEXT(E10,"DDDD")</f>
        <v>Friday</v>
      </c>
      <c r="F11" s="17" t="str">
        <f t="shared" ref="F11:K11" si="1">TEXT(F10,"DDDD")</f>
        <v>Saturday</v>
      </c>
      <c r="G11" s="17" t="str">
        <f t="shared" si="1"/>
        <v>Sunday</v>
      </c>
      <c r="H11" s="17" t="str">
        <f t="shared" si="1"/>
        <v>Monday</v>
      </c>
      <c r="I11" s="17" t="str">
        <f t="shared" si="1"/>
        <v>Tuesday</v>
      </c>
      <c r="J11" s="17" t="str">
        <f t="shared" si="1"/>
        <v>Wednesday</v>
      </c>
      <c r="K11" s="17" t="str">
        <f t="shared" si="1"/>
        <v>Thursday</v>
      </c>
      <c r="L11" s="71"/>
      <c r="M11" s="71"/>
      <c r="N11" s="8"/>
    </row>
    <row r="12" spans="2:14" ht="19.95" customHeight="1" x14ac:dyDescent="0.25">
      <c r="B12" s="22" t="s">
        <v>29</v>
      </c>
      <c r="C12" s="22" t="str">
        <f t="array" ref="C12">IFERROR((INDEX(Table7[Nama Projek],MATCH(Table2456[[#This Row],[Column1]],Table7[Job '#],0))),"")</f>
        <v>Projek 1</v>
      </c>
      <c r="D12" s="19" t="s">
        <v>2</v>
      </c>
      <c r="E12" s="18">
        <v>5</v>
      </c>
      <c r="F12" s="18">
        <v>10</v>
      </c>
      <c r="G12" s="18">
        <v>11</v>
      </c>
      <c r="H12" s="18">
        <v>0</v>
      </c>
      <c r="I12" s="18"/>
      <c r="J12" s="18"/>
      <c r="K12" s="18"/>
      <c r="L12" s="34">
        <f>SUM(E12:K12)</f>
        <v>26</v>
      </c>
      <c r="M12" s="23" t="s">
        <v>32</v>
      </c>
    </row>
    <row r="13" spans="2:14" ht="19.95" customHeight="1" x14ac:dyDescent="0.25">
      <c r="B13" s="22" t="s">
        <v>29</v>
      </c>
      <c r="C13" s="22" t="str">
        <f t="array" ref="C13">IFERROR((INDEX(Table7[Nama Projek],MATCH(Table2456[[#This Row],[Column1]],Table7[Job '#],0))),"")</f>
        <v>Projek 1</v>
      </c>
      <c r="D13" s="19" t="s">
        <v>1</v>
      </c>
      <c r="E13" s="18"/>
      <c r="F13" s="18">
        <v>56</v>
      </c>
      <c r="G13" s="18"/>
      <c r="H13" s="18"/>
      <c r="I13" s="18"/>
      <c r="J13" s="18"/>
      <c r="K13" s="18"/>
      <c r="L13" s="34">
        <f t="shared" ref="L13:L42" si="2">SUM(E13:K13)</f>
        <v>56</v>
      </c>
      <c r="M13" s="23" t="s">
        <v>32</v>
      </c>
    </row>
    <row r="14" spans="2:14" ht="19.95" customHeight="1" x14ac:dyDescent="0.25">
      <c r="B14" s="22" t="s">
        <v>10</v>
      </c>
      <c r="C14" s="22" t="str">
        <f t="array" ref="C14">IFERROR((INDEX(Table7[Nama Projek],MATCH(Table2456[[#This Row],[Column1]],Table7[Job '#],0))),"")</f>
        <v>Projek 2</v>
      </c>
      <c r="D14" s="19" t="s">
        <v>2</v>
      </c>
      <c r="E14" s="18"/>
      <c r="F14" s="18"/>
      <c r="G14" s="18"/>
      <c r="H14" s="18"/>
      <c r="I14" s="18"/>
      <c r="J14" s="18"/>
      <c r="K14" s="18"/>
      <c r="L14" s="34">
        <f t="shared" si="2"/>
        <v>0</v>
      </c>
      <c r="M14" s="23" t="s">
        <v>11</v>
      </c>
    </row>
    <row r="15" spans="2:14" ht="19.95" customHeight="1" x14ac:dyDescent="0.25">
      <c r="B15" s="22" t="s">
        <v>10</v>
      </c>
      <c r="C15" s="22" t="str">
        <f t="array" ref="C15">IFERROR((INDEX(Table7[Nama Projek],MATCH(Table2456[[#This Row],[Column1]],Table7[Job '#],0))),"")</f>
        <v>Projek 2</v>
      </c>
      <c r="D15" s="19" t="s">
        <v>1</v>
      </c>
      <c r="E15" s="18"/>
      <c r="F15" s="18"/>
      <c r="G15" s="18"/>
      <c r="H15" s="18"/>
      <c r="I15" s="18"/>
      <c r="J15" s="18"/>
      <c r="K15" s="18"/>
      <c r="L15" s="34">
        <f t="shared" si="2"/>
        <v>0</v>
      </c>
      <c r="M15" s="23" t="s">
        <v>11</v>
      </c>
    </row>
    <row r="16" spans="2:14" ht="19.95" customHeight="1" x14ac:dyDescent="0.25">
      <c r="B16" s="22" t="s">
        <v>27</v>
      </c>
      <c r="C16" s="22" t="str">
        <f t="array" ref="C16">IFERROR((INDEX(Table7[Nama Projek],MATCH(Table2456[[#This Row],[Column1]],Table7[Job '#],0))),"")</f>
        <v>Projek 3</v>
      </c>
      <c r="D16" s="19" t="s">
        <v>1</v>
      </c>
      <c r="E16" s="18"/>
      <c r="F16" s="18"/>
      <c r="G16" s="18"/>
      <c r="H16" s="18"/>
      <c r="I16" s="18"/>
      <c r="J16" s="18"/>
      <c r="K16" s="18"/>
      <c r="L16" s="34">
        <f t="shared" si="2"/>
        <v>0</v>
      </c>
      <c r="M16" s="23" t="s">
        <v>28</v>
      </c>
    </row>
    <row r="17" spans="2:13" ht="19.95" customHeight="1" x14ac:dyDescent="0.25">
      <c r="B17" s="22" t="s">
        <v>27</v>
      </c>
      <c r="C17" s="22" t="str">
        <f t="array" ref="C17">IFERROR((INDEX(Table7[Nama Projek],MATCH(Table2456[[#This Row],[Column1]],Table7[Job '#],0))),"")</f>
        <v>Projek 3</v>
      </c>
      <c r="D17" s="19" t="s">
        <v>2</v>
      </c>
      <c r="E17" s="18"/>
      <c r="F17" s="18"/>
      <c r="G17" s="18"/>
      <c r="H17" s="18"/>
      <c r="I17" s="18"/>
      <c r="J17" s="18"/>
      <c r="K17" s="18"/>
      <c r="L17" s="34">
        <f t="shared" si="2"/>
        <v>0</v>
      </c>
      <c r="M17" s="23" t="s">
        <v>28</v>
      </c>
    </row>
    <row r="18" spans="2:13" ht="19.95" customHeight="1" x14ac:dyDescent="0.25">
      <c r="B18" s="22" t="s">
        <v>12</v>
      </c>
      <c r="C18" s="22" t="str">
        <f t="array" ref="C18">IFERROR((INDEX(Table7[Nama Projek],MATCH(Table2456[[#This Row],[Column1]],Table7[Job '#],0))),"")</f>
        <v>Projek 4</v>
      </c>
      <c r="D18" s="19" t="s">
        <v>1</v>
      </c>
      <c r="E18" s="18"/>
      <c r="F18" s="18"/>
      <c r="G18" s="18"/>
      <c r="H18" s="18"/>
      <c r="I18" s="18"/>
      <c r="J18" s="18"/>
      <c r="K18" s="18"/>
      <c r="L18" s="34">
        <f t="shared" si="2"/>
        <v>0</v>
      </c>
      <c r="M18" s="23" t="s">
        <v>15</v>
      </c>
    </row>
    <row r="19" spans="2:13" ht="19.95" customHeight="1" x14ac:dyDescent="0.25">
      <c r="B19" s="22" t="s">
        <v>12</v>
      </c>
      <c r="C19" s="22" t="str">
        <f t="array" ref="C19">IFERROR((INDEX(Table7[Nama Projek],MATCH(Table2456[[#This Row],[Column1]],Table7[Job '#],0))),"")</f>
        <v>Projek 4</v>
      </c>
      <c r="D19" s="19" t="s">
        <v>2</v>
      </c>
      <c r="E19" s="18"/>
      <c r="F19" s="18"/>
      <c r="G19" s="18"/>
      <c r="H19" s="18"/>
      <c r="I19" s="18"/>
      <c r="J19" s="18"/>
      <c r="K19" s="18"/>
      <c r="L19" s="34">
        <f t="shared" si="2"/>
        <v>0</v>
      </c>
      <c r="M19" s="23" t="s">
        <v>15</v>
      </c>
    </row>
    <row r="20" spans="2:13" ht="19.95" customHeight="1" x14ac:dyDescent="0.25">
      <c r="B20" s="22" t="s">
        <v>16</v>
      </c>
      <c r="C20" s="22" t="str">
        <f t="array" ref="C20">IFERROR((INDEX(Table7[Nama Projek],MATCH(Table2456[[#This Row],[Column1]],Table7[Job '#],0))),"")</f>
        <v>Projek 5</v>
      </c>
      <c r="D20" s="19" t="s">
        <v>1</v>
      </c>
      <c r="E20" s="18"/>
      <c r="F20" s="18"/>
      <c r="G20" s="18"/>
      <c r="H20" s="18"/>
      <c r="I20" s="18"/>
      <c r="J20" s="18"/>
      <c r="K20" s="18"/>
      <c r="L20" s="34">
        <f t="shared" si="2"/>
        <v>0</v>
      </c>
      <c r="M20" s="23" t="s">
        <v>17</v>
      </c>
    </row>
    <row r="21" spans="2:13" ht="19.95" customHeight="1" x14ac:dyDescent="0.25">
      <c r="B21" s="22" t="s">
        <v>16</v>
      </c>
      <c r="C21" s="22" t="str">
        <f t="array" ref="C21">IFERROR((INDEX(Table7[Nama Projek],MATCH(Table2456[[#This Row],[Column1]],Table7[Job '#],0))),"")</f>
        <v>Projek 5</v>
      </c>
      <c r="D21" s="19" t="s">
        <v>2</v>
      </c>
      <c r="E21" s="18"/>
      <c r="F21" s="18"/>
      <c r="G21" s="18"/>
      <c r="H21" s="18"/>
      <c r="I21" s="18"/>
      <c r="J21" s="18"/>
      <c r="K21" s="18"/>
      <c r="L21" s="34">
        <f t="shared" si="2"/>
        <v>0</v>
      </c>
      <c r="M21" s="23" t="s">
        <v>17</v>
      </c>
    </row>
    <row r="22" spans="2:13" ht="19.95" customHeight="1" x14ac:dyDescent="0.25">
      <c r="B22" s="22" t="s">
        <v>8</v>
      </c>
      <c r="C22" s="22" t="str">
        <f t="array" ref="C22">IFERROR((INDEX(Table7[Nama Projek],MATCH(Table2456[[#This Row],[Column1]],Table7[Job '#],0))),"")</f>
        <v>Projek 6</v>
      </c>
      <c r="D22" s="19" t="s">
        <v>2</v>
      </c>
      <c r="E22" s="18"/>
      <c r="F22" s="18"/>
      <c r="G22" s="18"/>
      <c r="H22" s="18"/>
      <c r="I22" s="18"/>
      <c r="J22" s="18"/>
      <c r="K22" s="18"/>
      <c r="L22" s="34">
        <f t="shared" si="2"/>
        <v>0</v>
      </c>
      <c r="M22" s="23" t="s">
        <v>20</v>
      </c>
    </row>
    <row r="23" spans="2:13" ht="19.95" customHeight="1" x14ac:dyDescent="0.25">
      <c r="B23" s="22" t="s">
        <v>8</v>
      </c>
      <c r="C23" s="22" t="str">
        <f t="array" ref="C23">IFERROR((INDEX(Table7[Nama Projek],MATCH(Table2456[[#This Row],[Column1]],Table7[Job '#],0))),"")</f>
        <v>Projek 6</v>
      </c>
      <c r="D23" s="19" t="s">
        <v>1</v>
      </c>
      <c r="E23" s="18"/>
      <c r="F23" s="18"/>
      <c r="G23" s="18"/>
      <c r="H23" s="18"/>
      <c r="I23" s="18"/>
      <c r="J23" s="18"/>
      <c r="K23" s="18"/>
      <c r="L23" s="34">
        <f t="shared" si="2"/>
        <v>0</v>
      </c>
      <c r="M23" s="23" t="s">
        <v>20</v>
      </c>
    </row>
    <row r="24" spans="2:13" ht="19.95" customHeight="1" x14ac:dyDescent="0.25">
      <c r="B24" s="22" t="s">
        <v>8</v>
      </c>
      <c r="C24" s="22" t="str">
        <f t="array" ref="C24">IFERROR((INDEX(Table7[Nama Projek],MATCH(Table2456[[#This Row],[Column1]],Table7[Job '#],0))),"")</f>
        <v>Projek 6</v>
      </c>
      <c r="D24" s="19" t="s">
        <v>2</v>
      </c>
      <c r="E24" s="18"/>
      <c r="F24" s="18"/>
      <c r="G24" s="18"/>
      <c r="H24" s="18"/>
      <c r="I24" s="18"/>
      <c r="J24" s="18"/>
      <c r="K24" s="18"/>
      <c r="L24" s="34">
        <f t="shared" si="2"/>
        <v>0</v>
      </c>
      <c r="M24" s="23" t="s">
        <v>21</v>
      </c>
    </row>
    <row r="25" spans="2:13" ht="19.95" customHeight="1" x14ac:dyDescent="0.25">
      <c r="B25" s="22" t="s">
        <v>8</v>
      </c>
      <c r="C25" s="22" t="str">
        <f t="array" ref="C25">IFERROR((INDEX(Table7[Nama Projek],MATCH(Table2456[[#This Row],[Column1]],Table7[Job '#],0))),"")</f>
        <v>Projek 6</v>
      </c>
      <c r="D25" s="19" t="s">
        <v>1</v>
      </c>
      <c r="E25" s="18"/>
      <c r="F25" s="18"/>
      <c r="G25" s="18"/>
      <c r="H25" s="18"/>
      <c r="I25" s="18"/>
      <c r="J25" s="18"/>
      <c r="K25" s="18"/>
      <c r="L25" s="34">
        <f t="shared" si="2"/>
        <v>0</v>
      </c>
      <c r="M25" s="23" t="s">
        <v>21</v>
      </c>
    </row>
    <row r="26" spans="2:13" ht="19.95" customHeight="1" x14ac:dyDescent="0.25">
      <c r="B26" s="22" t="s">
        <v>3</v>
      </c>
      <c r="C26" s="22" t="str">
        <f t="array" ref="C26">IFERROR((INDEX(Table7[Nama Projek],MATCH(Table2456[[#This Row],[Column1]],Table7[Job '#],0))),"")</f>
        <v>Projek 7</v>
      </c>
      <c r="D26" s="19" t="s">
        <v>2</v>
      </c>
      <c r="E26" s="18"/>
      <c r="F26" s="18"/>
      <c r="G26" s="18"/>
      <c r="H26" s="18"/>
      <c r="I26" s="18"/>
      <c r="J26" s="18"/>
      <c r="K26" s="18"/>
      <c r="L26" s="34">
        <f t="shared" si="2"/>
        <v>0</v>
      </c>
      <c r="M26" s="23" t="s">
        <v>4</v>
      </c>
    </row>
    <row r="27" spans="2:13" ht="19.95" customHeight="1" x14ac:dyDescent="0.25">
      <c r="B27" s="22" t="s">
        <v>3</v>
      </c>
      <c r="C27" s="22" t="str">
        <f t="array" ref="C27">IFERROR((INDEX(Table7[Nama Projek],MATCH(Table2456[[#This Row],[Column1]],Table7[Job '#],0))),"")</f>
        <v>Projek 7</v>
      </c>
      <c r="D27" s="19" t="s">
        <v>1</v>
      </c>
      <c r="E27" s="18"/>
      <c r="F27" s="18"/>
      <c r="G27" s="18"/>
      <c r="H27" s="18"/>
      <c r="I27" s="18"/>
      <c r="J27" s="18"/>
      <c r="K27" s="18"/>
      <c r="L27" s="34">
        <f t="shared" si="2"/>
        <v>0</v>
      </c>
      <c r="M27" s="23" t="s">
        <v>4</v>
      </c>
    </row>
    <row r="28" spans="2:13" ht="19.95" customHeight="1" x14ac:dyDescent="0.25">
      <c r="B28" s="22" t="s">
        <v>6</v>
      </c>
      <c r="C28" s="22" t="str">
        <f t="array" ref="C28">IFERROR((INDEX(Table7[Nama Projek],MATCH(Table2456[[#This Row],[Column1]],Table7[Job '#],0))),"")</f>
        <v>Projek 8</v>
      </c>
      <c r="D28" s="19" t="s">
        <v>2</v>
      </c>
      <c r="E28" s="18"/>
      <c r="F28" s="18"/>
      <c r="G28" s="18"/>
      <c r="H28" s="18"/>
      <c r="I28" s="18"/>
      <c r="J28" s="18"/>
      <c r="K28" s="18"/>
      <c r="L28" s="34">
        <f t="shared" si="2"/>
        <v>0</v>
      </c>
      <c r="M28" s="23" t="s">
        <v>7</v>
      </c>
    </row>
    <row r="29" spans="2:13" ht="19.95" customHeight="1" x14ac:dyDescent="0.25">
      <c r="B29" s="22" t="s">
        <v>6</v>
      </c>
      <c r="C29" s="22" t="str">
        <f t="array" ref="C29">IFERROR((INDEX(Table7[Nama Projek],MATCH(Table2456[[#This Row],[Column1]],Table7[Job '#],0))),"")</f>
        <v>Projek 8</v>
      </c>
      <c r="D29" s="19" t="s">
        <v>1</v>
      </c>
      <c r="E29" s="18"/>
      <c r="F29" s="18"/>
      <c r="G29" s="18"/>
      <c r="H29" s="18"/>
      <c r="I29" s="18"/>
      <c r="J29" s="18"/>
      <c r="K29" s="18"/>
      <c r="L29" s="34">
        <f t="shared" si="2"/>
        <v>0</v>
      </c>
      <c r="M29" s="23" t="s">
        <v>7</v>
      </c>
    </row>
    <row r="30" spans="2:13" ht="19.95" customHeight="1" x14ac:dyDescent="0.25">
      <c r="B30" s="22" t="s">
        <v>5</v>
      </c>
      <c r="C30" s="22" t="str">
        <f t="array" ref="C30">IFERROR((INDEX(Table7[Nama Projek],MATCH(Table2456[[#This Row],[Column1]],Table7[Job '#],0))),"")</f>
        <v>Projek 9</v>
      </c>
      <c r="D30" s="19" t="s">
        <v>2</v>
      </c>
      <c r="E30" s="18"/>
      <c r="F30" s="18"/>
      <c r="G30" s="18"/>
      <c r="H30" s="18"/>
      <c r="I30" s="18"/>
      <c r="J30" s="18"/>
      <c r="K30" s="18"/>
      <c r="L30" s="34">
        <f t="shared" si="2"/>
        <v>0</v>
      </c>
      <c r="M30" s="23" t="s">
        <v>14</v>
      </c>
    </row>
    <row r="31" spans="2:13" ht="19.95" customHeight="1" x14ac:dyDescent="0.25">
      <c r="B31" s="22" t="s">
        <v>5</v>
      </c>
      <c r="C31" s="22" t="str">
        <f t="array" ref="C31">IFERROR((INDEX(Table7[Nama Projek],MATCH(Table2456[[#This Row],[Column1]],Table7[Job '#],0))),"")</f>
        <v>Projek 9</v>
      </c>
      <c r="D31" s="19" t="s">
        <v>1</v>
      </c>
      <c r="E31" s="18"/>
      <c r="F31" s="18"/>
      <c r="G31" s="18"/>
      <c r="H31" s="18"/>
      <c r="I31" s="18"/>
      <c r="J31" s="18"/>
      <c r="K31" s="18"/>
      <c r="L31" s="34">
        <f t="shared" si="2"/>
        <v>0</v>
      </c>
      <c r="M31" s="23" t="s">
        <v>14</v>
      </c>
    </row>
    <row r="32" spans="2:13" ht="19.95" customHeight="1" x14ac:dyDescent="0.25">
      <c r="B32" s="22" t="s">
        <v>5</v>
      </c>
      <c r="C32" s="22" t="str">
        <f t="array" ref="C32">IFERROR((INDEX(Table7[Nama Projek],MATCH(Table2456[[#This Row],[Column1]],Table7[Job '#],0))),"")</f>
        <v>Projek 9</v>
      </c>
      <c r="D32" s="19" t="s">
        <v>2</v>
      </c>
      <c r="E32" s="18"/>
      <c r="F32" s="18"/>
      <c r="G32" s="18"/>
      <c r="H32" s="18"/>
      <c r="I32" s="18"/>
      <c r="J32" s="18"/>
      <c r="K32" s="18"/>
      <c r="L32" s="34">
        <f t="shared" si="2"/>
        <v>0</v>
      </c>
      <c r="M32" s="23" t="s">
        <v>9</v>
      </c>
    </row>
    <row r="33" spans="2:13" ht="19.95" customHeight="1" x14ac:dyDescent="0.25">
      <c r="B33" s="22" t="s">
        <v>35</v>
      </c>
      <c r="C33" s="22" t="str">
        <f t="array" ref="C33">IFERROR((INDEX(Table7[Nama Projek],MATCH(Table2456[[#This Row],[Column1]],Table7[Job '#],0))),"")</f>
        <v>Projek 10</v>
      </c>
      <c r="D33" s="19" t="s">
        <v>2</v>
      </c>
      <c r="E33" s="18"/>
      <c r="F33" s="18"/>
      <c r="G33" s="18"/>
      <c r="H33" s="18"/>
      <c r="I33" s="18"/>
      <c r="J33" s="18"/>
      <c r="K33" s="18"/>
      <c r="L33" s="34">
        <f t="shared" si="2"/>
        <v>0</v>
      </c>
      <c r="M33" s="23" t="s">
        <v>36</v>
      </c>
    </row>
    <row r="34" spans="2:13" ht="19.95" customHeight="1" x14ac:dyDescent="0.25">
      <c r="B34" s="22" t="s">
        <v>35</v>
      </c>
      <c r="C34" s="22" t="str">
        <f t="array" ref="C34">IFERROR((INDEX(Table7[Nama Projek],MATCH(Table2456[[#This Row],[Column1]],Table7[Job '#],0))),"")</f>
        <v>Projek 10</v>
      </c>
      <c r="D34" s="19" t="s">
        <v>1</v>
      </c>
      <c r="E34" s="18"/>
      <c r="F34" s="18"/>
      <c r="G34" s="18"/>
      <c r="H34" s="18"/>
      <c r="I34" s="18"/>
      <c r="J34" s="18"/>
      <c r="K34" s="18"/>
      <c r="L34" s="34">
        <f t="shared" si="2"/>
        <v>0</v>
      </c>
      <c r="M34" s="23" t="s">
        <v>36</v>
      </c>
    </row>
    <row r="35" spans="2:13" ht="19.95" customHeight="1" x14ac:dyDescent="0.25">
      <c r="B35" s="22" t="s">
        <v>52</v>
      </c>
      <c r="C35" s="22" t="str">
        <f t="array" ref="C35">IFERROR((INDEX(Table7[Nama Projek],MATCH(Table2456[[#This Row],[Column1]],Table7[Job '#],0))),"")</f>
        <v>Projek 11</v>
      </c>
      <c r="D35" s="19" t="s">
        <v>2</v>
      </c>
      <c r="E35" s="18"/>
      <c r="F35" s="18"/>
      <c r="G35" s="18"/>
      <c r="H35" s="18"/>
      <c r="I35" s="18"/>
      <c r="J35" s="18"/>
      <c r="K35" s="18"/>
      <c r="L35" s="34">
        <f t="shared" si="2"/>
        <v>0</v>
      </c>
      <c r="M35" s="23" t="s">
        <v>53</v>
      </c>
    </row>
    <row r="36" spans="2:13" ht="19.95" customHeight="1" x14ac:dyDescent="0.25">
      <c r="B36" s="22" t="s">
        <v>52</v>
      </c>
      <c r="C36" s="22" t="str">
        <f t="array" ref="C36">IFERROR((INDEX(Table7[Nama Projek],MATCH(Table2456[[#This Row],[Column1]],Table7[Job '#],0))),"")</f>
        <v>Projek 11</v>
      </c>
      <c r="D36" s="19" t="s">
        <v>1</v>
      </c>
      <c r="E36" s="18">
        <v>4</v>
      </c>
      <c r="F36" s="18"/>
      <c r="G36" s="18"/>
      <c r="H36" s="18"/>
      <c r="I36" s="18"/>
      <c r="J36" s="18"/>
      <c r="K36" s="18"/>
      <c r="L36" s="34">
        <f t="shared" si="2"/>
        <v>4</v>
      </c>
      <c r="M36" s="23" t="s">
        <v>53</v>
      </c>
    </row>
    <row r="37" spans="2:13" ht="19.95" customHeight="1" x14ac:dyDescent="0.25">
      <c r="B37" s="22" t="s">
        <v>43</v>
      </c>
      <c r="C37" s="22" t="str">
        <f t="array" ref="C37">IFERROR((INDEX(Table7[Nama Projek],MATCH(Table2456[[#This Row],[Column1]],Table7[Job '#],0))),"")</f>
        <v>Projek 12</v>
      </c>
      <c r="D37" s="19" t="s">
        <v>2</v>
      </c>
      <c r="E37" s="18"/>
      <c r="F37" s="18"/>
      <c r="G37" s="18"/>
      <c r="H37" s="18"/>
      <c r="I37" s="18"/>
      <c r="J37" s="18"/>
      <c r="K37" s="18"/>
      <c r="L37" s="34">
        <f t="shared" si="2"/>
        <v>0</v>
      </c>
      <c r="M37" s="23" t="s">
        <v>13</v>
      </c>
    </row>
    <row r="38" spans="2:13" ht="19.95" customHeight="1" x14ac:dyDescent="0.25">
      <c r="B38" s="22" t="s">
        <v>43</v>
      </c>
      <c r="C38" s="22" t="str">
        <f t="array" ref="C38">IFERROR((INDEX(Table7[Nama Projek],MATCH(Table2456[[#This Row],[Column1]],Table7[Job '#],0))),"")</f>
        <v>Projek 12</v>
      </c>
      <c r="D38" s="19" t="s">
        <v>1</v>
      </c>
      <c r="E38" s="18"/>
      <c r="F38" s="18"/>
      <c r="G38" s="18"/>
      <c r="H38" s="18"/>
      <c r="I38" s="18"/>
      <c r="J38" s="18"/>
      <c r="K38" s="18"/>
      <c r="L38" s="34">
        <f t="shared" si="2"/>
        <v>0</v>
      </c>
      <c r="M38" s="23" t="s">
        <v>13</v>
      </c>
    </row>
    <row r="39" spans="2:13" ht="19.95" customHeight="1" x14ac:dyDescent="0.25">
      <c r="B39" s="22" t="s">
        <v>33</v>
      </c>
      <c r="C39" s="22" t="str">
        <f t="array" ref="C39">IFERROR((INDEX(Table7[Nama Projek],MATCH(Table2456[[#This Row],[Column1]],Table7[Job '#],0))),"")</f>
        <v>Projek 13</v>
      </c>
      <c r="D39" s="19" t="s">
        <v>2</v>
      </c>
      <c r="E39" s="18"/>
      <c r="F39" s="18"/>
      <c r="G39" s="18"/>
      <c r="H39" s="18"/>
      <c r="I39" s="18"/>
      <c r="J39" s="18"/>
      <c r="K39" s="18"/>
      <c r="L39" s="34">
        <f t="shared" si="2"/>
        <v>0</v>
      </c>
      <c r="M39" s="23" t="s">
        <v>34</v>
      </c>
    </row>
    <row r="40" spans="2:13" ht="19.95" customHeight="1" x14ac:dyDescent="0.25">
      <c r="B40" s="22" t="s">
        <v>33</v>
      </c>
      <c r="C40" s="22" t="str">
        <f t="array" ref="C40">IFERROR((INDEX(Table7[Nama Projek],MATCH(Table2456[[#This Row],[Column1]],Table7[Job '#],0))),"")</f>
        <v>Projek 13</v>
      </c>
      <c r="D40" s="19" t="s">
        <v>1</v>
      </c>
      <c r="E40" s="18"/>
      <c r="F40" s="18"/>
      <c r="G40" s="18"/>
      <c r="H40" s="18"/>
      <c r="I40" s="18"/>
      <c r="J40" s="18"/>
      <c r="K40" s="18"/>
      <c r="L40" s="34">
        <f t="shared" si="2"/>
        <v>0</v>
      </c>
      <c r="M40" s="23" t="s">
        <v>34</v>
      </c>
    </row>
    <row r="41" spans="2:13" ht="19.95" customHeight="1" x14ac:dyDescent="0.25">
      <c r="B41" s="22" t="s">
        <v>22</v>
      </c>
      <c r="C41" s="22" t="str">
        <f t="array" ref="C41">IFERROR((INDEX(Table7[Nama Projek],MATCH(Table2456[[#This Row],[Column1]],Table7[Job '#],0))),"")</f>
        <v>Projek 14</v>
      </c>
      <c r="D41" s="19" t="s">
        <v>2</v>
      </c>
      <c r="E41" s="18"/>
      <c r="F41" s="18"/>
      <c r="G41" s="18"/>
      <c r="H41" s="18"/>
      <c r="I41" s="18"/>
      <c r="J41" s="18"/>
      <c r="K41" s="18"/>
      <c r="L41" s="34">
        <f t="shared" si="2"/>
        <v>0</v>
      </c>
      <c r="M41" s="23" t="s">
        <v>23</v>
      </c>
    </row>
    <row r="42" spans="2:13" ht="19.95" customHeight="1" x14ac:dyDescent="0.25">
      <c r="B42" s="22" t="s">
        <v>22</v>
      </c>
      <c r="C42" s="22" t="str">
        <f t="array" ref="C42">IFERROR((INDEX(Table7[Nama Projek],MATCH(Table2456[[#This Row],[Column1]],Table7[Job '#],0))),"")</f>
        <v>Projek 14</v>
      </c>
      <c r="D42" s="19" t="s">
        <v>1</v>
      </c>
      <c r="E42" s="18"/>
      <c r="F42" s="18"/>
      <c r="G42" s="18"/>
      <c r="H42" s="18"/>
      <c r="I42" s="18"/>
      <c r="J42" s="18"/>
      <c r="K42" s="18"/>
      <c r="L42" s="34">
        <f t="shared" si="2"/>
        <v>0</v>
      </c>
      <c r="M42" s="23" t="s">
        <v>23</v>
      </c>
    </row>
    <row r="43" spans="2:13" ht="19.95" customHeight="1" x14ac:dyDescent="0.25">
      <c r="B43" s="22" t="s">
        <v>24</v>
      </c>
      <c r="C43" s="22" t="str">
        <f t="array" ref="C43">IFERROR((INDEX(Table7[Nama Projek],MATCH(Table2456[[#This Row],[Column1]],Table7[Job '#],0))),"")</f>
        <v>Projek 15</v>
      </c>
      <c r="D43" s="19" t="s">
        <v>25</v>
      </c>
      <c r="E43" s="18"/>
      <c r="F43" s="18"/>
      <c r="G43" s="18"/>
      <c r="H43" s="18"/>
      <c r="I43" s="18"/>
      <c r="J43" s="18"/>
      <c r="K43" s="18"/>
      <c r="L43" s="34">
        <f>SUM(E43:K43)</f>
        <v>0</v>
      </c>
      <c r="M43" s="23" t="s">
        <v>26</v>
      </c>
    </row>
    <row r="44" spans="2:13" ht="19.95" customHeight="1" x14ac:dyDescent="0.25">
      <c r="B44" s="22" t="s">
        <v>18</v>
      </c>
      <c r="C44" s="22" t="str">
        <f t="array" ref="C44">IFERROR((INDEX(Table7[Nama Projek],MATCH(Table2456[[#This Row],[Column1]],Table7[Job '#],0))),"")</f>
        <v>Projek 16</v>
      </c>
      <c r="D44" s="19" t="s">
        <v>2</v>
      </c>
      <c r="E44" s="18"/>
      <c r="F44" s="18"/>
      <c r="G44" s="18"/>
      <c r="H44" s="18"/>
      <c r="I44" s="18"/>
      <c r="J44" s="18"/>
      <c r="K44" s="18"/>
      <c r="L44" s="34">
        <f t="shared" ref="L44:L59" si="3">SUM(E44:K44)</f>
        <v>0</v>
      </c>
      <c r="M44" s="23" t="s">
        <v>19</v>
      </c>
    </row>
    <row r="45" spans="2:13" ht="19.95" customHeight="1" x14ac:dyDescent="0.25">
      <c r="B45" s="22" t="s">
        <v>30</v>
      </c>
      <c r="C45" s="22" t="str">
        <f t="array" ref="C45">IFERROR((INDEX(Table7[Nama Projek],MATCH(Table2456[[#This Row],[Column1]],Table7[Job '#],0))),"")</f>
        <v>Projek 17</v>
      </c>
      <c r="D45" s="19" t="s">
        <v>2</v>
      </c>
      <c r="E45" s="18"/>
      <c r="F45" s="18"/>
      <c r="G45" s="18"/>
      <c r="H45" s="18"/>
      <c r="I45" s="18"/>
      <c r="J45" s="18"/>
      <c r="K45" s="18"/>
      <c r="L45" s="34">
        <f t="shared" si="3"/>
        <v>0</v>
      </c>
      <c r="M45" s="23" t="s">
        <v>31</v>
      </c>
    </row>
    <row r="46" spans="2:13" ht="19.95" customHeight="1" x14ac:dyDescent="0.25">
      <c r="B46" s="22" t="s">
        <v>30</v>
      </c>
      <c r="C46" s="22" t="str">
        <f t="array" ref="C46">IFERROR((INDEX(Table7[Nama Projek],MATCH(Table2456[[#This Row],[Column1]],Table7[Job '#],0))),"")</f>
        <v>Projek 17</v>
      </c>
      <c r="D46" s="19" t="s">
        <v>1</v>
      </c>
      <c r="E46" s="18"/>
      <c r="F46" s="18"/>
      <c r="G46" s="18"/>
      <c r="H46" s="18"/>
      <c r="I46" s="18"/>
      <c r="J46" s="18"/>
      <c r="K46" s="18"/>
      <c r="L46" s="34">
        <f t="shared" si="3"/>
        <v>0</v>
      </c>
      <c r="M46" s="23" t="s">
        <v>31</v>
      </c>
    </row>
    <row r="47" spans="2:13" ht="19.95" customHeight="1" x14ac:dyDescent="0.25">
      <c r="B47" s="22" t="s">
        <v>45</v>
      </c>
      <c r="C47" s="22" t="str">
        <f t="array" ref="C47">IFERROR((INDEX(Table7[Nama Projek],MATCH(Table2456[[#This Row],[Column1]],Table7[Job '#],0))),"")</f>
        <v>Projek 18</v>
      </c>
      <c r="D47" s="19" t="s">
        <v>2</v>
      </c>
      <c r="E47" s="18"/>
      <c r="F47" s="18"/>
      <c r="G47" s="18"/>
      <c r="H47" s="18"/>
      <c r="I47" s="18"/>
      <c r="J47" s="18"/>
      <c r="K47" s="18"/>
      <c r="L47" s="34">
        <f t="shared" si="3"/>
        <v>0</v>
      </c>
      <c r="M47" s="23" t="s">
        <v>42</v>
      </c>
    </row>
    <row r="48" spans="2:13" ht="19.95" customHeight="1" x14ac:dyDescent="0.25">
      <c r="B48" s="22" t="s">
        <v>45</v>
      </c>
      <c r="C48" s="22" t="str">
        <f t="array" ref="C48">IFERROR((INDEX(Table7[Nama Projek],MATCH(Table2456[[#This Row],[Column1]],Table7[Job '#],0))),"")</f>
        <v>Projek 18</v>
      </c>
      <c r="D48" s="19" t="s">
        <v>1</v>
      </c>
      <c r="E48" s="18"/>
      <c r="F48" s="18"/>
      <c r="G48" s="18"/>
      <c r="H48" s="18"/>
      <c r="I48" s="18"/>
      <c r="J48" s="18"/>
      <c r="K48" s="18"/>
      <c r="L48" s="34">
        <f t="shared" si="3"/>
        <v>0</v>
      </c>
      <c r="M48" s="23" t="s">
        <v>42</v>
      </c>
    </row>
    <row r="49" spans="1:14" ht="19.95" customHeight="1" x14ac:dyDescent="0.25">
      <c r="B49" s="22" t="s">
        <v>48</v>
      </c>
      <c r="C49" s="22" t="str">
        <f t="array" ref="C49">IFERROR((INDEX(Table7[Nama Projek],MATCH(Table2456[[#This Row],[Column1]],Table7[Job '#],0))),"")</f>
        <v>Projek 19</v>
      </c>
      <c r="D49" s="19" t="s">
        <v>2</v>
      </c>
      <c r="E49" s="18"/>
      <c r="F49" s="18"/>
      <c r="G49" s="18"/>
      <c r="H49" s="18"/>
      <c r="I49" s="18"/>
      <c r="J49" s="18"/>
      <c r="K49" s="18"/>
      <c r="L49" s="34">
        <f t="shared" si="3"/>
        <v>0</v>
      </c>
      <c r="M49" s="23" t="s">
        <v>49</v>
      </c>
    </row>
    <row r="50" spans="1:14" ht="19.95" customHeight="1" x14ac:dyDescent="0.25">
      <c r="B50" s="22" t="s">
        <v>40</v>
      </c>
      <c r="C50" s="22" t="str">
        <f t="array" ref="C50">IFERROR((INDEX(Table7[Nama Projek],MATCH(Table2456[[#This Row],[Column1]],Table7[Job '#],0))),"")</f>
        <v>Projek 20</v>
      </c>
      <c r="D50" s="19" t="s">
        <v>2</v>
      </c>
      <c r="E50" s="18"/>
      <c r="F50" s="18"/>
      <c r="G50" s="18"/>
      <c r="H50" s="18"/>
      <c r="I50" s="18"/>
      <c r="J50" s="18"/>
      <c r="K50" s="18"/>
      <c r="L50" s="34">
        <f t="shared" si="3"/>
        <v>0</v>
      </c>
      <c r="M50" s="23" t="s">
        <v>41</v>
      </c>
    </row>
    <row r="51" spans="1:14" ht="19.95" customHeight="1" x14ac:dyDescent="0.25">
      <c r="B51" s="22" t="s">
        <v>51</v>
      </c>
      <c r="C51" s="22" t="str">
        <f t="array" ref="C51">IFERROR((INDEX(Table7[Nama Projek],MATCH(Table2456[[#This Row],[Column1]],Table7[Job '#],0))),"")</f>
        <v>Projek 21</v>
      </c>
      <c r="D51" s="19" t="s">
        <v>2</v>
      </c>
      <c r="E51" s="18"/>
      <c r="F51" s="18"/>
      <c r="G51" s="18"/>
      <c r="H51" s="18"/>
      <c r="I51" s="18"/>
      <c r="J51" s="18"/>
      <c r="K51" s="18"/>
      <c r="L51" s="34">
        <f t="shared" si="3"/>
        <v>0</v>
      </c>
      <c r="M51" s="23" t="s">
        <v>50</v>
      </c>
    </row>
    <row r="52" spans="1:14" ht="19.95" customHeight="1" x14ac:dyDescent="0.25">
      <c r="B52" s="22" t="s">
        <v>51</v>
      </c>
      <c r="C52" s="22" t="str">
        <f t="array" ref="C52">IFERROR((INDEX(Table7[Nama Projek],MATCH(Table2456[[#This Row],[Column1]],Table7[Job '#],0))),"")</f>
        <v>Projek 21</v>
      </c>
      <c r="D52" s="19" t="s">
        <v>1</v>
      </c>
      <c r="E52" s="18"/>
      <c r="F52" s="18"/>
      <c r="G52" s="18"/>
      <c r="H52" s="18"/>
      <c r="I52" s="18"/>
      <c r="J52" s="18"/>
      <c r="K52" s="18"/>
      <c r="L52" s="34">
        <f t="shared" si="3"/>
        <v>0</v>
      </c>
      <c r="M52" s="23" t="s">
        <v>50</v>
      </c>
    </row>
    <row r="53" spans="1:14" ht="19.95" customHeight="1" x14ac:dyDescent="0.25">
      <c r="B53" s="22" t="s">
        <v>44</v>
      </c>
      <c r="C53" s="22" t="str">
        <f t="array" ref="C53">IFERROR((INDEX(Table7[Nama Projek],MATCH(Table2456[[#This Row],[Column1]],Table7[Job '#],0))),"")</f>
        <v>Projek 22</v>
      </c>
      <c r="D53" s="19" t="s">
        <v>2</v>
      </c>
      <c r="E53" s="18"/>
      <c r="F53" s="18"/>
      <c r="G53" s="18"/>
      <c r="H53" s="18"/>
      <c r="I53" s="18"/>
      <c r="J53" s="18"/>
      <c r="K53" s="18"/>
      <c r="L53" s="34">
        <f t="shared" si="3"/>
        <v>0</v>
      </c>
      <c r="M53" s="23" t="s">
        <v>38</v>
      </c>
    </row>
    <row r="54" spans="1:14" ht="19.95" customHeight="1" x14ac:dyDescent="0.25">
      <c r="B54" s="22" t="s">
        <v>44</v>
      </c>
      <c r="C54" s="22" t="str">
        <f t="array" ref="C54">IFERROR((INDEX(Table7[Nama Projek],MATCH(Table2456[[#This Row],[Column1]],Table7[Job '#],0))),"")</f>
        <v>Projek 22</v>
      </c>
      <c r="D54" s="19" t="s">
        <v>1</v>
      </c>
      <c r="E54" s="18"/>
      <c r="F54" s="18"/>
      <c r="G54" s="18"/>
      <c r="H54" s="18"/>
      <c r="I54" s="18"/>
      <c r="J54" s="18"/>
      <c r="K54" s="18"/>
      <c r="L54" s="34">
        <f t="shared" si="3"/>
        <v>0</v>
      </c>
      <c r="M54" s="23" t="s">
        <v>38</v>
      </c>
    </row>
    <row r="55" spans="1:14" ht="19.95" customHeight="1" x14ac:dyDescent="0.25">
      <c r="B55" s="22" t="s">
        <v>37</v>
      </c>
      <c r="C55" s="22" t="str">
        <f t="array" ref="C55">IFERROR((INDEX(Table7[Nama Projek],MATCH(Table2456[[#This Row],[Column1]],Table7[Job '#],0))),"")</f>
        <v>Projek 23</v>
      </c>
      <c r="D55" s="19" t="s">
        <v>2</v>
      </c>
      <c r="E55" s="18"/>
      <c r="F55" s="18"/>
      <c r="G55" s="18"/>
      <c r="H55" s="18"/>
      <c r="I55" s="18"/>
      <c r="J55" s="18"/>
      <c r="K55" s="18"/>
      <c r="L55" s="34">
        <f t="shared" si="3"/>
        <v>0</v>
      </c>
      <c r="M55" s="23" t="s">
        <v>39</v>
      </c>
    </row>
    <row r="56" spans="1:14" ht="19.95" customHeight="1" x14ac:dyDescent="0.25">
      <c r="B56" s="22" t="s">
        <v>37</v>
      </c>
      <c r="C56" s="22" t="str">
        <f t="array" ref="C56">IFERROR((INDEX(Table7[Nama Projek],MATCH(Table2456[[#This Row],[Column1]],Table7[Job '#],0))),"")</f>
        <v>Projek 23</v>
      </c>
      <c r="D56" s="19" t="s">
        <v>1</v>
      </c>
      <c r="E56" s="18"/>
      <c r="F56" s="18"/>
      <c r="G56" s="18"/>
      <c r="H56" s="18"/>
      <c r="I56" s="18"/>
      <c r="J56" s="18"/>
      <c r="K56" s="18"/>
      <c r="L56" s="34">
        <f t="shared" si="3"/>
        <v>0</v>
      </c>
      <c r="M56" s="23" t="s">
        <v>39</v>
      </c>
    </row>
    <row r="57" spans="1:14" ht="19.95" customHeight="1" x14ac:dyDescent="0.25">
      <c r="B57" s="22" t="s">
        <v>46</v>
      </c>
      <c r="C57" s="22" t="str">
        <f t="array" ref="C57">IFERROR((INDEX(Table7[Nama Projek],MATCH(Table2456[[#This Row],[Column1]],Table7[Job '#],0))),"")</f>
        <v>Projek 24</v>
      </c>
      <c r="D57" s="19" t="s">
        <v>2</v>
      </c>
      <c r="E57" s="18"/>
      <c r="F57" s="18"/>
      <c r="G57" s="18"/>
      <c r="H57" s="18"/>
      <c r="I57" s="18"/>
      <c r="J57" s="18"/>
      <c r="K57" s="18"/>
      <c r="L57" s="34">
        <f t="shared" si="3"/>
        <v>0</v>
      </c>
      <c r="M57" s="23" t="s">
        <v>47</v>
      </c>
    </row>
    <row r="58" spans="1:14" ht="19.95" customHeight="1" x14ac:dyDescent="0.25">
      <c r="B58" s="22" t="s">
        <v>46</v>
      </c>
      <c r="C58" s="22" t="str">
        <f t="array" ref="C58">IFERROR((INDEX(Table7[Nama Projek],MATCH(Table2456[[#This Row],[Column1]],Table7[Job '#],0))),"")</f>
        <v>Projek 24</v>
      </c>
      <c r="D58" s="19" t="s">
        <v>1</v>
      </c>
      <c r="E58" s="18">
        <v>2</v>
      </c>
      <c r="F58" s="18"/>
      <c r="G58" s="18"/>
      <c r="H58" s="18"/>
      <c r="I58" s="18"/>
      <c r="J58" s="18"/>
      <c r="K58" s="18"/>
      <c r="L58" s="34">
        <f t="shared" si="3"/>
        <v>2</v>
      </c>
      <c r="M58" s="23" t="s">
        <v>47</v>
      </c>
    </row>
    <row r="59" spans="1:14" ht="19.95" customHeight="1" x14ac:dyDescent="0.25">
      <c r="B59" s="22"/>
      <c r="C59" s="22" t="str">
        <f t="array" ref="C59">IFERROR((INDEX(Table7[Nama Projek],MATCH(Table2456[[#This Row],[Column1]],Table7[Job '#],0))),"")</f>
        <v/>
      </c>
      <c r="D59" s="19" t="s">
        <v>2</v>
      </c>
      <c r="E59" s="18"/>
      <c r="F59" s="18"/>
      <c r="G59" s="18"/>
      <c r="H59" s="18"/>
      <c r="I59" s="18"/>
      <c r="J59" s="18"/>
      <c r="K59" s="18"/>
      <c r="L59" s="34">
        <f t="shared" si="3"/>
        <v>0</v>
      </c>
      <c r="M59" s="23"/>
    </row>
    <row r="60" spans="1:14" ht="19.95" customHeight="1" x14ac:dyDescent="0.25">
      <c r="B60" s="24"/>
      <c r="C60" s="22" t="str">
        <f t="array" ref="C60">IFERROR((INDEX(Table7[Nama Projek],MATCH(Table2456[[#This Row],[Column1]],Table7[Job '#],0))),"")</f>
        <v/>
      </c>
      <c r="D60" s="25" t="s">
        <v>25</v>
      </c>
      <c r="E60" s="26"/>
      <c r="F60" s="26"/>
      <c r="G60" s="26"/>
      <c r="H60" s="26"/>
      <c r="I60" s="26"/>
      <c r="J60" s="26"/>
      <c r="K60" s="26"/>
      <c r="L60" s="35"/>
      <c r="M60" s="27"/>
    </row>
    <row r="61" spans="1:14" s="28" customFormat="1" ht="19.95" customHeight="1" x14ac:dyDescent="0.25">
      <c r="B61" s="29"/>
      <c r="C61" s="29"/>
      <c r="D61" s="30"/>
      <c r="E61" s="29"/>
      <c r="F61" s="29"/>
      <c r="G61" s="29"/>
      <c r="H61" s="29"/>
      <c r="I61" s="29"/>
      <c r="J61" s="29"/>
      <c r="K61" s="29"/>
      <c r="L61" s="31"/>
    </row>
    <row r="62" spans="1:14" ht="19.95" customHeight="1" thickBot="1" x14ac:dyDescent="0.3">
      <c r="B62" s="72" t="s">
        <v>54</v>
      </c>
      <c r="C62" s="72"/>
      <c r="D62" s="72"/>
      <c r="E62" s="20">
        <f t="shared" ref="E62:K62" si="4">SUM(E12:E60)</f>
        <v>11</v>
      </c>
      <c r="F62" s="20">
        <f t="shared" si="4"/>
        <v>66</v>
      </c>
      <c r="G62" s="20">
        <f t="shared" si="4"/>
        <v>11</v>
      </c>
      <c r="H62" s="20">
        <f t="shared" si="4"/>
        <v>0</v>
      </c>
      <c r="I62" s="20">
        <f t="shared" si="4"/>
        <v>0</v>
      </c>
      <c r="J62" s="20">
        <f t="shared" si="4"/>
        <v>0</v>
      </c>
      <c r="K62" s="20">
        <f t="shared" si="4"/>
        <v>0</v>
      </c>
    </row>
    <row r="63" spans="1:14" s="9" customFormat="1" ht="19.95" customHeight="1" thickTop="1" x14ac:dyDescent="0.25">
      <c r="A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</sheetData>
  <mergeCells count="10">
    <mergeCell ref="L9:L11"/>
    <mergeCell ref="M9:M11"/>
    <mergeCell ref="B62:D62"/>
    <mergeCell ref="B2:F2"/>
    <mergeCell ref="B3:E3"/>
    <mergeCell ref="F6:G6"/>
    <mergeCell ref="B9:B11"/>
    <mergeCell ref="D9:D11"/>
    <mergeCell ref="E9:K9"/>
    <mergeCell ref="C9:C11"/>
  </mergeCells>
  <printOptions horizontalCentered="1"/>
  <pageMargins left="0" right="0" top="0.25" bottom="0" header="0.5" footer="0.5"/>
  <pageSetup scale="75" orientation="landscape" r:id="rId1"/>
  <headerFooter alignWithMargins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'(Drop Down) Data Base '!$B$5:$B$50</xm:f>
          </x14:formula1>
          <xm:sqref>B12:B60</xm:sqref>
        </x14:dataValidation>
        <x14:dataValidation type="list" allowBlank="1" showInputMessage="1" showErrorMessage="1" xr:uid="{00000000-0002-0000-0500-000001000000}">
          <x14:formula1>
            <xm:f>'(Drop Down) Data Base '!$D$5:$D$29</xm:f>
          </x14:formula1>
          <xm:sqref>D12:D60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3"/>
  <sheetViews>
    <sheetView showGridLines="0" showRowColHeaders="0" zoomScaleNormal="100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M12" sqref="M12"/>
    </sheetView>
  </sheetViews>
  <sheetFormatPr defaultRowHeight="19.95" customHeight="1" x14ac:dyDescent="0.25"/>
  <cols>
    <col min="1" max="1" width="1.109375" style="4" customWidth="1"/>
    <col min="2" max="3" width="14.88671875" style="9" customWidth="1"/>
    <col min="4" max="4" width="16.5546875" style="4" customWidth="1"/>
    <col min="5" max="11" width="12.21875" style="4" customWidth="1"/>
    <col min="12" max="12" width="11.44140625" style="4" customWidth="1"/>
    <col min="13" max="13" width="52" style="4" bestFit="1" customWidth="1"/>
    <col min="14" max="14" width="1.109375" style="4" customWidth="1"/>
    <col min="15" max="15" width="6.109375" style="4" customWidth="1"/>
    <col min="16" max="16384" width="8.88671875" style="4"/>
  </cols>
  <sheetData>
    <row r="1" spans="2:14" ht="13.2" x14ac:dyDescent="0.25"/>
    <row r="2" spans="2:14" ht="31.8" x14ac:dyDescent="0.25">
      <c r="B2" s="73" t="s">
        <v>60</v>
      </c>
      <c r="C2" s="73"/>
      <c r="D2" s="73"/>
      <c r="E2" s="73"/>
      <c r="F2" s="73"/>
    </row>
    <row r="3" spans="2:14" ht="21" customHeight="1" x14ac:dyDescent="0.35">
      <c r="B3" s="74" t="s">
        <v>101</v>
      </c>
      <c r="C3" s="74"/>
      <c r="D3" s="74"/>
      <c r="E3" s="74"/>
      <c r="F3" s="13"/>
      <c r="G3" s="3"/>
      <c r="H3" s="3"/>
      <c r="I3" s="3"/>
      <c r="J3" s="3"/>
      <c r="K3" s="3"/>
      <c r="L3" s="3"/>
      <c r="M3" s="3"/>
    </row>
    <row r="4" spans="2:14" ht="13.2" x14ac:dyDescent="0.25">
      <c r="E4" s="14"/>
      <c r="F4" s="14"/>
    </row>
    <row r="5" spans="2:14" ht="9" customHeight="1" x14ac:dyDescent="0.25">
      <c r="B5" s="5"/>
      <c r="C5" s="5"/>
    </row>
    <row r="6" spans="2:14" ht="21" customHeight="1" x14ac:dyDescent="0.25">
      <c r="B6" s="16" t="s">
        <v>96</v>
      </c>
      <c r="C6" s="33" t="s">
        <v>59</v>
      </c>
      <c r="E6" s="6"/>
      <c r="F6" s="75"/>
      <c r="G6" s="75"/>
      <c r="H6" s="6"/>
      <c r="I6" s="11"/>
      <c r="J6" s="7"/>
      <c r="K6" s="7"/>
      <c r="L6" s="11"/>
    </row>
    <row r="7" spans="2:14" ht="21" customHeight="1" x14ac:dyDescent="0.3">
      <c r="B7" s="15" t="s">
        <v>102</v>
      </c>
      <c r="C7" s="32">
        <f>IFERROR((IF(MONTH('1st week'!K10)=MONTH('1st week'!K10+1),('1st week'!K10+1),"")),"")</f>
        <v>44750</v>
      </c>
      <c r="E7" s="6"/>
      <c r="F7" s="10"/>
      <c r="G7" s="10"/>
      <c r="H7" s="6"/>
      <c r="I7" s="11"/>
      <c r="J7" s="7"/>
      <c r="K7" s="7"/>
      <c r="L7" s="11"/>
    </row>
    <row r="8" spans="2:14" ht="15.6" x14ac:dyDescent="0.25">
      <c r="B8" s="12"/>
      <c r="C8" s="12"/>
    </row>
    <row r="9" spans="2:14" ht="24" customHeight="1" x14ac:dyDescent="0.25">
      <c r="B9" s="71" t="s">
        <v>0</v>
      </c>
      <c r="C9" s="76" t="s">
        <v>70</v>
      </c>
      <c r="D9" s="71" t="s">
        <v>103</v>
      </c>
      <c r="E9" s="71" t="s">
        <v>98</v>
      </c>
      <c r="F9" s="71"/>
      <c r="G9" s="71"/>
      <c r="H9" s="71"/>
      <c r="I9" s="71"/>
      <c r="J9" s="71"/>
      <c r="K9" s="71"/>
      <c r="L9" s="71" t="s">
        <v>99</v>
      </c>
      <c r="M9" s="71" t="s">
        <v>100</v>
      </c>
    </row>
    <row r="10" spans="2:14" ht="24" customHeight="1" x14ac:dyDescent="0.25">
      <c r="B10" s="71"/>
      <c r="C10" s="77"/>
      <c r="D10" s="71"/>
      <c r="E10" s="21">
        <f>C7</f>
        <v>44750</v>
      </c>
      <c r="F10" s="21">
        <f>IFERROR((IF(MONTH(E10)=MONTH(E10+1),E10+1," ")),"")</f>
        <v>44751</v>
      </c>
      <c r="G10" s="21">
        <f t="shared" ref="G10:K10" si="0">IFERROR((IF(MONTH(F10)=MONTH(F10+1),F10+1," ")),"")</f>
        <v>44752</v>
      </c>
      <c r="H10" s="21">
        <f t="shared" si="0"/>
        <v>44753</v>
      </c>
      <c r="I10" s="21">
        <f t="shared" si="0"/>
        <v>44754</v>
      </c>
      <c r="J10" s="21">
        <f t="shared" si="0"/>
        <v>44755</v>
      </c>
      <c r="K10" s="21">
        <f t="shared" si="0"/>
        <v>44756</v>
      </c>
      <c r="L10" s="71"/>
      <c r="M10" s="71"/>
    </row>
    <row r="11" spans="2:14" ht="24" customHeight="1" x14ac:dyDescent="0.25">
      <c r="B11" s="71"/>
      <c r="C11" s="78"/>
      <c r="D11" s="71"/>
      <c r="E11" s="17" t="str">
        <f>TEXT(E10,"DDDD")</f>
        <v>Friday</v>
      </c>
      <c r="F11" s="17" t="str">
        <f t="shared" ref="F11:K11" si="1">TEXT(F10,"DDDD")</f>
        <v>Saturday</v>
      </c>
      <c r="G11" s="17" t="str">
        <f t="shared" si="1"/>
        <v>Sunday</v>
      </c>
      <c r="H11" s="17" t="str">
        <f t="shared" si="1"/>
        <v>Monday</v>
      </c>
      <c r="I11" s="17" t="str">
        <f t="shared" si="1"/>
        <v>Tuesday</v>
      </c>
      <c r="J11" s="17" t="str">
        <f t="shared" si="1"/>
        <v>Wednesday</v>
      </c>
      <c r="K11" s="17" t="str">
        <f t="shared" si="1"/>
        <v>Thursday</v>
      </c>
      <c r="L11" s="71"/>
      <c r="M11" s="71"/>
      <c r="N11" s="8"/>
    </row>
    <row r="12" spans="2:14" ht="19.95" customHeight="1" x14ac:dyDescent="0.25">
      <c r="B12" s="22" t="s">
        <v>29</v>
      </c>
      <c r="C12" s="22" t="str">
        <f t="array" ref="C12">IFERROR((INDEX(Table7[Nama Projek],MATCH(Table24567[[#This Row],[Column1]],Table7[Job '#],0))),"")</f>
        <v>Projek 1</v>
      </c>
      <c r="D12" s="19" t="s">
        <v>2</v>
      </c>
      <c r="E12" s="18">
        <v>5</v>
      </c>
      <c r="F12" s="18">
        <v>10</v>
      </c>
      <c r="G12" s="18">
        <v>11</v>
      </c>
      <c r="H12" s="18">
        <v>0</v>
      </c>
      <c r="I12" s="18"/>
      <c r="J12" s="18"/>
      <c r="K12" s="18"/>
      <c r="L12" s="34">
        <f>SUM(E12:K12)</f>
        <v>26</v>
      </c>
      <c r="M12" s="23" t="s">
        <v>32</v>
      </c>
    </row>
    <row r="13" spans="2:14" ht="19.95" customHeight="1" x14ac:dyDescent="0.25">
      <c r="B13" s="22" t="s">
        <v>29</v>
      </c>
      <c r="C13" s="22" t="str">
        <f t="array" ref="C13">IFERROR((INDEX(Table7[Nama Projek],MATCH(Table24567[[#This Row],[Column1]],Table7[Job '#],0))),"")</f>
        <v>Projek 1</v>
      </c>
      <c r="D13" s="19" t="s">
        <v>1</v>
      </c>
      <c r="E13" s="18"/>
      <c r="F13" s="18"/>
      <c r="G13" s="18"/>
      <c r="H13" s="18"/>
      <c r="I13" s="18"/>
      <c r="J13" s="18"/>
      <c r="K13" s="18"/>
      <c r="L13" s="34">
        <f t="shared" ref="L13:L42" si="2">SUM(E13:K13)</f>
        <v>0</v>
      </c>
      <c r="M13" s="23" t="s">
        <v>32</v>
      </c>
    </row>
    <row r="14" spans="2:14" ht="19.95" customHeight="1" x14ac:dyDescent="0.25">
      <c r="B14" s="22" t="s">
        <v>16</v>
      </c>
      <c r="C14" s="22" t="str">
        <f t="array" ref="C14">IFERROR((INDEX(Table7[Nama Projek],MATCH(Table24567[[#This Row],[Column1]],Table7[Job '#],0))),"")</f>
        <v>Projek 5</v>
      </c>
      <c r="D14" s="19" t="s">
        <v>2</v>
      </c>
      <c r="E14" s="18"/>
      <c r="F14" s="18"/>
      <c r="G14" s="18"/>
      <c r="H14" s="18"/>
      <c r="I14" s="18"/>
      <c r="J14" s="18"/>
      <c r="K14" s="18"/>
      <c r="L14" s="34">
        <f t="shared" si="2"/>
        <v>0</v>
      </c>
      <c r="M14" s="23" t="s">
        <v>11</v>
      </c>
    </row>
    <row r="15" spans="2:14" ht="19.95" customHeight="1" x14ac:dyDescent="0.25">
      <c r="B15" s="22" t="s">
        <v>10</v>
      </c>
      <c r="C15" s="22" t="str">
        <f t="array" ref="C15">IFERROR((INDEX(Table7[Nama Projek],MATCH(Table24567[[#This Row],[Column1]],Table7[Job '#],0))),"")</f>
        <v>Projek 2</v>
      </c>
      <c r="D15" s="19" t="s">
        <v>1</v>
      </c>
      <c r="E15" s="18"/>
      <c r="F15" s="18"/>
      <c r="G15" s="18"/>
      <c r="H15" s="18"/>
      <c r="I15" s="18"/>
      <c r="J15" s="18"/>
      <c r="K15" s="18"/>
      <c r="L15" s="34">
        <f t="shared" si="2"/>
        <v>0</v>
      </c>
      <c r="M15" s="23" t="s">
        <v>11</v>
      </c>
    </row>
    <row r="16" spans="2:14" ht="19.95" customHeight="1" x14ac:dyDescent="0.25">
      <c r="B16" s="22" t="s">
        <v>27</v>
      </c>
      <c r="C16" s="22" t="str">
        <f t="array" ref="C16">IFERROR((INDEX(Table7[Nama Projek],MATCH(Table24567[[#This Row],[Column1]],Table7[Job '#],0))),"")</f>
        <v>Projek 3</v>
      </c>
      <c r="D16" s="19" t="s">
        <v>1</v>
      </c>
      <c r="E16" s="18"/>
      <c r="F16" s="18"/>
      <c r="G16" s="18"/>
      <c r="H16" s="18"/>
      <c r="I16" s="18"/>
      <c r="J16" s="18"/>
      <c r="K16" s="18"/>
      <c r="L16" s="34">
        <f t="shared" si="2"/>
        <v>0</v>
      </c>
      <c r="M16" s="23" t="s">
        <v>28</v>
      </c>
    </row>
    <row r="17" spans="2:13" ht="19.95" customHeight="1" x14ac:dyDescent="0.25">
      <c r="B17" s="22" t="s">
        <v>27</v>
      </c>
      <c r="C17" s="22" t="str">
        <f t="array" ref="C17">IFERROR((INDEX(Table7[Nama Projek],MATCH(Table24567[[#This Row],[Column1]],Table7[Job '#],0))),"")</f>
        <v>Projek 3</v>
      </c>
      <c r="D17" s="19" t="s">
        <v>2</v>
      </c>
      <c r="E17" s="18"/>
      <c r="F17" s="18"/>
      <c r="G17" s="18"/>
      <c r="H17" s="18"/>
      <c r="I17" s="18"/>
      <c r="J17" s="18"/>
      <c r="K17" s="18"/>
      <c r="L17" s="34">
        <f t="shared" si="2"/>
        <v>0</v>
      </c>
      <c r="M17" s="23" t="s">
        <v>28</v>
      </c>
    </row>
    <row r="18" spans="2:13" ht="19.95" customHeight="1" x14ac:dyDescent="0.25">
      <c r="B18" s="22" t="s">
        <v>12</v>
      </c>
      <c r="C18" s="22" t="str">
        <f t="array" ref="C18">IFERROR((INDEX(Table7[Nama Projek],MATCH(Table24567[[#This Row],[Column1]],Table7[Job '#],0))),"")</f>
        <v>Projek 4</v>
      </c>
      <c r="D18" s="19" t="s">
        <v>1</v>
      </c>
      <c r="E18" s="18"/>
      <c r="F18" s="18"/>
      <c r="G18" s="18"/>
      <c r="H18" s="18"/>
      <c r="I18" s="18"/>
      <c r="J18" s="18"/>
      <c r="K18" s="18"/>
      <c r="L18" s="34">
        <f t="shared" si="2"/>
        <v>0</v>
      </c>
      <c r="M18" s="23" t="s">
        <v>15</v>
      </c>
    </row>
    <row r="19" spans="2:13" ht="19.95" customHeight="1" x14ac:dyDescent="0.25">
      <c r="B19" s="22" t="s">
        <v>12</v>
      </c>
      <c r="C19" s="22" t="str">
        <f t="array" ref="C19">IFERROR((INDEX(Table7[Nama Projek],MATCH(Table24567[[#This Row],[Column1]],Table7[Job '#],0))),"")</f>
        <v>Projek 4</v>
      </c>
      <c r="D19" s="19" t="s">
        <v>2</v>
      </c>
      <c r="E19" s="18"/>
      <c r="F19" s="18"/>
      <c r="G19" s="18"/>
      <c r="H19" s="18"/>
      <c r="I19" s="18"/>
      <c r="J19" s="18"/>
      <c r="K19" s="18"/>
      <c r="L19" s="34">
        <f t="shared" si="2"/>
        <v>0</v>
      </c>
      <c r="M19" s="23" t="s">
        <v>15</v>
      </c>
    </row>
    <row r="20" spans="2:13" ht="19.95" customHeight="1" x14ac:dyDescent="0.25">
      <c r="B20" s="22" t="s">
        <v>16</v>
      </c>
      <c r="C20" s="22" t="str">
        <f t="array" ref="C20">IFERROR((INDEX(Table7[Nama Projek],MATCH(Table24567[[#This Row],[Column1]],Table7[Job '#],0))),"")</f>
        <v>Projek 5</v>
      </c>
      <c r="D20" s="19" t="s">
        <v>1</v>
      </c>
      <c r="E20" s="18"/>
      <c r="F20" s="18"/>
      <c r="G20" s="18"/>
      <c r="H20" s="18"/>
      <c r="I20" s="18"/>
      <c r="J20" s="18"/>
      <c r="K20" s="18"/>
      <c r="L20" s="34">
        <f t="shared" si="2"/>
        <v>0</v>
      </c>
      <c r="M20" s="23" t="s">
        <v>17</v>
      </c>
    </row>
    <row r="21" spans="2:13" ht="19.95" customHeight="1" x14ac:dyDescent="0.25">
      <c r="B21" s="22" t="s">
        <v>16</v>
      </c>
      <c r="C21" s="22" t="str">
        <f t="array" ref="C21">IFERROR((INDEX(Table7[Nama Projek],MATCH(Table24567[[#This Row],[Column1]],Table7[Job '#],0))),"")</f>
        <v>Projek 5</v>
      </c>
      <c r="D21" s="19" t="s">
        <v>2</v>
      </c>
      <c r="E21" s="18"/>
      <c r="F21" s="18"/>
      <c r="G21" s="18"/>
      <c r="H21" s="18"/>
      <c r="I21" s="18"/>
      <c r="J21" s="18"/>
      <c r="K21" s="18"/>
      <c r="L21" s="34">
        <f t="shared" si="2"/>
        <v>0</v>
      </c>
      <c r="M21" s="23" t="s">
        <v>17</v>
      </c>
    </row>
    <row r="22" spans="2:13" ht="19.95" customHeight="1" x14ac:dyDescent="0.25">
      <c r="B22" s="22" t="s">
        <v>8</v>
      </c>
      <c r="C22" s="22" t="str">
        <f t="array" ref="C22">IFERROR((INDEX(Table7[Nama Projek],MATCH(Table24567[[#This Row],[Column1]],Table7[Job '#],0))),"")</f>
        <v>Projek 6</v>
      </c>
      <c r="D22" s="19" t="s">
        <v>2</v>
      </c>
      <c r="E22" s="18"/>
      <c r="F22" s="18"/>
      <c r="G22" s="18"/>
      <c r="H22" s="18"/>
      <c r="I22" s="18"/>
      <c r="J22" s="18"/>
      <c r="K22" s="18"/>
      <c r="L22" s="34">
        <f t="shared" si="2"/>
        <v>0</v>
      </c>
      <c r="M22" s="23" t="s">
        <v>20</v>
      </c>
    </row>
    <row r="23" spans="2:13" ht="19.95" customHeight="1" x14ac:dyDescent="0.25">
      <c r="B23" s="22" t="s">
        <v>8</v>
      </c>
      <c r="C23" s="22" t="str">
        <f t="array" ref="C23">IFERROR((INDEX(Table7[Nama Projek],MATCH(Table24567[[#This Row],[Column1]],Table7[Job '#],0))),"")</f>
        <v>Projek 6</v>
      </c>
      <c r="D23" s="19" t="s">
        <v>1</v>
      </c>
      <c r="E23" s="18"/>
      <c r="F23" s="18"/>
      <c r="G23" s="18"/>
      <c r="H23" s="18"/>
      <c r="I23" s="18"/>
      <c r="J23" s="18"/>
      <c r="K23" s="18"/>
      <c r="L23" s="34">
        <f t="shared" si="2"/>
        <v>0</v>
      </c>
      <c r="M23" s="23" t="s">
        <v>20</v>
      </c>
    </row>
    <row r="24" spans="2:13" ht="19.95" customHeight="1" x14ac:dyDescent="0.25">
      <c r="B24" s="22" t="s">
        <v>8</v>
      </c>
      <c r="C24" s="22" t="str">
        <f t="array" ref="C24">IFERROR((INDEX(Table7[Nama Projek],MATCH(Table24567[[#This Row],[Column1]],Table7[Job '#],0))),"")</f>
        <v>Projek 6</v>
      </c>
      <c r="D24" s="19" t="s">
        <v>2</v>
      </c>
      <c r="E24" s="18"/>
      <c r="F24" s="18"/>
      <c r="G24" s="18"/>
      <c r="H24" s="18"/>
      <c r="I24" s="18"/>
      <c r="J24" s="18"/>
      <c r="K24" s="18"/>
      <c r="L24" s="34">
        <f t="shared" si="2"/>
        <v>0</v>
      </c>
      <c r="M24" s="23" t="s">
        <v>21</v>
      </c>
    </row>
    <row r="25" spans="2:13" ht="19.95" customHeight="1" x14ac:dyDescent="0.25">
      <c r="B25" s="22" t="s">
        <v>8</v>
      </c>
      <c r="C25" s="22" t="str">
        <f t="array" ref="C25">IFERROR((INDEX(Table7[Nama Projek],MATCH(Table24567[[#This Row],[Column1]],Table7[Job '#],0))),"")</f>
        <v>Projek 6</v>
      </c>
      <c r="D25" s="19" t="s">
        <v>1</v>
      </c>
      <c r="E25" s="18"/>
      <c r="F25" s="18"/>
      <c r="G25" s="18"/>
      <c r="H25" s="18"/>
      <c r="I25" s="18"/>
      <c r="J25" s="18"/>
      <c r="K25" s="18"/>
      <c r="L25" s="34">
        <f t="shared" si="2"/>
        <v>0</v>
      </c>
      <c r="M25" s="23" t="s">
        <v>21</v>
      </c>
    </row>
    <row r="26" spans="2:13" ht="19.95" customHeight="1" x14ac:dyDescent="0.25">
      <c r="B26" s="22" t="s">
        <v>3</v>
      </c>
      <c r="C26" s="22" t="str">
        <f t="array" ref="C26">IFERROR((INDEX(Table7[Nama Projek],MATCH(Table24567[[#This Row],[Column1]],Table7[Job '#],0))),"")</f>
        <v>Projek 7</v>
      </c>
      <c r="D26" s="19" t="s">
        <v>2</v>
      </c>
      <c r="E26" s="18"/>
      <c r="F26" s="18"/>
      <c r="G26" s="18"/>
      <c r="H26" s="18"/>
      <c r="I26" s="18"/>
      <c r="J26" s="18"/>
      <c r="K26" s="18"/>
      <c r="L26" s="34">
        <f t="shared" si="2"/>
        <v>0</v>
      </c>
      <c r="M26" s="23" t="s">
        <v>4</v>
      </c>
    </row>
    <row r="27" spans="2:13" ht="19.95" customHeight="1" x14ac:dyDescent="0.25">
      <c r="B27" s="22" t="s">
        <v>3</v>
      </c>
      <c r="C27" s="22" t="str">
        <f t="array" ref="C27">IFERROR((INDEX(Table7[Nama Projek],MATCH(Table24567[[#This Row],[Column1]],Table7[Job '#],0))),"")</f>
        <v>Projek 7</v>
      </c>
      <c r="D27" s="19" t="s">
        <v>1</v>
      </c>
      <c r="E27" s="18"/>
      <c r="F27" s="18"/>
      <c r="G27" s="18"/>
      <c r="H27" s="18"/>
      <c r="I27" s="18"/>
      <c r="J27" s="18"/>
      <c r="K27" s="18"/>
      <c r="L27" s="34">
        <f t="shared" si="2"/>
        <v>0</v>
      </c>
      <c r="M27" s="23" t="s">
        <v>4</v>
      </c>
    </row>
    <row r="28" spans="2:13" ht="19.95" customHeight="1" x14ac:dyDescent="0.25">
      <c r="B28" s="22" t="s">
        <v>6</v>
      </c>
      <c r="C28" s="22" t="str">
        <f t="array" ref="C28">IFERROR((INDEX(Table7[Nama Projek],MATCH(Table24567[[#This Row],[Column1]],Table7[Job '#],0))),"")</f>
        <v>Projek 8</v>
      </c>
      <c r="D28" s="19" t="s">
        <v>2</v>
      </c>
      <c r="E28" s="18"/>
      <c r="F28" s="18"/>
      <c r="G28" s="18"/>
      <c r="H28" s="18"/>
      <c r="I28" s="18"/>
      <c r="J28" s="18"/>
      <c r="K28" s="18"/>
      <c r="L28" s="34">
        <f t="shared" si="2"/>
        <v>0</v>
      </c>
      <c r="M28" s="23" t="s">
        <v>7</v>
      </c>
    </row>
    <row r="29" spans="2:13" ht="19.95" customHeight="1" x14ac:dyDescent="0.25">
      <c r="B29" s="22" t="s">
        <v>6</v>
      </c>
      <c r="C29" s="22" t="str">
        <f t="array" ref="C29">IFERROR((INDEX(Table7[Nama Projek],MATCH(Table24567[[#This Row],[Column1]],Table7[Job '#],0))),"")</f>
        <v>Projek 8</v>
      </c>
      <c r="D29" s="19" t="s">
        <v>1</v>
      </c>
      <c r="E29" s="18"/>
      <c r="F29" s="18"/>
      <c r="G29" s="18"/>
      <c r="H29" s="18"/>
      <c r="I29" s="18"/>
      <c r="J29" s="18"/>
      <c r="K29" s="18"/>
      <c r="L29" s="34">
        <f t="shared" si="2"/>
        <v>0</v>
      </c>
      <c r="M29" s="23" t="s">
        <v>7</v>
      </c>
    </row>
    <row r="30" spans="2:13" ht="19.95" customHeight="1" x14ac:dyDescent="0.25">
      <c r="B30" s="22" t="s">
        <v>5</v>
      </c>
      <c r="C30" s="22" t="str">
        <f t="array" ref="C30">IFERROR((INDEX(Table7[Nama Projek],MATCH(Table24567[[#This Row],[Column1]],Table7[Job '#],0))),"")</f>
        <v>Projek 9</v>
      </c>
      <c r="D30" s="19" t="s">
        <v>2</v>
      </c>
      <c r="E30" s="18"/>
      <c r="F30" s="18"/>
      <c r="G30" s="18"/>
      <c r="H30" s="18"/>
      <c r="I30" s="18"/>
      <c r="J30" s="18"/>
      <c r="K30" s="18"/>
      <c r="L30" s="34">
        <f t="shared" si="2"/>
        <v>0</v>
      </c>
      <c r="M30" s="23" t="s">
        <v>14</v>
      </c>
    </row>
    <row r="31" spans="2:13" ht="19.95" customHeight="1" x14ac:dyDescent="0.25">
      <c r="B31" s="22" t="s">
        <v>5</v>
      </c>
      <c r="C31" s="22" t="str">
        <f t="array" ref="C31">IFERROR((INDEX(Table7[Nama Projek],MATCH(Table24567[[#This Row],[Column1]],Table7[Job '#],0))),"")</f>
        <v>Projek 9</v>
      </c>
      <c r="D31" s="19" t="s">
        <v>1</v>
      </c>
      <c r="E31" s="18"/>
      <c r="F31" s="18"/>
      <c r="G31" s="18"/>
      <c r="H31" s="18"/>
      <c r="I31" s="18"/>
      <c r="J31" s="18"/>
      <c r="K31" s="18"/>
      <c r="L31" s="34">
        <f t="shared" si="2"/>
        <v>0</v>
      </c>
      <c r="M31" s="23" t="s">
        <v>14</v>
      </c>
    </row>
    <row r="32" spans="2:13" ht="19.95" customHeight="1" x14ac:dyDescent="0.25">
      <c r="B32" s="22" t="s">
        <v>5</v>
      </c>
      <c r="C32" s="22" t="str">
        <f t="array" ref="C32">IFERROR((INDEX(Table7[Nama Projek],MATCH(Table24567[[#This Row],[Column1]],Table7[Job '#],0))),"")</f>
        <v>Projek 9</v>
      </c>
      <c r="D32" s="19" t="s">
        <v>2</v>
      </c>
      <c r="E32" s="18"/>
      <c r="F32" s="18"/>
      <c r="G32" s="18"/>
      <c r="H32" s="18"/>
      <c r="I32" s="18"/>
      <c r="J32" s="18"/>
      <c r="K32" s="18"/>
      <c r="L32" s="34">
        <f t="shared" si="2"/>
        <v>0</v>
      </c>
      <c r="M32" s="23" t="s">
        <v>9</v>
      </c>
    </row>
    <row r="33" spans="2:13" ht="19.95" customHeight="1" x14ac:dyDescent="0.25">
      <c r="B33" s="22" t="s">
        <v>35</v>
      </c>
      <c r="C33" s="22" t="str">
        <f t="array" ref="C33">IFERROR((INDEX(Table7[Nama Projek],MATCH(Table24567[[#This Row],[Column1]],Table7[Job '#],0))),"")</f>
        <v>Projek 10</v>
      </c>
      <c r="D33" s="19" t="s">
        <v>2</v>
      </c>
      <c r="E33" s="18"/>
      <c r="F33" s="18"/>
      <c r="G33" s="18"/>
      <c r="H33" s="18"/>
      <c r="I33" s="18"/>
      <c r="J33" s="18"/>
      <c r="K33" s="18"/>
      <c r="L33" s="34">
        <f t="shared" si="2"/>
        <v>0</v>
      </c>
      <c r="M33" s="23" t="s">
        <v>36</v>
      </c>
    </row>
    <row r="34" spans="2:13" ht="19.95" customHeight="1" x14ac:dyDescent="0.25">
      <c r="B34" s="22" t="s">
        <v>35</v>
      </c>
      <c r="C34" s="22" t="str">
        <f t="array" ref="C34">IFERROR((INDEX(Table7[Nama Projek],MATCH(Table24567[[#This Row],[Column1]],Table7[Job '#],0))),"")</f>
        <v>Projek 10</v>
      </c>
      <c r="D34" s="19" t="s">
        <v>1</v>
      </c>
      <c r="E34" s="18"/>
      <c r="F34" s="18"/>
      <c r="G34" s="18"/>
      <c r="H34" s="18"/>
      <c r="I34" s="18"/>
      <c r="J34" s="18"/>
      <c r="K34" s="18"/>
      <c r="L34" s="34">
        <f t="shared" si="2"/>
        <v>0</v>
      </c>
      <c r="M34" s="23" t="s">
        <v>36</v>
      </c>
    </row>
    <row r="35" spans="2:13" ht="19.95" customHeight="1" x14ac:dyDescent="0.25">
      <c r="B35" s="22" t="s">
        <v>52</v>
      </c>
      <c r="C35" s="22" t="str">
        <f t="array" ref="C35">IFERROR((INDEX(Table7[Nama Projek],MATCH(Table24567[[#This Row],[Column1]],Table7[Job '#],0))),"")</f>
        <v>Projek 11</v>
      </c>
      <c r="D35" s="19" t="s">
        <v>2</v>
      </c>
      <c r="E35" s="18"/>
      <c r="F35" s="18"/>
      <c r="G35" s="18"/>
      <c r="H35" s="18"/>
      <c r="I35" s="18"/>
      <c r="J35" s="18"/>
      <c r="K35" s="18"/>
      <c r="L35" s="34">
        <f t="shared" si="2"/>
        <v>0</v>
      </c>
      <c r="M35" s="23" t="s">
        <v>53</v>
      </c>
    </row>
    <row r="36" spans="2:13" ht="19.95" customHeight="1" x14ac:dyDescent="0.25">
      <c r="B36" s="22" t="s">
        <v>52</v>
      </c>
      <c r="C36" s="22" t="str">
        <f t="array" ref="C36">IFERROR((INDEX(Table7[Nama Projek],MATCH(Table24567[[#This Row],[Column1]],Table7[Job '#],0))),"")</f>
        <v>Projek 11</v>
      </c>
      <c r="D36" s="19" t="s">
        <v>1</v>
      </c>
      <c r="E36" s="18">
        <v>4</v>
      </c>
      <c r="F36" s="18"/>
      <c r="G36" s="18"/>
      <c r="H36" s="18"/>
      <c r="I36" s="18"/>
      <c r="J36" s="18"/>
      <c r="K36" s="18"/>
      <c r="L36" s="34">
        <f t="shared" si="2"/>
        <v>4</v>
      </c>
      <c r="M36" s="23" t="s">
        <v>53</v>
      </c>
    </row>
    <row r="37" spans="2:13" ht="19.95" customHeight="1" x14ac:dyDescent="0.25">
      <c r="B37" s="22" t="s">
        <v>43</v>
      </c>
      <c r="C37" s="22" t="str">
        <f t="array" ref="C37">IFERROR((INDEX(Table7[Nama Projek],MATCH(Table24567[[#This Row],[Column1]],Table7[Job '#],0))),"")</f>
        <v>Projek 12</v>
      </c>
      <c r="D37" s="19" t="s">
        <v>2</v>
      </c>
      <c r="E37" s="18"/>
      <c r="F37" s="18"/>
      <c r="G37" s="18"/>
      <c r="H37" s="18"/>
      <c r="I37" s="18"/>
      <c r="J37" s="18"/>
      <c r="K37" s="18"/>
      <c r="L37" s="34">
        <f t="shared" si="2"/>
        <v>0</v>
      </c>
      <c r="M37" s="23" t="s">
        <v>13</v>
      </c>
    </row>
    <row r="38" spans="2:13" ht="19.95" customHeight="1" x14ac:dyDescent="0.25">
      <c r="B38" s="22" t="s">
        <v>43</v>
      </c>
      <c r="C38" s="22" t="str">
        <f t="array" ref="C38">IFERROR((INDEX(Table7[Nama Projek],MATCH(Table24567[[#This Row],[Column1]],Table7[Job '#],0))),"")</f>
        <v>Projek 12</v>
      </c>
      <c r="D38" s="19" t="s">
        <v>1</v>
      </c>
      <c r="E38" s="18"/>
      <c r="F38" s="18"/>
      <c r="G38" s="18"/>
      <c r="H38" s="18"/>
      <c r="I38" s="18"/>
      <c r="J38" s="18"/>
      <c r="K38" s="18"/>
      <c r="L38" s="34">
        <f t="shared" si="2"/>
        <v>0</v>
      </c>
      <c r="M38" s="23" t="s">
        <v>13</v>
      </c>
    </row>
    <row r="39" spans="2:13" ht="19.95" customHeight="1" x14ac:dyDescent="0.25">
      <c r="B39" s="22" t="s">
        <v>33</v>
      </c>
      <c r="C39" s="22" t="str">
        <f t="array" ref="C39">IFERROR((INDEX(Table7[Nama Projek],MATCH(Table24567[[#This Row],[Column1]],Table7[Job '#],0))),"")</f>
        <v>Projek 13</v>
      </c>
      <c r="D39" s="19" t="s">
        <v>2</v>
      </c>
      <c r="E39" s="18"/>
      <c r="F39" s="18"/>
      <c r="G39" s="18"/>
      <c r="H39" s="18"/>
      <c r="I39" s="18"/>
      <c r="J39" s="18"/>
      <c r="K39" s="18"/>
      <c r="L39" s="34">
        <f t="shared" si="2"/>
        <v>0</v>
      </c>
      <c r="M39" s="23" t="s">
        <v>34</v>
      </c>
    </row>
    <row r="40" spans="2:13" ht="19.95" customHeight="1" x14ac:dyDescent="0.25">
      <c r="B40" s="22" t="s">
        <v>33</v>
      </c>
      <c r="C40" s="22" t="str">
        <f t="array" ref="C40">IFERROR((INDEX(Table7[Nama Projek],MATCH(Table24567[[#This Row],[Column1]],Table7[Job '#],0))),"")</f>
        <v>Projek 13</v>
      </c>
      <c r="D40" s="19" t="s">
        <v>1</v>
      </c>
      <c r="E40" s="18"/>
      <c r="F40" s="18"/>
      <c r="G40" s="18"/>
      <c r="H40" s="18"/>
      <c r="I40" s="18"/>
      <c r="J40" s="18"/>
      <c r="K40" s="18"/>
      <c r="L40" s="34">
        <f t="shared" si="2"/>
        <v>0</v>
      </c>
      <c r="M40" s="23" t="s">
        <v>34</v>
      </c>
    </row>
    <row r="41" spans="2:13" ht="19.95" customHeight="1" x14ac:dyDescent="0.25">
      <c r="B41" s="22" t="s">
        <v>22</v>
      </c>
      <c r="C41" s="22" t="str">
        <f t="array" ref="C41">IFERROR((INDEX(Table7[Nama Projek],MATCH(Table24567[[#This Row],[Column1]],Table7[Job '#],0))),"")</f>
        <v>Projek 14</v>
      </c>
      <c r="D41" s="19" t="s">
        <v>2</v>
      </c>
      <c r="E41" s="18"/>
      <c r="F41" s="18"/>
      <c r="G41" s="18"/>
      <c r="H41" s="18"/>
      <c r="I41" s="18"/>
      <c r="J41" s="18"/>
      <c r="K41" s="18"/>
      <c r="L41" s="34">
        <f t="shared" si="2"/>
        <v>0</v>
      </c>
      <c r="M41" s="23" t="s">
        <v>23</v>
      </c>
    </row>
    <row r="42" spans="2:13" ht="19.95" customHeight="1" x14ac:dyDescent="0.25">
      <c r="B42" s="22" t="s">
        <v>22</v>
      </c>
      <c r="C42" s="22" t="str">
        <f t="array" ref="C42">IFERROR((INDEX(Table7[Nama Projek],MATCH(Table24567[[#This Row],[Column1]],Table7[Job '#],0))),"")</f>
        <v>Projek 14</v>
      </c>
      <c r="D42" s="19" t="s">
        <v>1</v>
      </c>
      <c r="E42" s="18"/>
      <c r="F42" s="18"/>
      <c r="G42" s="18"/>
      <c r="H42" s="18"/>
      <c r="I42" s="18"/>
      <c r="J42" s="18"/>
      <c r="K42" s="18"/>
      <c r="L42" s="34">
        <f t="shared" si="2"/>
        <v>0</v>
      </c>
      <c r="M42" s="23" t="s">
        <v>23</v>
      </c>
    </row>
    <row r="43" spans="2:13" ht="19.95" customHeight="1" x14ac:dyDescent="0.25">
      <c r="B43" s="22" t="s">
        <v>24</v>
      </c>
      <c r="C43" s="22" t="str">
        <f t="array" ref="C43">IFERROR((INDEX(Table7[Nama Projek],MATCH(Table24567[[#This Row],[Column1]],Table7[Job '#],0))),"")</f>
        <v>Projek 15</v>
      </c>
      <c r="D43" s="19" t="s">
        <v>25</v>
      </c>
      <c r="E43" s="18"/>
      <c r="F43" s="18"/>
      <c r="G43" s="18"/>
      <c r="H43" s="18"/>
      <c r="I43" s="18"/>
      <c r="J43" s="18"/>
      <c r="K43" s="18"/>
      <c r="L43" s="34">
        <f>SUM(E43:K43)</f>
        <v>0</v>
      </c>
      <c r="M43" s="23" t="s">
        <v>26</v>
      </c>
    </row>
    <row r="44" spans="2:13" ht="19.95" customHeight="1" x14ac:dyDescent="0.25">
      <c r="B44" s="22" t="s">
        <v>18</v>
      </c>
      <c r="C44" s="22" t="str">
        <f t="array" ref="C44">IFERROR((INDEX(Table7[Nama Projek],MATCH(Table24567[[#This Row],[Column1]],Table7[Job '#],0))),"")</f>
        <v>Projek 16</v>
      </c>
      <c r="D44" s="19" t="s">
        <v>2</v>
      </c>
      <c r="E44" s="18"/>
      <c r="F44" s="18"/>
      <c r="G44" s="18"/>
      <c r="H44" s="18"/>
      <c r="I44" s="18"/>
      <c r="J44" s="18"/>
      <c r="K44" s="18"/>
      <c r="L44" s="34">
        <f t="shared" ref="L44:L59" si="3">SUM(E44:K44)</f>
        <v>0</v>
      </c>
      <c r="M44" s="23" t="s">
        <v>19</v>
      </c>
    </row>
    <row r="45" spans="2:13" ht="19.95" customHeight="1" x14ac:dyDescent="0.25">
      <c r="B45" s="22" t="s">
        <v>30</v>
      </c>
      <c r="C45" s="22" t="str">
        <f t="array" ref="C45">IFERROR((INDEX(Table7[Nama Projek],MATCH(Table24567[[#This Row],[Column1]],Table7[Job '#],0))),"")</f>
        <v>Projek 17</v>
      </c>
      <c r="D45" s="19" t="s">
        <v>2</v>
      </c>
      <c r="E45" s="18"/>
      <c r="F45" s="18"/>
      <c r="G45" s="18"/>
      <c r="H45" s="18"/>
      <c r="I45" s="18"/>
      <c r="J45" s="18"/>
      <c r="K45" s="18"/>
      <c r="L45" s="34">
        <f t="shared" si="3"/>
        <v>0</v>
      </c>
      <c r="M45" s="23" t="s">
        <v>31</v>
      </c>
    </row>
    <row r="46" spans="2:13" ht="19.95" customHeight="1" x14ac:dyDescent="0.25">
      <c r="B46" s="22" t="s">
        <v>30</v>
      </c>
      <c r="C46" s="22" t="str">
        <f t="array" ref="C46">IFERROR((INDEX(Table7[Nama Projek],MATCH(Table24567[[#This Row],[Column1]],Table7[Job '#],0))),"")</f>
        <v>Projek 17</v>
      </c>
      <c r="D46" s="19" t="s">
        <v>1</v>
      </c>
      <c r="E46" s="18"/>
      <c r="F46" s="18"/>
      <c r="G46" s="18"/>
      <c r="H46" s="18"/>
      <c r="I46" s="18"/>
      <c r="J46" s="18"/>
      <c r="K46" s="18"/>
      <c r="L46" s="34">
        <f t="shared" si="3"/>
        <v>0</v>
      </c>
      <c r="M46" s="23" t="s">
        <v>31</v>
      </c>
    </row>
    <row r="47" spans="2:13" ht="19.95" customHeight="1" x14ac:dyDescent="0.25">
      <c r="B47" s="22" t="s">
        <v>45</v>
      </c>
      <c r="C47" s="22" t="str">
        <f t="array" ref="C47">IFERROR((INDEX(Table7[Nama Projek],MATCH(Table24567[[#This Row],[Column1]],Table7[Job '#],0))),"")</f>
        <v>Projek 18</v>
      </c>
      <c r="D47" s="19" t="s">
        <v>2</v>
      </c>
      <c r="E47" s="18"/>
      <c r="F47" s="18"/>
      <c r="G47" s="18"/>
      <c r="H47" s="18"/>
      <c r="I47" s="18"/>
      <c r="J47" s="18"/>
      <c r="K47" s="18"/>
      <c r="L47" s="34">
        <f t="shared" si="3"/>
        <v>0</v>
      </c>
      <c r="M47" s="23" t="s">
        <v>42</v>
      </c>
    </row>
    <row r="48" spans="2:13" ht="19.95" customHeight="1" x14ac:dyDescent="0.25">
      <c r="B48" s="22" t="s">
        <v>45</v>
      </c>
      <c r="C48" s="22" t="str">
        <f t="array" ref="C48">IFERROR((INDEX(Table7[Nama Projek],MATCH(Table24567[[#This Row],[Column1]],Table7[Job '#],0))),"")</f>
        <v>Projek 18</v>
      </c>
      <c r="D48" s="19" t="s">
        <v>1</v>
      </c>
      <c r="E48" s="18"/>
      <c r="F48" s="18"/>
      <c r="G48" s="18"/>
      <c r="H48" s="18"/>
      <c r="I48" s="18"/>
      <c r="J48" s="18"/>
      <c r="K48" s="18"/>
      <c r="L48" s="34">
        <f t="shared" si="3"/>
        <v>0</v>
      </c>
      <c r="M48" s="23" t="s">
        <v>42</v>
      </c>
    </row>
    <row r="49" spans="1:14" ht="19.95" customHeight="1" x14ac:dyDescent="0.25">
      <c r="B49" s="22" t="s">
        <v>48</v>
      </c>
      <c r="C49" s="22" t="str">
        <f t="array" ref="C49">IFERROR((INDEX(Table7[Nama Projek],MATCH(Table24567[[#This Row],[Column1]],Table7[Job '#],0))),"")</f>
        <v>Projek 19</v>
      </c>
      <c r="D49" s="19" t="s">
        <v>2</v>
      </c>
      <c r="E49" s="18"/>
      <c r="F49" s="18"/>
      <c r="G49" s="18"/>
      <c r="H49" s="18"/>
      <c r="I49" s="18"/>
      <c r="J49" s="18"/>
      <c r="K49" s="18"/>
      <c r="L49" s="34">
        <f t="shared" si="3"/>
        <v>0</v>
      </c>
      <c r="M49" s="23" t="s">
        <v>49</v>
      </c>
    </row>
    <row r="50" spans="1:14" ht="19.95" customHeight="1" x14ac:dyDescent="0.25">
      <c r="B50" s="22" t="s">
        <v>40</v>
      </c>
      <c r="C50" s="22" t="str">
        <f t="array" ref="C50">IFERROR((INDEX(Table7[Nama Projek],MATCH(Table24567[[#This Row],[Column1]],Table7[Job '#],0))),"")</f>
        <v>Projek 20</v>
      </c>
      <c r="D50" s="19" t="s">
        <v>2</v>
      </c>
      <c r="E50" s="18"/>
      <c r="F50" s="18"/>
      <c r="G50" s="18"/>
      <c r="H50" s="18"/>
      <c r="I50" s="18"/>
      <c r="J50" s="18"/>
      <c r="K50" s="18"/>
      <c r="L50" s="34">
        <f t="shared" si="3"/>
        <v>0</v>
      </c>
      <c r="M50" s="23" t="s">
        <v>41</v>
      </c>
    </row>
    <row r="51" spans="1:14" ht="19.95" customHeight="1" x14ac:dyDescent="0.25">
      <c r="B51" s="22" t="s">
        <v>51</v>
      </c>
      <c r="C51" s="22" t="str">
        <f t="array" ref="C51">IFERROR((INDEX(Table7[Nama Projek],MATCH(Table24567[[#This Row],[Column1]],Table7[Job '#],0))),"")</f>
        <v>Projek 21</v>
      </c>
      <c r="D51" s="19" t="s">
        <v>2</v>
      </c>
      <c r="E51" s="18"/>
      <c r="F51" s="18"/>
      <c r="G51" s="18"/>
      <c r="H51" s="18"/>
      <c r="I51" s="18"/>
      <c r="J51" s="18"/>
      <c r="K51" s="18"/>
      <c r="L51" s="34">
        <f t="shared" si="3"/>
        <v>0</v>
      </c>
      <c r="M51" s="23" t="s">
        <v>50</v>
      </c>
    </row>
    <row r="52" spans="1:14" ht="19.95" customHeight="1" x14ac:dyDescent="0.25">
      <c r="B52" s="22" t="s">
        <v>51</v>
      </c>
      <c r="C52" s="22" t="str">
        <f t="array" ref="C52">IFERROR((INDEX(Table7[Nama Projek],MATCH(Table24567[[#This Row],[Column1]],Table7[Job '#],0))),"")</f>
        <v>Projek 21</v>
      </c>
      <c r="D52" s="19" t="s">
        <v>1</v>
      </c>
      <c r="E52" s="18"/>
      <c r="F52" s="18"/>
      <c r="G52" s="18"/>
      <c r="H52" s="18"/>
      <c r="I52" s="18"/>
      <c r="J52" s="18"/>
      <c r="K52" s="18"/>
      <c r="L52" s="34">
        <f t="shared" si="3"/>
        <v>0</v>
      </c>
      <c r="M52" s="23" t="s">
        <v>50</v>
      </c>
    </row>
    <row r="53" spans="1:14" ht="19.95" customHeight="1" x14ac:dyDescent="0.25">
      <c r="B53" s="22" t="s">
        <v>44</v>
      </c>
      <c r="C53" s="22" t="str">
        <f t="array" ref="C53">IFERROR((INDEX(Table7[Nama Projek],MATCH(Table24567[[#This Row],[Column1]],Table7[Job '#],0))),"")</f>
        <v>Projek 22</v>
      </c>
      <c r="D53" s="19" t="s">
        <v>2</v>
      </c>
      <c r="E53" s="18"/>
      <c r="F53" s="18"/>
      <c r="G53" s="18"/>
      <c r="H53" s="18"/>
      <c r="I53" s="18"/>
      <c r="J53" s="18"/>
      <c r="K53" s="18"/>
      <c r="L53" s="34">
        <f t="shared" si="3"/>
        <v>0</v>
      </c>
      <c r="M53" s="23" t="s">
        <v>38</v>
      </c>
    </row>
    <row r="54" spans="1:14" ht="19.95" customHeight="1" x14ac:dyDescent="0.25">
      <c r="B54" s="22" t="s">
        <v>44</v>
      </c>
      <c r="C54" s="22" t="str">
        <f t="array" ref="C54">IFERROR((INDEX(Table7[Nama Projek],MATCH(Table24567[[#This Row],[Column1]],Table7[Job '#],0))),"")</f>
        <v>Projek 22</v>
      </c>
      <c r="D54" s="19" t="s">
        <v>1</v>
      </c>
      <c r="E54" s="18"/>
      <c r="F54" s="18"/>
      <c r="G54" s="18"/>
      <c r="H54" s="18"/>
      <c r="I54" s="18"/>
      <c r="J54" s="18"/>
      <c r="K54" s="18"/>
      <c r="L54" s="34">
        <f t="shared" si="3"/>
        <v>0</v>
      </c>
      <c r="M54" s="23" t="s">
        <v>38</v>
      </c>
    </row>
    <row r="55" spans="1:14" ht="19.95" customHeight="1" x14ac:dyDescent="0.25">
      <c r="B55" s="22" t="s">
        <v>37</v>
      </c>
      <c r="C55" s="22" t="str">
        <f t="array" ref="C55">IFERROR((INDEX(Table7[Nama Projek],MATCH(Table24567[[#This Row],[Column1]],Table7[Job '#],0))),"")</f>
        <v>Projek 23</v>
      </c>
      <c r="D55" s="19" t="s">
        <v>2</v>
      </c>
      <c r="E55" s="18"/>
      <c r="F55" s="18"/>
      <c r="G55" s="18"/>
      <c r="H55" s="18"/>
      <c r="I55" s="18"/>
      <c r="J55" s="18"/>
      <c r="K55" s="18"/>
      <c r="L55" s="34">
        <f t="shared" si="3"/>
        <v>0</v>
      </c>
      <c r="M55" s="23" t="s">
        <v>39</v>
      </c>
    </row>
    <row r="56" spans="1:14" ht="19.95" customHeight="1" x14ac:dyDescent="0.25">
      <c r="B56" s="22" t="s">
        <v>37</v>
      </c>
      <c r="C56" s="22" t="str">
        <f t="array" ref="C56">IFERROR((INDEX(Table7[Nama Projek],MATCH(Table24567[[#This Row],[Column1]],Table7[Job '#],0))),"")</f>
        <v>Projek 23</v>
      </c>
      <c r="D56" s="19" t="s">
        <v>1</v>
      </c>
      <c r="E56" s="18"/>
      <c r="F56" s="18"/>
      <c r="G56" s="18"/>
      <c r="H56" s="18"/>
      <c r="I56" s="18"/>
      <c r="J56" s="18"/>
      <c r="K56" s="18"/>
      <c r="L56" s="34">
        <f t="shared" si="3"/>
        <v>0</v>
      </c>
      <c r="M56" s="23" t="s">
        <v>39</v>
      </c>
    </row>
    <row r="57" spans="1:14" ht="19.95" customHeight="1" x14ac:dyDescent="0.25">
      <c r="B57" s="22" t="s">
        <v>46</v>
      </c>
      <c r="C57" s="22" t="str">
        <f t="array" ref="C57">IFERROR((INDEX(Table7[Nama Projek],MATCH(Table24567[[#This Row],[Column1]],Table7[Job '#],0))),"")</f>
        <v>Projek 24</v>
      </c>
      <c r="D57" s="19" t="s">
        <v>2</v>
      </c>
      <c r="E57" s="18"/>
      <c r="F57" s="18"/>
      <c r="G57" s="18"/>
      <c r="H57" s="18"/>
      <c r="I57" s="18"/>
      <c r="J57" s="18"/>
      <c r="K57" s="18"/>
      <c r="L57" s="34">
        <f t="shared" si="3"/>
        <v>0</v>
      </c>
      <c r="M57" s="23" t="s">
        <v>47</v>
      </c>
    </row>
    <row r="58" spans="1:14" ht="19.95" customHeight="1" x14ac:dyDescent="0.25">
      <c r="B58" s="22" t="s">
        <v>46</v>
      </c>
      <c r="C58" s="22" t="str">
        <f t="array" ref="C58">IFERROR((INDEX(Table7[Nama Projek],MATCH(Table24567[[#This Row],[Column1]],Table7[Job '#],0))),"")</f>
        <v>Projek 24</v>
      </c>
      <c r="D58" s="19" t="s">
        <v>1</v>
      </c>
      <c r="E58" s="18">
        <v>2</v>
      </c>
      <c r="F58" s="18"/>
      <c r="G58" s="18"/>
      <c r="H58" s="18"/>
      <c r="I58" s="18"/>
      <c r="J58" s="18"/>
      <c r="K58" s="18"/>
      <c r="L58" s="34">
        <f t="shared" si="3"/>
        <v>2</v>
      </c>
      <c r="M58" s="23" t="s">
        <v>47</v>
      </c>
    </row>
    <row r="59" spans="1:14" ht="19.95" customHeight="1" x14ac:dyDescent="0.25">
      <c r="B59" s="22"/>
      <c r="C59" s="22" t="str">
        <f t="array" ref="C59">IFERROR((INDEX(Table7[Nama Projek],MATCH(Table24567[[#This Row],[Column1]],Table7[Job '#],0))),"")</f>
        <v/>
      </c>
      <c r="D59" s="19" t="s">
        <v>2</v>
      </c>
      <c r="E59" s="18"/>
      <c r="F59" s="18"/>
      <c r="G59" s="18"/>
      <c r="H59" s="18"/>
      <c r="I59" s="18"/>
      <c r="J59" s="18"/>
      <c r="K59" s="18"/>
      <c r="L59" s="34">
        <f t="shared" si="3"/>
        <v>0</v>
      </c>
      <c r="M59" s="23"/>
    </row>
    <row r="60" spans="1:14" ht="19.95" customHeight="1" x14ac:dyDescent="0.25">
      <c r="B60" s="24"/>
      <c r="C60" s="22" t="str">
        <f t="array" ref="C60">IFERROR((INDEX(Table7[Nama Projek],MATCH(Table24567[[#This Row],[Column1]],Table7[Job '#],0))),"")</f>
        <v/>
      </c>
      <c r="D60" s="25" t="s">
        <v>1</v>
      </c>
      <c r="E60" s="26"/>
      <c r="F60" s="26"/>
      <c r="G60" s="26"/>
      <c r="H60" s="26"/>
      <c r="I60" s="26"/>
      <c r="J60" s="26"/>
      <c r="K60" s="26"/>
      <c r="L60" s="35"/>
      <c r="M60" s="27"/>
    </row>
    <row r="61" spans="1:14" s="28" customFormat="1" ht="19.95" customHeight="1" x14ac:dyDescent="0.25">
      <c r="B61" s="29"/>
      <c r="C61" s="29"/>
      <c r="D61" s="30"/>
      <c r="E61" s="29"/>
      <c r="F61" s="29"/>
      <c r="G61" s="29"/>
      <c r="H61" s="29"/>
      <c r="I61" s="29"/>
      <c r="J61" s="29"/>
      <c r="K61" s="29"/>
      <c r="L61" s="31"/>
    </row>
    <row r="62" spans="1:14" ht="19.95" customHeight="1" thickBot="1" x14ac:dyDescent="0.3">
      <c r="B62" s="72" t="s">
        <v>54</v>
      </c>
      <c r="C62" s="72"/>
      <c r="D62" s="72"/>
      <c r="E62" s="20">
        <f t="shared" ref="E62:K62" si="4">SUM(E12:E60)</f>
        <v>11</v>
      </c>
      <c r="F62" s="20">
        <f t="shared" si="4"/>
        <v>10</v>
      </c>
      <c r="G62" s="20">
        <f t="shared" si="4"/>
        <v>11</v>
      </c>
      <c r="H62" s="20">
        <f t="shared" si="4"/>
        <v>0</v>
      </c>
      <c r="I62" s="20">
        <f t="shared" si="4"/>
        <v>0</v>
      </c>
      <c r="J62" s="20">
        <f t="shared" si="4"/>
        <v>0</v>
      </c>
      <c r="K62" s="20">
        <f t="shared" si="4"/>
        <v>0</v>
      </c>
    </row>
    <row r="63" spans="1:14" s="9" customFormat="1" ht="19.95" customHeight="1" thickTop="1" x14ac:dyDescent="0.25">
      <c r="A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</sheetData>
  <mergeCells count="10">
    <mergeCell ref="L9:L11"/>
    <mergeCell ref="M9:M11"/>
    <mergeCell ref="B62:D62"/>
    <mergeCell ref="B2:F2"/>
    <mergeCell ref="B3:E3"/>
    <mergeCell ref="F6:G6"/>
    <mergeCell ref="B9:B11"/>
    <mergeCell ref="D9:D11"/>
    <mergeCell ref="E9:K9"/>
    <mergeCell ref="C9:C11"/>
  </mergeCells>
  <printOptions horizontalCentered="1"/>
  <pageMargins left="0" right="0" top="0.25" bottom="0" header="0.5" footer="0.5"/>
  <pageSetup scale="75" orientation="landscape" r:id="rId1"/>
  <headerFooter alignWithMargins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'(Drop Down) Data Base '!$B$5:$B$50</xm:f>
          </x14:formula1>
          <xm:sqref>B12:B60</xm:sqref>
        </x14:dataValidation>
        <x14:dataValidation type="list" allowBlank="1" showInputMessage="1" showErrorMessage="1" xr:uid="{00000000-0002-0000-0600-000001000000}">
          <x14:formula1>
            <xm:f>'(Drop Down) Data Base '!$D$5:$D$29</xm:f>
          </x14:formula1>
          <xm:sqref>D12:D60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Dashboard</vt:lpstr>
      <vt:lpstr>(Drop Down) Data Base </vt:lpstr>
      <vt:lpstr>1st week</vt:lpstr>
      <vt:lpstr>2nd week</vt:lpstr>
      <vt:lpstr>3rd week</vt:lpstr>
      <vt:lpstr>4th week</vt:lpstr>
      <vt:lpstr>5th week</vt:lpstr>
      <vt:lpstr>'1st week'!Print_Area</vt:lpstr>
      <vt:lpstr>'2nd week'!Print_Area</vt:lpstr>
      <vt:lpstr>'3rd week'!Print_Area</vt:lpstr>
      <vt:lpstr>'4th week'!Print_Area</vt:lpstr>
      <vt:lpstr>'5th week'!Print_Area</vt:lpstr>
      <vt:lpstr>Dashboard!Print_Area</vt:lpstr>
    </vt:vector>
  </TitlesOfParts>
  <Company>EETS,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Crooker</dc:creator>
  <cp:lastModifiedBy>tasya ramadhinta</cp:lastModifiedBy>
  <cp:lastPrinted>2022-04-05T18:17:45Z</cp:lastPrinted>
  <dcterms:created xsi:type="dcterms:W3CDTF">2013-03-27T16:35:35Z</dcterms:created>
  <dcterms:modified xsi:type="dcterms:W3CDTF">2023-07-10T05:29:18Z</dcterms:modified>
</cp:coreProperties>
</file>