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filterPrivacy="1"/>
  <xr:revisionPtr revIDLastSave="0" documentId="13_ncr:1_{B9A1E99B-CCDA-4499-ADC5-230472386C7B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Cash Flow Summary" sheetId="2" r:id="rId1"/>
    <sheet name="Cash Flow Forecast" sheetId="1" r:id="rId2"/>
  </sheets>
  <definedNames>
    <definedName name="Cash_Minimum">'Cash Flow Forecast'!$J$3</definedName>
    <definedName name="_xlnm.Print_Area" localSheetId="0">'Cash Flow Summary'!$A:$L</definedName>
    <definedName name="Start_Date">'Cash Flow Forecast'!$F$3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5" i="1" l="1"/>
  <c r="C5" i="1"/>
  <c r="D5" i="1"/>
  <c r="E5" i="1"/>
  <c r="F5" i="1"/>
  <c r="G5" i="1"/>
  <c r="H5" i="1"/>
  <c r="I5" i="1"/>
  <c r="J5" i="1"/>
  <c r="K5" i="1"/>
  <c r="L5" i="1"/>
  <c r="M5" i="1"/>
  <c r="N5" i="1"/>
  <c r="M3" i="2"/>
  <c r="O10" i="1"/>
  <c r="C6" i="1"/>
  <c r="C4" i="2"/>
  <c r="N4" i="2"/>
  <c r="O4" i="2"/>
  <c r="O53" i="1"/>
  <c r="O52" i="1"/>
  <c r="O51" i="1"/>
  <c r="O50" i="1"/>
  <c r="O49" i="1"/>
  <c r="N47" i="1"/>
  <c r="N54" i="1"/>
  <c r="M47" i="1"/>
  <c r="M54" i="1"/>
  <c r="L47" i="1"/>
  <c r="L54" i="1"/>
  <c r="K47" i="1"/>
  <c r="K54" i="1"/>
  <c r="J47" i="1"/>
  <c r="J54" i="1"/>
  <c r="I47" i="1"/>
  <c r="I54" i="1"/>
  <c r="H47" i="1"/>
  <c r="H54" i="1"/>
  <c r="G47" i="1"/>
  <c r="G54" i="1"/>
  <c r="F47" i="1"/>
  <c r="F54" i="1"/>
  <c r="E47" i="1"/>
  <c r="E54" i="1"/>
  <c r="D47" i="1"/>
  <c r="D54" i="1"/>
  <c r="C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N17" i="1"/>
  <c r="M17" i="1"/>
  <c r="L17" i="1"/>
  <c r="K17" i="1"/>
  <c r="J17" i="1"/>
  <c r="I17" i="1"/>
  <c r="H17" i="1"/>
  <c r="G17" i="1"/>
  <c r="F17" i="1"/>
  <c r="E17" i="1"/>
  <c r="D17" i="1"/>
  <c r="C17" i="1"/>
  <c r="O16" i="1"/>
  <c r="O14" i="1"/>
  <c r="O13" i="1"/>
  <c r="O12" i="1"/>
  <c r="O11" i="1"/>
  <c r="B4" i="2"/>
  <c r="M4" i="2"/>
  <c r="O17" i="1"/>
  <c r="O47" i="1"/>
  <c r="O54" i="1"/>
  <c r="C18" i="1"/>
  <c r="C54" i="1"/>
  <c r="B5" i="2"/>
  <c r="M5" i="2"/>
  <c r="C55" i="1"/>
  <c r="D6" i="1"/>
  <c r="C5" i="2"/>
  <c r="O5" i="2"/>
  <c r="N5" i="2"/>
  <c r="D18" i="1"/>
  <c r="D55" i="1"/>
  <c r="E6" i="1"/>
  <c r="C6" i="2"/>
  <c r="B6" i="2"/>
  <c r="M6" i="2"/>
  <c r="N6" i="2"/>
  <c r="O6" i="2"/>
  <c r="E18" i="1"/>
  <c r="E55" i="1"/>
  <c r="F6" i="1"/>
  <c r="C7" i="2"/>
  <c r="B7" i="2"/>
  <c r="M7" i="2"/>
  <c r="O7" i="2"/>
  <c r="N7" i="2"/>
  <c r="F18" i="1"/>
  <c r="F55" i="1"/>
  <c r="G6" i="1"/>
  <c r="C8" i="2"/>
  <c r="B8" i="2"/>
  <c r="M8" i="2"/>
  <c r="N8" i="2"/>
  <c r="O8" i="2"/>
  <c r="G18" i="1"/>
  <c r="G55" i="1"/>
  <c r="H6" i="1"/>
  <c r="C9" i="2"/>
  <c r="B9" i="2"/>
  <c r="M9" i="2"/>
  <c r="O9" i="2"/>
  <c r="N9" i="2"/>
  <c r="H18" i="1"/>
  <c r="H55" i="1"/>
  <c r="I6" i="1"/>
  <c r="C10" i="2"/>
  <c r="B10" i="2"/>
  <c r="M10" i="2"/>
  <c r="N10" i="2"/>
  <c r="O10" i="2"/>
  <c r="I18" i="1"/>
  <c r="I55" i="1"/>
  <c r="J6" i="1"/>
  <c r="C11" i="2"/>
  <c r="B11" i="2"/>
  <c r="M11" i="2"/>
  <c r="O11" i="2"/>
  <c r="N11" i="2"/>
  <c r="J18" i="1"/>
  <c r="J55" i="1"/>
  <c r="K6" i="1"/>
  <c r="C12" i="2"/>
  <c r="B12" i="2"/>
  <c r="M12" i="2"/>
  <c r="N12" i="2"/>
  <c r="O12" i="2"/>
  <c r="K18" i="1"/>
  <c r="K55" i="1"/>
  <c r="L6" i="1"/>
  <c r="C13" i="2"/>
  <c r="B13" i="2"/>
  <c r="M13" i="2"/>
  <c r="N13" i="2"/>
  <c r="O13" i="2"/>
  <c r="L18" i="1"/>
  <c r="L55" i="1"/>
  <c r="M6" i="1"/>
  <c r="C14" i="2"/>
  <c r="B15" i="2"/>
  <c r="M15" i="2"/>
  <c r="B14" i="2"/>
  <c r="M14" i="2"/>
  <c r="N14" i="2"/>
  <c r="O14" i="2"/>
  <c r="M18" i="1"/>
  <c r="M55" i="1"/>
  <c r="N6" i="1"/>
  <c r="C15" i="2"/>
  <c r="O15" i="2"/>
  <c r="N15" i="2"/>
  <c r="N18" i="1"/>
  <c r="N55" i="1"/>
</calcChain>
</file>

<file path=xl/sharedStrings.xml><?xml version="1.0" encoding="utf-8"?>
<sst xmlns="http://schemas.openxmlformats.org/spreadsheetml/2006/main" count="62" uniqueCount="59">
  <si>
    <t>Total</t>
  </si>
  <si>
    <t>Cash sales</t>
  </si>
  <si>
    <t>Returns and allowances</t>
  </si>
  <si>
    <t>Collections on accounts receivable</t>
  </si>
  <si>
    <t>Interest, other income</t>
  </si>
  <si>
    <t>Loan proceeds</t>
  </si>
  <si>
    <t>Owner contributions</t>
  </si>
  <si>
    <t>Advertising</t>
  </si>
  <si>
    <t>Commissions and fees</t>
  </si>
  <si>
    <t>Contract labor</t>
  </si>
  <si>
    <t>Employee benefit programs</t>
  </si>
  <si>
    <t>Insurance (other than health)</t>
  </si>
  <si>
    <t>Interest expense</t>
  </si>
  <si>
    <t>Materials and supplies (in COGS)</t>
  </si>
  <si>
    <t>Meals and entertainment</t>
  </si>
  <si>
    <t>Mortgage interest</t>
  </si>
  <si>
    <t>Office expense</t>
  </si>
  <si>
    <t>Other interest expense</t>
  </si>
  <si>
    <t>Pension and profit-sharing plan</t>
  </si>
  <si>
    <t>Purchases for resale</t>
  </si>
  <si>
    <t>Rent or lease</t>
  </si>
  <si>
    <t>Rent or lease: vehicles, equipment</t>
  </si>
  <si>
    <t>Repairs and maintenance</t>
  </si>
  <si>
    <t>Supplies (not in COGS)</t>
  </si>
  <si>
    <t>Taxes and licenses</t>
  </si>
  <si>
    <t>Travel</t>
  </si>
  <si>
    <t>Utilities</t>
  </si>
  <si>
    <t>Wages (less emp. credits)</t>
  </si>
  <si>
    <t>Other expenses</t>
  </si>
  <si>
    <t>Miscellaneous</t>
  </si>
  <si>
    <t>Loan principal payment</t>
  </si>
  <si>
    <t>Capital purchases</t>
  </si>
  <si>
    <t>Other startup costs</t>
  </si>
  <si>
    <t>To reserve and/or escrow</t>
  </si>
  <si>
    <t>Owners' withdrawal</t>
  </si>
  <si>
    <t>Cash on hand (end of month)</t>
  </si>
  <si>
    <t>Sales volume (dollars)</t>
  </si>
  <si>
    <t>Accounts receivable balance</t>
  </si>
  <si>
    <t>Bad debt balance</t>
  </si>
  <si>
    <t>Inventory on hand</t>
  </si>
  <si>
    <t>Accounts payable balance</t>
  </si>
  <si>
    <t>Depreciation</t>
  </si>
  <si>
    <t xml:space="preserve"> </t>
  </si>
  <si>
    <t>Starting cash on hand</t>
  </si>
  <si>
    <t>Subtotal</t>
  </si>
  <si>
    <t>Total Cash Paid Out</t>
  </si>
  <si>
    <t>Other Operating Data</t>
  </si>
  <si>
    <t>Other receipts</t>
  </si>
  <si>
    <t>Cash on Hand</t>
  </si>
  <si>
    <t>Below Minimum</t>
  </si>
  <si>
    <t>Not Below Minimum</t>
  </si>
  <si>
    <t>Bulan</t>
  </si>
  <si>
    <t>Tanggal Mulai</t>
  </si>
  <si>
    <t>Peringatan saldo minimum tunai</t>
  </si>
  <si>
    <t>Uang tunai (awal bulan)</t>
  </si>
  <si>
    <t>Penerimaan Tunai</t>
  </si>
  <si>
    <t>Jumlah Penerimaan Kas</t>
  </si>
  <si>
    <t>Total Kas Tersedia</t>
  </si>
  <si>
    <t>Pembayaran Tunai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</si>
</sst>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mmm\ yyyy"/>
    <numFmt numFmtId="166" formatCode="mmmm\ yyyy"/>
    <numFmt numFmtId="167" formatCode="mmm"/>
    <numFmt numFmtId="168" formatCode="_([$IDR]\ * #,##0.00_);_([$IDR]\ * \(#,##0.00\);_([$IDR]\ * &quot;-&quot;??_);_(@_)"/>
  </numFmts>
  <fonts count="7" x14ac:knownFonts="1">
    <font>
      <sz val="11"/>
      <color theme="1"/>
      <name val="Franklin Gothic Book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sz val="14"/>
      <color theme="5"/>
      <name val="Arial"/>
      <family val="2"/>
    </font>
    <font>
      <sz val="10"/>
      <color theme="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</fills>
  <borders count="4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3" tint="0.7999816888943144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3" tint="0.79998168889431442"/>
      </right>
      <top style="thin">
        <color theme="3" tint="0.79998168889431442"/>
      </top>
      <bottom style="thin">
        <color theme="0"/>
      </bottom>
      <diagonal/>
    </border>
    <border>
      <left/>
      <right style="thin">
        <color theme="3" tint="0.79998168889431442"/>
      </right>
      <top style="thin">
        <color theme="0"/>
      </top>
      <bottom style="thin">
        <color theme="0"/>
      </bottom>
      <diagonal/>
    </border>
    <border>
      <left style="thin">
        <color theme="3" tint="0.7999816888943144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3" tint="0.79998168889431442"/>
      </right>
      <top style="thin">
        <color theme="0"/>
      </top>
      <bottom style="thin">
        <color theme="0"/>
      </bottom>
      <diagonal/>
    </border>
    <border>
      <left style="thin">
        <color theme="3" tint="0.79998168889431442"/>
      </left>
      <right style="thin">
        <color theme="0"/>
      </right>
      <top style="thin">
        <color theme="0"/>
      </top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3" tint="0.79998168889431442"/>
      </bottom>
      <diagonal/>
    </border>
    <border>
      <left style="thin">
        <color theme="0"/>
      </left>
      <right style="thin">
        <color theme="3" tint="0.79998168889431442"/>
      </right>
      <top style="thin">
        <color theme="0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0"/>
      </right>
      <top/>
      <bottom style="thin">
        <color theme="3" tint="0.79998168889431442"/>
      </bottom>
      <diagonal/>
    </border>
    <border>
      <left style="thin">
        <color theme="0"/>
      </left>
      <right style="thin">
        <color theme="0"/>
      </right>
      <top/>
      <bottom style="thin">
        <color theme="3" tint="0.79998168889431442"/>
      </bottom>
      <diagonal/>
    </border>
    <border>
      <left style="thin">
        <color theme="3" tint="0.79995117038483843"/>
      </left>
      <right style="thin">
        <color theme="3" tint="0.79998168889431442"/>
      </right>
      <top style="thin">
        <color theme="3" tint="0.79995117038483843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5117038483843"/>
      </top>
      <bottom style="thin">
        <color theme="3" tint="0.79998168889431442"/>
      </bottom>
      <diagonal/>
    </border>
    <border>
      <left/>
      <right style="thin">
        <color theme="3" tint="0.79995117038483843"/>
      </right>
      <top style="thin">
        <color theme="3" tint="0.79995117038483843"/>
      </top>
      <bottom style="thin">
        <color theme="0"/>
      </bottom>
      <diagonal/>
    </border>
    <border>
      <left style="thin">
        <color theme="3" tint="0.79995117038483843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511703848384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3" tint="0.79995117038483843"/>
      </right>
      <top style="thin">
        <color theme="0"/>
      </top>
      <bottom style="thin">
        <color theme="3" tint="0.79995117038483843"/>
      </bottom>
      <diagonal/>
    </border>
    <border>
      <left style="thin">
        <color theme="3" tint="0.79995117038483843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3" tint="0.79995117038483843"/>
      </right>
      <top style="thin">
        <color theme="0"/>
      </top>
      <bottom style="thin">
        <color theme="0"/>
      </bottom>
      <diagonal/>
    </border>
    <border>
      <left style="thin">
        <color theme="3" tint="0.79995117038483843"/>
      </left>
      <right style="thin">
        <color theme="0"/>
      </right>
      <top style="thin">
        <color theme="0"/>
      </top>
      <bottom style="thin">
        <color theme="3" tint="0.7999511703848384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3" tint="0.79995117038483843"/>
      </bottom>
      <diagonal/>
    </border>
    <border>
      <left style="thin">
        <color theme="3" tint="0.79998168889431442"/>
      </left>
      <right/>
      <top style="thin">
        <color theme="3" tint="0.79995117038483843"/>
      </top>
      <bottom style="thin">
        <color theme="3" tint="0.79998168889431442"/>
      </bottom>
      <diagonal/>
    </border>
    <border>
      <left style="thin">
        <color theme="3" tint="0.79992065187536243"/>
      </left>
      <right style="thin">
        <color theme="3" tint="0.79998168889431442"/>
      </right>
      <top style="thin">
        <color theme="3" tint="0.79992065187536243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2065187536243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2065187536243"/>
      </top>
      <bottom style="thin">
        <color theme="3" tint="0.79998168889431442"/>
      </bottom>
      <diagonal/>
    </border>
    <border>
      <left style="thin">
        <color theme="3" tint="0.79995117038483843"/>
      </left>
      <right style="thin">
        <color theme="3" tint="0.79992065187536243"/>
      </right>
      <top style="thin">
        <color theme="3" tint="0.79992065187536243"/>
      </top>
      <bottom style="thin">
        <color theme="0"/>
      </bottom>
      <diagonal/>
    </border>
    <border>
      <left style="thin">
        <color theme="3" tint="0.79992065187536243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/>
      <right style="thin">
        <color theme="3" tint="0.79992065187536243"/>
      </right>
      <top style="thin">
        <color theme="0"/>
      </top>
      <bottom style="thin">
        <color theme="0"/>
      </bottom>
      <diagonal/>
    </border>
    <border>
      <left style="thin">
        <color theme="3" tint="0.79992065187536243"/>
      </left>
      <right style="thin">
        <color theme="3" tint="0.79998168889431442"/>
      </right>
      <top style="thin">
        <color theme="3" tint="0.79995117038483843"/>
      </top>
      <bottom style="thin">
        <color theme="3" tint="0.79998168889431442"/>
      </bottom>
      <diagonal/>
    </border>
    <border>
      <left style="thin">
        <color theme="3" tint="0.79995117038483843"/>
      </left>
      <right style="thin">
        <color theme="3" tint="0.79992065187536243"/>
      </right>
      <top style="thin">
        <color theme="0"/>
      </top>
      <bottom style="thin">
        <color theme="0"/>
      </bottom>
      <diagonal/>
    </border>
    <border>
      <left style="thin">
        <color theme="3" tint="0.79992065187536243"/>
      </left>
      <right style="thin">
        <color theme="3" tint="0.79998168889431442"/>
      </right>
      <top style="thin">
        <color theme="3" tint="0.79998168889431442"/>
      </top>
      <bottom style="thin">
        <color theme="3" tint="0.79992065187536243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2065187536243"/>
      </bottom>
      <diagonal/>
    </border>
    <border>
      <left/>
      <right style="thin">
        <color theme="3" tint="0.79992065187536243"/>
      </right>
      <top style="thin">
        <color theme="0"/>
      </top>
      <bottom style="thin">
        <color theme="3" tint="0.79992065187536243"/>
      </bottom>
      <diagonal/>
    </border>
    <border>
      <left style="thin">
        <color theme="3"/>
      </left>
      <right style="thin">
        <color theme="0"/>
      </right>
      <top style="thin">
        <color theme="3"/>
      </top>
      <bottom/>
      <diagonal/>
    </border>
    <border>
      <left style="thin">
        <color theme="0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 tint="0.79998168889431442"/>
      </right>
      <top/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/>
      </right>
      <top/>
      <bottom style="thin">
        <color theme="3" tint="0.79998168889431442"/>
      </bottom>
      <diagonal/>
    </border>
    <border>
      <left style="thin">
        <color theme="3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/>
      </right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/>
      </left>
      <right style="thin">
        <color theme="3" tint="0.79998168889431442"/>
      </right>
      <top style="thin">
        <color theme="3" tint="0.79998168889431442"/>
      </top>
      <bottom style="thin">
        <color theme="3"/>
      </bottom>
      <diagonal/>
    </border>
    <border>
      <left style="thin">
        <color theme="3" tint="0.79998168889431442"/>
      </left>
      <right style="thin">
        <color theme="3"/>
      </right>
      <top style="thin">
        <color theme="3" tint="0.79998168889431442"/>
      </top>
      <bottom style="thin">
        <color theme="3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left" vertical="center" indent="1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6" fontId="1" fillId="0" borderId="42" xfId="0" applyNumberFormat="1" applyFont="1" applyBorder="1" applyAlignment="1">
      <alignment horizontal="center" vertical="center"/>
    </xf>
    <xf numFmtId="168" fontId="1" fillId="0" borderId="43" xfId="0" applyNumberFormat="1" applyFont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6" fontId="1" fillId="3" borderId="44" xfId="0" applyNumberFormat="1" applyFont="1" applyFill="1" applyBorder="1" applyAlignment="1">
      <alignment horizontal="center" vertical="center"/>
    </xf>
    <xf numFmtId="168" fontId="1" fillId="3" borderId="45" xfId="0" applyNumberFormat="1" applyFont="1" applyFill="1" applyBorder="1" applyAlignment="1">
      <alignment horizontal="center" vertical="center"/>
    </xf>
    <xf numFmtId="166" fontId="1" fillId="0" borderId="44" xfId="0" applyNumberFormat="1" applyFont="1" applyBorder="1" applyAlignment="1">
      <alignment horizontal="center" vertical="center"/>
    </xf>
    <xf numFmtId="168" fontId="1" fillId="0" borderId="45" xfId="0" applyNumberFormat="1" applyFont="1" applyBorder="1" applyAlignment="1">
      <alignment horizontal="center" vertical="center"/>
    </xf>
    <xf numFmtId="166" fontId="1" fillId="3" borderId="46" xfId="0" applyNumberFormat="1" applyFont="1" applyFill="1" applyBorder="1" applyAlignment="1">
      <alignment horizontal="center" vertical="center"/>
    </xf>
    <xf numFmtId="168" fontId="1" fillId="3" borderId="47" xfId="0" applyNumberFormat="1" applyFont="1" applyFill="1" applyBorder="1" applyAlignment="1">
      <alignment horizontal="center" vertical="center"/>
    </xf>
    <xf numFmtId="166" fontId="3" fillId="4" borderId="40" xfId="0" applyNumberFormat="1" applyFont="1" applyFill="1" applyBorder="1" applyAlignment="1">
      <alignment horizontal="center" vertical="center"/>
    </xf>
    <xf numFmtId="166" fontId="3" fillId="4" borderId="41" xfId="0" applyNumberFormat="1" applyFont="1" applyFill="1" applyBorder="1" applyAlignment="1">
      <alignment horizontal="center" vertical="center"/>
    </xf>
    <xf numFmtId="168" fontId="1" fillId="3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5" fontId="1" fillId="3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168" fontId="1" fillId="2" borderId="7" xfId="0" applyNumberFormat="1" applyFont="1" applyFill="1" applyBorder="1" applyAlignment="1">
      <alignment horizontal="center" vertical="center"/>
    </xf>
    <xf numFmtId="168" fontId="1" fillId="2" borderId="8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center" vertical="center"/>
    </xf>
    <xf numFmtId="168" fontId="1" fillId="0" borderId="3" xfId="0" applyNumberFormat="1" applyFont="1" applyBorder="1" applyAlignment="1">
      <alignment horizontal="center" vertical="center"/>
    </xf>
    <xf numFmtId="168" fontId="1" fillId="2" borderId="9" xfId="0" applyNumberFormat="1" applyFont="1" applyFill="1" applyBorder="1" applyAlignment="1">
      <alignment horizontal="center" vertical="center"/>
    </xf>
    <xf numFmtId="168" fontId="1" fillId="3" borderId="3" xfId="0" applyNumberFormat="1" applyFont="1" applyFill="1" applyBorder="1" applyAlignment="1">
      <alignment horizontal="center" vertical="center"/>
    </xf>
    <xf numFmtId="168" fontId="1" fillId="2" borderId="1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 indent="1"/>
    </xf>
    <xf numFmtId="168" fontId="1" fillId="2" borderId="11" xfId="0" applyNumberFormat="1" applyFont="1" applyFill="1" applyBorder="1" applyAlignment="1">
      <alignment horizontal="center" vertical="center"/>
    </xf>
    <xf numFmtId="168" fontId="1" fillId="2" borderId="4" xfId="0" applyNumberFormat="1" applyFont="1" applyFill="1" applyBorder="1" applyAlignment="1">
      <alignment horizontal="center" vertical="center"/>
    </xf>
    <xf numFmtId="168" fontId="1" fillId="2" borderId="12" xfId="0" applyNumberFormat="1" applyFont="1" applyFill="1" applyBorder="1" applyAlignment="1">
      <alignment horizontal="center" vertical="center"/>
    </xf>
    <xf numFmtId="168" fontId="1" fillId="2" borderId="13" xfId="0" applyNumberFormat="1" applyFont="1" applyFill="1" applyBorder="1" applyAlignment="1">
      <alignment horizontal="center" vertical="center"/>
    </xf>
    <xf numFmtId="168" fontId="1" fillId="2" borderId="14" xfId="0" applyNumberFormat="1" applyFont="1" applyFill="1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168" fontId="1" fillId="2" borderId="16" xfId="0" applyNumberFormat="1" applyFont="1" applyFill="1" applyBorder="1" applyAlignment="1">
      <alignment horizontal="center" vertical="center"/>
    </xf>
    <xf numFmtId="168" fontId="1" fillId="2" borderId="17" xfId="0" applyNumberFormat="1" applyFont="1" applyFill="1" applyBorder="1" applyAlignment="1">
      <alignment horizontal="center" vertical="center"/>
    </xf>
    <xf numFmtId="168" fontId="1" fillId="2" borderId="15" xfId="0" applyNumberFormat="1" applyFont="1" applyFill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2" borderId="22" xfId="0" applyNumberFormat="1" applyFont="1" applyFill="1" applyBorder="1" applyAlignment="1">
      <alignment horizontal="center" vertical="center"/>
    </xf>
    <xf numFmtId="164" fontId="1" fillId="2" borderId="2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25" xfId="0" applyNumberFormat="1" applyFont="1" applyFill="1" applyBorder="1" applyAlignment="1">
      <alignment horizontal="center" vertical="center"/>
    </xf>
    <xf numFmtId="164" fontId="1" fillId="2" borderId="26" xfId="0" applyNumberFormat="1" applyFont="1" applyFill="1" applyBorder="1" applyAlignment="1">
      <alignment horizontal="center" vertical="center"/>
    </xf>
    <xf numFmtId="164" fontId="1" fillId="2" borderId="27" xfId="0" applyNumberFormat="1" applyFont="1" applyFill="1" applyBorder="1" applyAlignment="1">
      <alignment horizontal="center" vertical="center"/>
    </xf>
    <xf numFmtId="164" fontId="1" fillId="2" borderId="23" xfId="0" applyNumberFormat="1" applyFont="1" applyFill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2" borderId="32" xfId="0" applyNumberFormat="1" applyFont="1" applyFill="1" applyBorder="1" applyAlignment="1">
      <alignment horizontal="center" vertical="center"/>
    </xf>
    <xf numFmtId="164" fontId="1" fillId="3" borderId="33" xfId="0" applyNumberFormat="1" applyFont="1" applyFill="1" applyBorder="1" applyAlignment="1">
      <alignment horizontal="center" vertical="center"/>
    </xf>
    <xf numFmtId="164" fontId="1" fillId="2" borderId="34" xfId="0" applyNumberFormat="1" applyFont="1" applyFill="1" applyBorder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2" borderId="36" xfId="0" applyNumberFormat="1" applyFont="1" applyFill="1" applyBorder="1" applyAlignment="1">
      <alignment horizontal="center" vertical="center"/>
    </xf>
    <xf numFmtId="164" fontId="1" fillId="3" borderId="37" xfId="0" applyNumberFormat="1" applyFont="1" applyFill="1" applyBorder="1" applyAlignment="1">
      <alignment horizontal="center" vertical="center"/>
    </xf>
    <xf numFmtId="164" fontId="1" fillId="3" borderId="38" xfId="0" applyNumberFormat="1" applyFont="1" applyFill="1" applyBorder="1" applyAlignment="1">
      <alignment horizontal="center" vertical="center"/>
    </xf>
    <xf numFmtId="164" fontId="1" fillId="2" borderId="39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4" borderId="6" xfId="0" applyNumberFormat="1" applyFont="1" applyFill="1" applyBorder="1" applyAlignment="1">
      <alignment horizontal="center" vertical="center"/>
    </xf>
    <xf numFmtId="165" fontId="2" fillId="4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19448494864066"/>
          <c:y val="5.8119658119658121E-2"/>
          <c:w val="0.83359563850814944"/>
          <c:h val="0.8659656773672521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'Cash Flow Summary'!$N$3</c:f>
              <c:strCache>
                <c:ptCount val="1"/>
                <c:pt idx="0">
                  <c:v> Not Below Minimum 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'Cash Flow Summary'!$M$4:$M$15</c:f>
              <c:numCache>
                <c:formatCode>mmm</c:formatCode>
                <c:ptCount val="12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</c:numCache>
            </c:numRef>
          </c:cat>
          <c:val>
            <c:numRef>
              <c:f>'Cash Flow Summary'!$N$4:$N$15</c:f>
              <c:numCache>
                <c:formatCode>_("$"* #,##0.00_);_("$"* \(#,##0.00\);_("$"* "-"??_);_(@_)</c:formatCode>
                <c:ptCount val="12"/>
                <c:pt idx="0">
                  <c:v>10000</c:v>
                </c:pt>
                <c:pt idx="1">
                  <c:v>8050</c:v>
                </c:pt>
                <c:pt idx="2">
                  <c:v>9350</c:v>
                </c:pt>
                <c:pt idx="3">
                  <c:v>0</c:v>
                </c:pt>
                <c:pt idx="4">
                  <c:v>2190</c:v>
                </c:pt>
                <c:pt idx="5">
                  <c:v>13590</c:v>
                </c:pt>
                <c:pt idx="6">
                  <c:v>13790</c:v>
                </c:pt>
                <c:pt idx="7">
                  <c:v>15290</c:v>
                </c:pt>
                <c:pt idx="8">
                  <c:v>16410</c:v>
                </c:pt>
                <c:pt idx="9">
                  <c:v>14360</c:v>
                </c:pt>
                <c:pt idx="10">
                  <c:v>16560</c:v>
                </c:pt>
                <c:pt idx="11">
                  <c:v>18780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3-4CE7-B897-FBFDF37D1590}"/>
            </c:ext>
          </c:extLst>
        </c:ser>
        <c:ser>
          <c:idx val="1"/>
          <c:order val="1"/>
          <c:tx>
            <c:strRef>
              <c:f>'Cash Flow Summary'!$O$3</c:f>
              <c:strCache>
                <c:ptCount val="1"/>
                <c:pt idx="0">
                  <c:v> Below Minimum 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'Cash Flow Summary'!$M$4:$M$15</c:f>
              <c:numCache>
                <c:formatCode>mmm</c:formatCode>
                <c:ptCount val="12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</c:numCache>
            </c:numRef>
          </c:cat>
          <c:val>
            <c:numRef>
              <c:f>'Cash Flow Summary'!$O$4:$O$15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890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3-4CE7-B897-FBFDF37D1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88037200"/>
        <c:axId val="688042776"/>
      </c:barChart>
      <c:dateAx>
        <c:axId val="688037200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042776"/>
        <c:crosses val="autoZero"/>
        <c:auto val="1"/>
        <c:lblOffset val="100"/>
        <c:baseTimeUnit val="months"/>
      </c:dateAx>
      <c:valAx>
        <c:axId val="68804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IDR]\ * #,##0_);_([$IDR]\ * \(#,##0\);_([$IDR]\ 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428624</xdr:rowOff>
    </xdr:from>
    <xdr:to>
      <xdr:col>11</xdr:col>
      <xdr:colOff>0</xdr:colOff>
      <xdr:row>14</xdr:row>
      <xdr:rowOff>276224</xdr:rowOff>
    </xdr:to>
    <xdr:graphicFrame macro="">
      <xdr:nvGraphicFramePr>
        <xdr:cNvPr id="2" name="Chart 1" descr="cash flow 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87086</xdr:colOff>
      <xdr:row>0</xdr:row>
      <xdr:rowOff>704850</xdr:rowOff>
    </xdr:from>
    <xdr:to>
      <xdr:col>7</xdr:col>
      <xdr:colOff>104775</xdr:colOff>
      <xdr:row>0</xdr:row>
      <xdr:rowOff>1390650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39486" y="704850"/>
          <a:ext cx="5265964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US" sz="32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Bagan Arus Kas</a:t>
          </a:r>
          <a:endParaRPr lang="en-US" sz="3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247652</xdr:colOff>
      <xdr:row>0</xdr:row>
      <xdr:rowOff>344260</xdr:rowOff>
    </xdr:from>
    <xdr:to>
      <xdr:col>5</xdr:col>
      <xdr:colOff>114300</xdr:colOff>
      <xdr:row>0</xdr:row>
      <xdr:rowOff>1306285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84812" y="344260"/>
          <a:ext cx="4674868" cy="962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91440" algn="l"/>
          <a:r>
            <a:rPr lang="en-US" sz="2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XYZ Private Ltd</a:t>
          </a:r>
        </a:p>
        <a:p>
          <a:pPr marL="91440" algn="l"/>
          <a:r>
            <a:rPr lang="en-US" sz="2800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Arus Kas dan Cash in Hand</a:t>
          </a:r>
          <a:endParaRPr lang="en-US" sz="280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Business Templates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5"/>
  <sheetViews>
    <sheetView showGridLines="0" showRowColHeaders="0" zoomScale="55" zoomScaleNormal="55" workbookViewId="0">
      <selection activeCell="R15" sqref="R15"/>
    </sheetView>
  </sheetViews>
  <sheetFormatPr defaultColWidth="8.77734375" defaultRowHeight="21.95" customHeight="1" x14ac:dyDescent="0.3"/>
  <cols>
    <col min="1" max="1" width="1.77734375" style="3" customWidth="1"/>
    <col min="2" max="3" width="14.77734375" style="4" customWidth="1"/>
    <col min="4" max="4" width="4.77734375" style="2" customWidth="1"/>
    <col min="5" max="10" width="8.77734375" style="3"/>
    <col min="11" max="11" width="18.6640625" style="3" customWidth="1"/>
    <col min="12" max="12" width="1.77734375" style="3" customWidth="1"/>
    <col min="13" max="15" width="8.77734375" style="5" customWidth="1"/>
    <col min="16" max="16384" width="8.77734375" style="3"/>
  </cols>
  <sheetData>
    <row r="1" spans="2:15" ht="116.25" customHeight="1" x14ac:dyDescent="0.3">
      <c r="B1" s="1"/>
      <c r="C1" s="2"/>
      <c r="E1" s="2"/>
      <c r="F1" s="2"/>
      <c r="G1" s="2"/>
      <c r="H1" s="2"/>
      <c r="I1" s="2"/>
      <c r="J1" s="2"/>
      <c r="K1" s="2"/>
      <c r="L1" s="2" t="s">
        <v>42</v>
      </c>
      <c r="M1" s="2"/>
      <c r="N1" s="2"/>
      <c r="O1" s="2"/>
    </row>
    <row r="2" spans="2:15" ht="32.1" customHeight="1" x14ac:dyDescent="0.3"/>
    <row r="3" spans="2:15" ht="32.1" customHeight="1" x14ac:dyDescent="0.3">
      <c r="B3" s="17" t="s">
        <v>51</v>
      </c>
      <c r="C3" s="18" t="s">
        <v>48</v>
      </c>
      <c r="M3" s="6" t="str">
        <f>B3</f>
        <v>Bulan</v>
      </c>
      <c r="N3" s="7" t="s">
        <v>50</v>
      </c>
      <c r="O3" s="7" t="s">
        <v>49</v>
      </c>
    </row>
    <row r="4" spans="2:15" ht="21.95" customHeight="1" x14ac:dyDescent="0.3">
      <c r="B4" s="8">
        <f>'Cash Flow Forecast'!C5</f>
        <v>44652</v>
      </c>
      <c r="C4" s="9">
        <f>'Cash Flow Forecast'!C6</f>
        <v>10000</v>
      </c>
      <c r="M4" s="10">
        <f t="shared" ref="M4:M15" si="0">B4</f>
        <v>44652</v>
      </c>
      <c r="N4" s="7">
        <f t="shared" ref="N4:N15" si="1">IF(C4&lt;Cash_Minimum,0,C4)</f>
        <v>10000</v>
      </c>
      <c r="O4" s="7">
        <f t="shared" ref="O4:O15" si="2">IF(C4&lt;Cash_Minimum,C4,0)</f>
        <v>0</v>
      </c>
    </row>
    <row r="5" spans="2:15" ht="21.95" customHeight="1" x14ac:dyDescent="0.3">
      <c r="B5" s="11">
        <f>'Cash Flow Forecast'!D5</f>
        <v>44682</v>
      </c>
      <c r="C5" s="12">
        <f>'Cash Flow Forecast'!D6</f>
        <v>8050</v>
      </c>
      <c r="M5" s="10">
        <f t="shared" si="0"/>
        <v>44682</v>
      </c>
      <c r="N5" s="7">
        <f t="shared" si="1"/>
        <v>8050</v>
      </c>
      <c r="O5" s="7">
        <f t="shared" si="2"/>
        <v>0</v>
      </c>
    </row>
    <row r="6" spans="2:15" ht="21.95" customHeight="1" x14ac:dyDescent="0.3">
      <c r="B6" s="13">
        <f>'Cash Flow Forecast'!E5</f>
        <v>44713</v>
      </c>
      <c r="C6" s="14">
        <f>'Cash Flow Forecast'!E6</f>
        <v>9350</v>
      </c>
      <c r="M6" s="10">
        <f t="shared" si="0"/>
        <v>44713</v>
      </c>
      <c r="N6" s="7">
        <f t="shared" si="1"/>
        <v>9350</v>
      </c>
      <c r="O6" s="7">
        <f t="shared" si="2"/>
        <v>0</v>
      </c>
    </row>
    <row r="7" spans="2:15" ht="21.95" customHeight="1" x14ac:dyDescent="0.3">
      <c r="B7" s="11">
        <f>'Cash Flow Forecast'!F5</f>
        <v>44743</v>
      </c>
      <c r="C7" s="12">
        <f>'Cash Flow Forecast'!F6</f>
        <v>890</v>
      </c>
      <c r="M7" s="10">
        <f t="shared" si="0"/>
        <v>44743</v>
      </c>
      <c r="N7" s="7">
        <f t="shared" si="1"/>
        <v>0</v>
      </c>
      <c r="O7" s="7">
        <f t="shared" si="2"/>
        <v>890</v>
      </c>
    </row>
    <row r="8" spans="2:15" ht="21.95" customHeight="1" x14ac:dyDescent="0.3">
      <c r="B8" s="13">
        <f>'Cash Flow Forecast'!G5</f>
        <v>44774</v>
      </c>
      <c r="C8" s="14">
        <f>'Cash Flow Forecast'!G6</f>
        <v>2190</v>
      </c>
      <c r="M8" s="10">
        <f t="shared" si="0"/>
        <v>44774</v>
      </c>
      <c r="N8" s="7">
        <f t="shared" si="1"/>
        <v>2190</v>
      </c>
      <c r="O8" s="7">
        <f t="shared" si="2"/>
        <v>0</v>
      </c>
    </row>
    <row r="9" spans="2:15" ht="21.95" customHeight="1" x14ac:dyDescent="0.3">
      <c r="B9" s="11">
        <f>'Cash Flow Forecast'!H5</f>
        <v>44805</v>
      </c>
      <c r="C9" s="12">
        <f>'Cash Flow Forecast'!H6</f>
        <v>13590</v>
      </c>
      <c r="M9" s="10">
        <f t="shared" si="0"/>
        <v>44805</v>
      </c>
      <c r="N9" s="7">
        <f t="shared" si="1"/>
        <v>13590</v>
      </c>
      <c r="O9" s="7">
        <f t="shared" si="2"/>
        <v>0</v>
      </c>
    </row>
    <row r="10" spans="2:15" ht="21.95" customHeight="1" x14ac:dyDescent="0.3">
      <c r="B10" s="13">
        <f>'Cash Flow Forecast'!I5</f>
        <v>44835</v>
      </c>
      <c r="C10" s="14">
        <f>'Cash Flow Forecast'!I6</f>
        <v>13790</v>
      </c>
      <c r="M10" s="10">
        <f t="shared" si="0"/>
        <v>44835</v>
      </c>
      <c r="N10" s="7">
        <f t="shared" si="1"/>
        <v>13790</v>
      </c>
      <c r="O10" s="7">
        <f t="shared" si="2"/>
        <v>0</v>
      </c>
    </row>
    <row r="11" spans="2:15" ht="21.95" customHeight="1" x14ac:dyDescent="0.3">
      <c r="B11" s="11">
        <f>'Cash Flow Forecast'!J5</f>
        <v>44866</v>
      </c>
      <c r="C11" s="12">
        <f>'Cash Flow Forecast'!J6</f>
        <v>15290</v>
      </c>
      <c r="M11" s="10">
        <f t="shared" si="0"/>
        <v>44866</v>
      </c>
      <c r="N11" s="7">
        <f t="shared" si="1"/>
        <v>15290</v>
      </c>
      <c r="O11" s="7">
        <f t="shared" si="2"/>
        <v>0</v>
      </c>
    </row>
    <row r="12" spans="2:15" ht="21.95" customHeight="1" x14ac:dyDescent="0.3">
      <c r="B12" s="13">
        <f>'Cash Flow Forecast'!K5</f>
        <v>44896</v>
      </c>
      <c r="C12" s="14">
        <f>'Cash Flow Forecast'!K6</f>
        <v>16410</v>
      </c>
      <c r="M12" s="10">
        <f t="shared" si="0"/>
        <v>44896</v>
      </c>
      <c r="N12" s="7">
        <f t="shared" si="1"/>
        <v>16410</v>
      </c>
      <c r="O12" s="7">
        <f t="shared" si="2"/>
        <v>0</v>
      </c>
    </row>
    <row r="13" spans="2:15" ht="21.95" customHeight="1" x14ac:dyDescent="0.3">
      <c r="B13" s="11">
        <f>'Cash Flow Forecast'!L5</f>
        <v>44927</v>
      </c>
      <c r="C13" s="12">
        <f>'Cash Flow Forecast'!L6</f>
        <v>14360</v>
      </c>
      <c r="M13" s="10">
        <f t="shared" si="0"/>
        <v>44927</v>
      </c>
      <c r="N13" s="7">
        <f t="shared" si="1"/>
        <v>14360</v>
      </c>
      <c r="O13" s="7">
        <f t="shared" si="2"/>
        <v>0</v>
      </c>
    </row>
    <row r="14" spans="2:15" ht="21.95" customHeight="1" x14ac:dyDescent="0.3">
      <c r="B14" s="13">
        <f>'Cash Flow Forecast'!M5</f>
        <v>44958</v>
      </c>
      <c r="C14" s="14">
        <f>'Cash Flow Forecast'!M6</f>
        <v>16560</v>
      </c>
      <c r="M14" s="10">
        <f t="shared" si="0"/>
        <v>44958</v>
      </c>
      <c r="N14" s="7">
        <f t="shared" si="1"/>
        <v>16560</v>
      </c>
      <c r="O14" s="7">
        <f t="shared" si="2"/>
        <v>0</v>
      </c>
    </row>
    <row r="15" spans="2:15" ht="21.95" customHeight="1" x14ac:dyDescent="0.3">
      <c r="B15" s="15">
        <f>'Cash Flow Forecast'!N5</f>
        <v>44986</v>
      </c>
      <c r="C15" s="16">
        <f>'Cash Flow Forecast'!N6</f>
        <v>18780</v>
      </c>
      <c r="M15" s="10">
        <f t="shared" si="0"/>
        <v>44986</v>
      </c>
      <c r="N15" s="7">
        <f t="shared" si="1"/>
        <v>18780</v>
      </c>
      <c r="O15" s="7">
        <f t="shared" si="2"/>
        <v>0</v>
      </c>
    </row>
  </sheetData>
  <dataValidations count="1">
    <dataValidation allowBlank="1" showErrorMessage="1" prompt="This tab automatically reads from the Cash Flow Forecast tab and summarizes the forecast with a table and a chart." sqref="A1:XFD1048576" xr:uid="{00000000-0002-0000-0000-000000000000}"/>
  </dataValidations>
  <printOptions horizontalCentered="1"/>
  <pageMargins left="0.5" right="0.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64"/>
  <sheetViews>
    <sheetView showGridLines="0" showRowColHeaders="0" tabSelected="1" topLeftCell="A43" zoomScale="55" zoomScaleNormal="55" workbookViewId="0">
      <selection activeCell="R59" sqref="R59"/>
    </sheetView>
  </sheetViews>
  <sheetFormatPr defaultColWidth="8.77734375" defaultRowHeight="21.95" customHeight="1" x14ac:dyDescent="0.3"/>
  <cols>
    <col min="1" max="1" width="1.77734375" style="3" customWidth="1"/>
    <col min="2" max="2" width="28.6640625" style="1" bestFit="1" customWidth="1"/>
    <col min="3" max="14" width="11.44140625" style="2" customWidth="1"/>
    <col min="15" max="15" width="12.77734375" style="2" customWidth="1"/>
    <col min="16" max="16" width="1.77734375" style="3" customWidth="1"/>
    <col min="17" max="16384" width="8.77734375" style="3"/>
  </cols>
  <sheetData>
    <row r="1" spans="2:16" ht="116.25" customHeight="1" x14ac:dyDescent="0.3">
      <c r="P1" s="3" t="s">
        <v>42</v>
      </c>
    </row>
    <row r="2" spans="2:16" ht="21" customHeight="1" x14ac:dyDescent="0.3"/>
    <row r="3" spans="2:16" ht="32.1" customHeight="1" x14ac:dyDescent="0.3">
      <c r="B3" s="1" t="s">
        <v>43</v>
      </c>
      <c r="C3" s="19">
        <v>10000</v>
      </c>
      <c r="E3" s="20" t="s">
        <v>52</v>
      </c>
      <c r="F3" s="21">
        <v>44652</v>
      </c>
      <c r="G3" s="22"/>
      <c r="H3" s="1" t="s">
        <v>53</v>
      </c>
      <c r="J3" s="19">
        <v>2000</v>
      </c>
      <c r="K3" s="22"/>
      <c r="L3" s="22"/>
      <c r="M3" s="22"/>
      <c r="N3" s="22"/>
      <c r="O3" s="22"/>
    </row>
    <row r="4" spans="2:16" ht="21.95" customHeight="1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6" s="24" customFormat="1" ht="32.1" customHeight="1" x14ac:dyDescent="0.3">
      <c r="B5" s="23"/>
      <c r="C5" s="71">
        <f>IF(Start_Date="","",Start_Date)</f>
        <v>44652</v>
      </c>
      <c r="D5" s="72">
        <f>IF(C5="","",DATE(YEAR(C5),MONTH(C5)+1,1))</f>
        <v>44682</v>
      </c>
      <c r="E5" s="72">
        <f t="shared" ref="E5:N5" si="0">IF(D5="","",DATE(YEAR(D5),MONTH(D5)+1,1))</f>
        <v>44713</v>
      </c>
      <c r="F5" s="72">
        <f t="shared" si="0"/>
        <v>44743</v>
      </c>
      <c r="G5" s="72">
        <f t="shared" si="0"/>
        <v>44774</v>
      </c>
      <c r="H5" s="72">
        <f t="shared" si="0"/>
        <v>44805</v>
      </c>
      <c r="I5" s="72">
        <f t="shared" si="0"/>
        <v>44835</v>
      </c>
      <c r="J5" s="72">
        <f t="shared" si="0"/>
        <v>44866</v>
      </c>
      <c r="K5" s="72">
        <f t="shared" si="0"/>
        <v>44896</v>
      </c>
      <c r="L5" s="72">
        <f t="shared" si="0"/>
        <v>44927</v>
      </c>
      <c r="M5" s="72">
        <f t="shared" si="0"/>
        <v>44958</v>
      </c>
      <c r="N5" s="72">
        <f t="shared" si="0"/>
        <v>44986</v>
      </c>
      <c r="O5" s="70" t="s">
        <v>0</v>
      </c>
    </row>
    <row r="6" spans="2:16" ht="32.1" customHeight="1" x14ac:dyDescent="0.3">
      <c r="B6" s="1" t="s">
        <v>54</v>
      </c>
      <c r="C6" s="25">
        <f>C3</f>
        <v>10000</v>
      </c>
      <c r="D6" s="26">
        <f t="shared" ref="D6:N6" si="1">C55</f>
        <v>8050</v>
      </c>
      <c r="E6" s="26">
        <f t="shared" si="1"/>
        <v>9350</v>
      </c>
      <c r="F6" s="26">
        <f t="shared" si="1"/>
        <v>890</v>
      </c>
      <c r="G6" s="26">
        <f t="shared" si="1"/>
        <v>2190</v>
      </c>
      <c r="H6" s="26">
        <f t="shared" si="1"/>
        <v>13590</v>
      </c>
      <c r="I6" s="26">
        <f t="shared" si="1"/>
        <v>13790</v>
      </c>
      <c r="J6" s="26">
        <f t="shared" si="1"/>
        <v>15290</v>
      </c>
      <c r="K6" s="26">
        <f t="shared" si="1"/>
        <v>16410</v>
      </c>
      <c r="L6" s="26">
        <f t="shared" si="1"/>
        <v>14360</v>
      </c>
      <c r="M6" s="26">
        <f t="shared" si="1"/>
        <v>16560</v>
      </c>
      <c r="N6" s="26">
        <f t="shared" si="1"/>
        <v>18780</v>
      </c>
      <c r="O6" s="70"/>
    </row>
    <row r="7" spans="2:16" ht="9" customHeight="1" x14ac:dyDescent="0.3"/>
    <row r="8" spans="2:16" ht="21.95" customHeight="1" x14ac:dyDescent="0.3">
      <c r="B8" s="27" t="s">
        <v>55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</row>
    <row r="9" spans="2:16" ht="9" customHeight="1" x14ac:dyDescent="0.3"/>
    <row r="10" spans="2:16" ht="21.95" customHeight="1" x14ac:dyDescent="0.3">
      <c r="B10" s="1" t="s">
        <v>1</v>
      </c>
      <c r="C10" s="29">
        <v>2500</v>
      </c>
      <c r="D10" s="29">
        <v>3000</v>
      </c>
      <c r="E10" s="29">
        <v>3600</v>
      </c>
      <c r="F10" s="29">
        <v>3000</v>
      </c>
      <c r="G10" s="29">
        <v>14000</v>
      </c>
      <c r="H10" s="29">
        <v>6000</v>
      </c>
      <c r="I10" s="29">
        <v>3000</v>
      </c>
      <c r="J10" s="29">
        <v>2800</v>
      </c>
      <c r="K10" s="29">
        <v>3500</v>
      </c>
      <c r="L10" s="29">
        <v>4000</v>
      </c>
      <c r="M10" s="29">
        <v>3800</v>
      </c>
      <c r="N10" s="29">
        <v>4200</v>
      </c>
      <c r="O10" s="30">
        <f t="shared" ref="O10:O16" si="2">SUM(C10:N10)</f>
        <v>53400</v>
      </c>
    </row>
    <row r="11" spans="2:16" ht="21.95" customHeight="1" x14ac:dyDescent="0.3">
      <c r="B11" s="1" t="s">
        <v>2</v>
      </c>
      <c r="C11" s="31"/>
      <c r="D11" s="31"/>
      <c r="E11" s="31">
        <v>200</v>
      </c>
      <c r="F11" s="31"/>
      <c r="G11" s="31"/>
      <c r="H11" s="31"/>
      <c r="I11" s="31"/>
      <c r="J11" s="31"/>
      <c r="K11" s="31"/>
      <c r="L11" s="31"/>
      <c r="M11" s="31"/>
      <c r="N11" s="31"/>
      <c r="O11" s="32">
        <f t="shared" si="2"/>
        <v>200</v>
      </c>
    </row>
    <row r="12" spans="2:16" ht="21.95" customHeight="1" x14ac:dyDescent="0.3">
      <c r="B12" s="1" t="s">
        <v>3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32">
        <f t="shared" si="2"/>
        <v>0</v>
      </c>
    </row>
    <row r="13" spans="2:16" ht="21.95" customHeight="1" x14ac:dyDescent="0.3">
      <c r="B13" s="1" t="s">
        <v>4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2">
        <f t="shared" si="2"/>
        <v>0</v>
      </c>
    </row>
    <row r="14" spans="2:16" ht="21.95" customHeight="1" x14ac:dyDescent="0.3">
      <c r="B14" s="1" t="s">
        <v>5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32">
        <f t="shared" si="2"/>
        <v>0</v>
      </c>
    </row>
    <row r="15" spans="2:16" ht="21.95" customHeight="1" x14ac:dyDescent="0.3">
      <c r="B15" s="1" t="s">
        <v>6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2">
        <f t="shared" si="2"/>
        <v>0</v>
      </c>
    </row>
    <row r="16" spans="2:16" ht="21.95" customHeight="1" x14ac:dyDescent="0.3">
      <c r="B16" s="1" t="s">
        <v>47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32">
        <f t="shared" si="2"/>
        <v>0</v>
      </c>
    </row>
    <row r="17" spans="2:15" ht="32.1" customHeight="1" x14ac:dyDescent="0.3">
      <c r="B17" s="33" t="s">
        <v>56</v>
      </c>
      <c r="C17" s="34">
        <f>SUM(C10,C12:C16,(C11*-1))</f>
        <v>2500</v>
      </c>
      <c r="D17" s="35">
        <f t="shared" ref="D17:N17" si="3">SUM(D10,D12:D16,(D11*-1))</f>
        <v>3000</v>
      </c>
      <c r="E17" s="35">
        <f t="shared" si="3"/>
        <v>3400</v>
      </c>
      <c r="F17" s="35">
        <f t="shared" si="3"/>
        <v>3000</v>
      </c>
      <c r="G17" s="35">
        <f t="shared" si="3"/>
        <v>14000</v>
      </c>
      <c r="H17" s="35">
        <f t="shared" si="3"/>
        <v>6000</v>
      </c>
      <c r="I17" s="35">
        <f t="shared" si="3"/>
        <v>3000</v>
      </c>
      <c r="J17" s="35">
        <f t="shared" si="3"/>
        <v>2800</v>
      </c>
      <c r="K17" s="35">
        <f t="shared" si="3"/>
        <v>3500</v>
      </c>
      <c r="L17" s="35">
        <f t="shared" si="3"/>
        <v>4000</v>
      </c>
      <c r="M17" s="35">
        <f t="shared" si="3"/>
        <v>3800</v>
      </c>
      <c r="N17" s="35">
        <f t="shared" si="3"/>
        <v>4200</v>
      </c>
      <c r="O17" s="36">
        <f>SUM(O10:O16)</f>
        <v>53600</v>
      </c>
    </row>
    <row r="18" spans="2:15" ht="32.1" customHeight="1" x14ac:dyDescent="0.3">
      <c r="B18" s="33" t="s">
        <v>57</v>
      </c>
      <c r="C18" s="37">
        <f t="shared" ref="C18:N18" si="4">(C6+C17)</f>
        <v>12500</v>
      </c>
      <c r="D18" s="38">
        <f t="shared" si="4"/>
        <v>11050</v>
      </c>
      <c r="E18" s="38">
        <f t="shared" si="4"/>
        <v>12750</v>
      </c>
      <c r="F18" s="38">
        <f t="shared" si="4"/>
        <v>3890</v>
      </c>
      <c r="G18" s="38">
        <f t="shared" si="4"/>
        <v>16190</v>
      </c>
      <c r="H18" s="38">
        <f t="shared" si="4"/>
        <v>19590</v>
      </c>
      <c r="I18" s="38">
        <f t="shared" si="4"/>
        <v>16790</v>
      </c>
      <c r="J18" s="38">
        <f t="shared" si="4"/>
        <v>18090</v>
      </c>
      <c r="K18" s="38">
        <f t="shared" si="4"/>
        <v>19910</v>
      </c>
      <c r="L18" s="38">
        <f t="shared" si="4"/>
        <v>18360</v>
      </c>
      <c r="M18" s="38">
        <f t="shared" si="4"/>
        <v>20360</v>
      </c>
      <c r="N18" s="38">
        <f t="shared" si="4"/>
        <v>22980</v>
      </c>
      <c r="O18" s="39"/>
    </row>
    <row r="19" spans="2:15" ht="9" customHeight="1" x14ac:dyDescent="0.3"/>
    <row r="20" spans="2:15" ht="21.95" customHeight="1" x14ac:dyDescent="0.3">
      <c r="B20" s="40" t="s">
        <v>58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pans="2:15" ht="9" customHeight="1" x14ac:dyDescent="0.3"/>
    <row r="22" spans="2:15" ht="21.95" customHeight="1" x14ac:dyDescent="0.3">
      <c r="B22" s="1" t="s">
        <v>7</v>
      </c>
      <c r="C22" s="29">
        <v>3000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30">
        <f t="shared" ref="O22:O53" si="5">SUM(C22:N22)</f>
        <v>3000</v>
      </c>
    </row>
    <row r="23" spans="2:15" ht="21.95" customHeight="1" x14ac:dyDescent="0.3">
      <c r="B23" s="1" t="s">
        <v>8</v>
      </c>
      <c r="C23" s="31">
        <v>250</v>
      </c>
      <c r="D23" s="31">
        <v>300</v>
      </c>
      <c r="E23" s="31">
        <v>360</v>
      </c>
      <c r="F23" s="31">
        <v>300</v>
      </c>
      <c r="G23" s="31">
        <v>1400</v>
      </c>
      <c r="H23" s="31">
        <v>400</v>
      </c>
      <c r="I23" s="31">
        <v>300</v>
      </c>
      <c r="J23" s="31">
        <v>280</v>
      </c>
      <c r="K23" s="31">
        <v>350</v>
      </c>
      <c r="L23" s="31">
        <v>400</v>
      </c>
      <c r="M23" s="31">
        <v>380</v>
      </c>
      <c r="N23" s="31">
        <v>420</v>
      </c>
      <c r="O23" s="32">
        <f t="shared" si="5"/>
        <v>5140</v>
      </c>
    </row>
    <row r="24" spans="2:15" ht="21.95" customHeight="1" x14ac:dyDescent="0.3">
      <c r="B24" s="1" t="s">
        <v>9</v>
      </c>
      <c r="C24" s="29"/>
      <c r="D24" s="29">
        <v>200</v>
      </c>
      <c r="E24" s="29"/>
      <c r="F24" s="29">
        <v>200</v>
      </c>
      <c r="G24" s="29"/>
      <c r="H24" s="29">
        <v>200</v>
      </c>
      <c r="I24" s="29"/>
      <c r="J24" s="29">
        <v>200</v>
      </c>
      <c r="K24" s="29"/>
      <c r="L24" s="29">
        <v>200</v>
      </c>
      <c r="M24" s="29"/>
      <c r="N24" s="29">
        <v>200</v>
      </c>
      <c r="O24" s="32">
        <f t="shared" si="5"/>
        <v>1200</v>
      </c>
    </row>
    <row r="25" spans="2:15" ht="21.95" customHeight="1" x14ac:dyDescent="0.3">
      <c r="B25" s="1" t="s">
        <v>10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2">
        <f t="shared" si="5"/>
        <v>0</v>
      </c>
    </row>
    <row r="26" spans="2:15" ht="21.95" customHeight="1" x14ac:dyDescent="0.3">
      <c r="B26" s="1" t="s">
        <v>11</v>
      </c>
      <c r="C26" s="29"/>
      <c r="D26" s="29"/>
      <c r="E26" s="29">
        <v>4000</v>
      </c>
      <c r="F26" s="29"/>
      <c r="G26" s="29"/>
      <c r="H26" s="29">
        <v>4000</v>
      </c>
      <c r="I26" s="29"/>
      <c r="J26" s="29"/>
      <c r="K26" s="29">
        <v>4000</v>
      </c>
      <c r="L26" s="29"/>
      <c r="M26" s="29"/>
      <c r="N26" s="29">
        <v>4000</v>
      </c>
      <c r="O26" s="32">
        <f t="shared" si="5"/>
        <v>16000</v>
      </c>
    </row>
    <row r="27" spans="2:15" ht="21.95" customHeight="1" x14ac:dyDescent="0.3">
      <c r="B27" s="1" t="s">
        <v>12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2">
        <f t="shared" si="5"/>
        <v>0</v>
      </c>
    </row>
    <row r="28" spans="2:15" ht="21.95" customHeight="1" x14ac:dyDescent="0.3">
      <c r="B28" s="1" t="s">
        <v>13</v>
      </c>
      <c r="C28" s="29">
        <v>1200</v>
      </c>
      <c r="D28" s="29">
        <v>1200</v>
      </c>
      <c r="E28" s="29">
        <v>7500</v>
      </c>
      <c r="F28" s="29">
        <v>1200</v>
      </c>
      <c r="G28" s="29">
        <v>1200</v>
      </c>
      <c r="H28" s="29">
        <v>1200</v>
      </c>
      <c r="I28" s="29">
        <v>1200</v>
      </c>
      <c r="J28" s="29">
        <v>1200</v>
      </c>
      <c r="K28" s="29">
        <v>1200</v>
      </c>
      <c r="L28" s="29">
        <v>1200</v>
      </c>
      <c r="M28" s="29">
        <v>1200</v>
      </c>
      <c r="N28" s="29">
        <v>1200</v>
      </c>
      <c r="O28" s="32">
        <f t="shared" si="5"/>
        <v>20700</v>
      </c>
    </row>
    <row r="29" spans="2:15" ht="21.95" customHeight="1" x14ac:dyDescent="0.3">
      <c r="B29" s="1" t="s">
        <v>14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2">
        <f t="shared" si="5"/>
        <v>0</v>
      </c>
    </row>
    <row r="30" spans="2:15" ht="21.95" customHeight="1" x14ac:dyDescent="0.3">
      <c r="B30" s="1" t="s">
        <v>15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32">
        <f t="shared" si="5"/>
        <v>0</v>
      </c>
    </row>
    <row r="31" spans="2:15" ht="21.95" customHeight="1" x14ac:dyDescent="0.3">
      <c r="B31" s="1" t="s">
        <v>16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2">
        <f t="shared" si="5"/>
        <v>0</v>
      </c>
    </row>
    <row r="32" spans="2:15" ht="21.95" customHeight="1" x14ac:dyDescent="0.3">
      <c r="B32" s="1" t="s">
        <v>17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32">
        <f t="shared" si="5"/>
        <v>0</v>
      </c>
    </row>
    <row r="33" spans="2:15" ht="21.95" customHeight="1" x14ac:dyDescent="0.3">
      <c r="B33" s="1" t="s">
        <v>18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2">
        <f t="shared" si="5"/>
        <v>0</v>
      </c>
    </row>
    <row r="34" spans="2:15" ht="21.95" customHeight="1" x14ac:dyDescent="0.3">
      <c r="B34" s="1" t="s">
        <v>19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32">
        <f t="shared" si="5"/>
        <v>0</v>
      </c>
    </row>
    <row r="35" spans="2:15" ht="21.95" customHeight="1" x14ac:dyDescent="0.3">
      <c r="B35" s="1" t="s">
        <v>20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2">
        <f t="shared" si="5"/>
        <v>0</v>
      </c>
    </row>
    <row r="36" spans="2:15" ht="21.95" customHeight="1" x14ac:dyDescent="0.3">
      <c r="B36" s="1" t="s">
        <v>21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32">
        <f t="shared" si="5"/>
        <v>0</v>
      </c>
    </row>
    <row r="37" spans="2:15" ht="21.95" customHeight="1" x14ac:dyDescent="0.3">
      <c r="B37" s="1" t="s">
        <v>22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2">
        <f t="shared" si="5"/>
        <v>0</v>
      </c>
    </row>
    <row r="38" spans="2:15" ht="21.95" customHeight="1" x14ac:dyDescent="0.3">
      <c r="B38" s="1" t="s">
        <v>23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32">
        <f t="shared" si="5"/>
        <v>0</v>
      </c>
    </row>
    <row r="39" spans="2:15" ht="21.95" customHeight="1" x14ac:dyDescent="0.3">
      <c r="B39" s="1" t="s">
        <v>24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2">
        <f t="shared" si="5"/>
        <v>0</v>
      </c>
    </row>
    <row r="40" spans="2:15" ht="21.95" customHeight="1" x14ac:dyDescent="0.3">
      <c r="B40" s="1" t="s">
        <v>25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32">
        <f t="shared" si="5"/>
        <v>0</v>
      </c>
    </row>
    <row r="41" spans="2:15" ht="21.95" customHeight="1" x14ac:dyDescent="0.3">
      <c r="B41" s="1" t="s">
        <v>26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2">
        <f t="shared" si="5"/>
        <v>0</v>
      </c>
    </row>
    <row r="42" spans="2:15" ht="21.95" customHeight="1" x14ac:dyDescent="0.3">
      <c r="B42" s="1" t="s">
        <v>27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32">
        <f t="shared" si="5"/>
        <v>0</v>
      </c>
    </row>
    <row r="43" spans="2:15" ht="21.95" customHeight="1" x14ac:dyDescent="0.3">
      <c r="B43" s="1" t="s">
        <v>28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2">
        <f t="shared" si="5"/>
        <v>0</v>
      </c>
    </row>
    <row r="44" spans="2:15" ht="21.95" customHeight="1" x14ac:dyDescent="0.3">
      <c r="B44" s="1" t="s">
        <v>28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32">
        <f t="shared" si="5"/>
        <v>0</v>
      </c>
    </row>
    <row r="45" spans="2:15" ht="21.95" customHeight="1" x14ac:dyDescent="0.3">
      <c r="B45" s="1" t="s">
        <v>28</v>
      </c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2">
        <f t="shared" si="5"/>
        <v>0</v>
      </c>
    </row>
    <row r="46" spans="2:15" ht="21.95" customHeight="1" x14ac:dyDescent="0.3">
      <c r="B46" s="1" t="s">
        <v>29</v>
      </c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32">
        <f t="shared" si="5"/>
        <v>0</v>
      </c>
    </row>
    <row r="47" spans="2:15" ht="30" customHeight="1" x14ac:dyDescent="0.3">
      <c r="B47" s="33" t="s">
        <v>44</v>
      </c>
      <c r="C47" s="41">
        <f t="shared" ref="C47:N47" si="6">SUM(C22:C46)</f>
        <v>4450</v>
      </c>
      <c r="D47" s="42">
        <f t="shared" si="6"/>
        <v>1700</v>
      </c>
      <c r="E47" s="42">
        <f t="shared" si="6"/>
        <v>11860</v>
      </c>
      <c r="F47" s="42">
        <f t="shared" si="6"/>
        <v>1700</v>
      </c>
      <c r="G47" s="42">
        <f t="shared" si="6"/>
        <v>2600</v>
      </c>
      <c r="H47" s="42">
        <f t="shared" si="6"/>
        <v>5800</v>
      </c>
      <c r="I47" s="42">
        <f t="shared" si="6"/>
        <v>1500</v>
      </c>
      <c r="J47" s="42">
        <f t="shared" si="6"/>
        <v>1680</v>
      </c>
      <c r="K47" s="42">
        <f t="shared" si="6"/>
        <v>5550</v>
      </c>
      <c r="L47" s="42">
        <f t="shared" si="6"/>
        <v>1800</v>
      </c>
      <c r="M47" s="42">
        <f t="shared" si="6"/>
        <v>1580</v>
      </c>
      <c r="N47" s="42">
        <f t="shared" si="6"/>
        <v>5820</v>
      </c>
      <c r="O47" s="43">
        <f t="shared" si="5"/>
        <v>46040</v>
      </c>
    </row>
    <row r="48" spans="2:15" ht="9" customHeight="1" x14ac:dyDescent="0.3"/>
    <row r="49" spans="2:15" ht="21.95" customHeight="1" x14ac:dyDescent="0.3">
      <c r="B49" s="1" t="s">
        <v>30</v>
      </c>
      <c r="C49" s="44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6">
        <f t="shared" si="5"/>
        <v>0</v>
      </c>
    </row>
    <row r="50" spans="2:15" ht="21.95" customHeight="1" x14ac:dyDescent="0.3">
      <c r="B50" s="1" t="s">
        <v>31</v>
      </c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8">
        <f t="shared" si="5"/>
        <v>0</v>
      </c>
    </row>
    <row r="51" spans="2:15" ht="21.95" customHeight="1" x14ac:dyDescent="0.3">
      <c r="B51" s="1" t="s">
        <v>32</v>
      </c>
      <c r="C51" s="49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1">
        <f t="shared" si="5"/>
        <v>0</v>
      </c>
    </row>
    <row r="52" spans="2:15" ht="21.95" customHeight="1" x14ac:dyDescent="0.3">
      <c r="B52" s="1" t="s">
        <v>33</v>
      </c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8">
        <f t="shared" si="5"/>
        <v>0</v>
      </c>
    </row>
    <row r="53" spans="2:15" ht="21.95" customHeight="1" x14ac:dyDescent="0.3">
      <c r="B53" s="1" t="s">
        <v>34</v>
      </c>
      <c r="C53" s="49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1">
        <f t="shared" si="5"/>
        <v>0</v>
      </c>
    </row>
    <row r="54" spans="2:15" ht="30" customHeight="1" x14ac:dyDescent="0.3">
      <c r="B54" s="33" t="s">
        <v>45</v>
      </c>
      <c r="C54" s="52">
        <f>C47-SUM(C49:C53)</f>
        <v>4450</v>
      </c>
      <c r="D54" s="53">
        <f t="shared" ref="D54:N54" si="7">D47-SUM(D49:D53)</f>
        <v>1700</v>
      </c>
      <c r="E54" s="53">
        <f t="shared" si="7"/>
        <v>11860</v>
      </c>
      <c r="F54" s="53">
        <f t="shared" si="7"/>
        <v>1700</v>
      </c>
      <c r="G54" s="53">
        <f t="shared" si="7"/>
        <v>2600</v>
      </c>
      <c r="H54" s="53">
        <f t="shared" si="7"/>
        <v>5800</v>
      </c>
      <c r="I54" s="53">
        <f t="shared" si="7"/>
        <v>1500</v>
      </c>
      <c r="J54" s="53">
        <f t="shared" si="7"/>
        <v>1680</v>
      </c>
      <c r="K54" s="53">
        <f t="shared" si="7"/>
        <v>5550</v>
      </c>
      <c r="L54" s="53">
        <f t="shared" si="7"/>
        <v>1800</v>
      </c>
      <c r="M54" s="53">
        <f t="shared" si="7"/>
        <v>1580</v>
      </c>
      <c r="N54" s="53">
        <f t="shared" si="7"/>
        <v>5820</v>
      </c>
      <c r="O54" s="54">
        <f>SUM(O47:O53)</f>
        <v>46040</v>
      </c>
    </row>
    <row r="55" spans="2:15" ht="30" customHeight="1" x14ac:dyDescent="0.3">
      <c r="B55" s="33" t="s">
        <v>35</v>
      </c>
      <c r="C55" s="55">
        <f t="shared" ref="C55:N55" si="8">(C18-C54)</f>
        <v>8050</v>
      </c>
      <c r="D55" s="56">
        <f t="shared" si="8"/>
        <v>9350</v>
      </c>
      <c r="E55" s="56">
        <f t="shared" si="8"/>
        <v>890</v>
      </c>
      <c r="F55" s="56">
        <f t="shared" si="8"/>
        <v>2190</v>
      </c>
      <c r="G55" s="56">
        <f t="shared" si="8"/>
        <v>13590</v>
      </c>
      <c r="H55" s="56">
        <f t="shared" si="8"/>
        <v>13790</v>
      </c>
      <c r="I55" s="56">
        <f t="shared" si="8"/>
        <v>15290</v>
      </c>
      <c r="J55" s="56">
        <f t="shared" si="8"/>
        <v>16410</v>
      </c>
      <c r="K55" s="56">
        <f t="shared" si="8"/>
        <v>14360</v>
      </c>
      <c r="L55" s="56">
        <f t="shared" si="8"/>
        <v>16560</v>
      </c>
      <c r="M55" s="56">
        <f t="shared" si="8"/>
        <v>18780</v>
      </c>
      <c r="N55" s="56">
        <f t="shared" si="8"/>
        <v>17160</v>
      </c>
      <c r="O55" s="57"/>
    </row>
    <row r="57" spans="2:15" ht="21.95" customHeight="1" x14ac:dyDescent="0.3">
      <c r="B57" s="40" t="s">
        <v>46</v>
      </c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</row>
    <row r="58" spans="2:15" ht="9" customHeight="1" x14ac:dyDescent="0.3"/>
    <row r="59" spans="2:15" ht="21.95" customHeight="1" x14ac:dyDescent="0.3">
      <c r="B59" s="1" t="s">
        <v>36</v>
      </c>
      <c r="C59" s="58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60"/>
      <c r="O59" s="61"/>
    </row>
    <row r="60" spans="2:15" ht="21.95" customHeight="1" x14ac:dyDescent="0.3">
      <c r="B60" s="1" t="s">
        <v>37</v>
      </c>
      <c r="C60" s="62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63"/>
    </row>
    <row r="61" spans="2:15" ht="21.95" customHeight="1" x14ac:dyDescent="0.3">
      <c r="B61" s="1" t="s">
        <v>38</v>
      </c>
      <c r="C61" s="64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65"/>
      <c r="O61" s="66"/>
    </row>
    <row r="62" spans="2:15" ht="21.95" customHeight="1" x14ac:dyDescent="0.3">
      <c r="B62" s="1" t="s">
        <v>39</v>
      </c>
      <c r="C62" s="62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63"/>
    </row>
    <row r="63" spans="2:15" ht="21.95" customHeight="1" x14ac:dyDescent="0.3">
      <c r="B63" s="1" t="s">
        <v>40</v>
      </c>
      <c r="C63" s="64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65"/>
      <c r="O63" s="66"/>
    </row>
    <row r="64" spans="2:15" ht="21.95" customHeight="1" x14ac:dyDescent="0.3">
      <c r="B64" s="1" t="s">
        <v>41</v>
      </c>
      <c r="C64" s="67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9"/>
    </row>
  </sheetData>
  <mergeCells count="1">
    <mergeCell ref="O5:O6"/>
  </mergeCells>
  <conditionalFormatting sqref="C6:N6">
    <cfRule type="expression" dxfId="1" priority="1">
      <formula>C6&lt;Cash_Minimum</formula>
    </cfRule>
  </conditionalFormatting>
  <conditionalFormatting sqref="O10:O18 C17:N18 O22:O46 C47:O47 O49:O55 C54:N55">
    <cfRule type="cellIs" dxfId="0" priority="2" operator="lessThan">
      <formula>0</formula>
    </cfRule>
  </conditionalFormatting>
  <dataValidations count="1">
    <dataValidation allowBlank="1" showErrorMessage="1" sqref="A1:XFD1048576" xr:uid="{00000000-0002-0000-0100-000000000000}"/>
  </dataValidations>
  <printOptions horizontalCentered="1"/>
  <pageMargins left="0.3" right="0.3" top="0.5" bottom="0.5" header="0.3" footer="0.3"/>
  <pageSetup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9677210f24a1be23c92c90fd886aa0aa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60e05723c5c1908df1a1a4ebf11d344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E68700-CE33-4D96-939D-220AE6BFDB11}">
  <ds:schemaRefs>
    <ds:schemaRef ds:uri="http://schemas.microsoft.com/office/infopath/2007/PartnerControls"/>
    <ds:schemaRef ds:uri="http://www.w3.org/XML/1998/namespace"/>
    <ds:schemaRef ds:uri="http://purl.org/dc/terms/"/>
    <ds:schemaRef ds:uri="16c05727-aa75-4e4a-9b5f-8a80a1165891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71af3243-3dd4-4a8d-8c0d-dd76da1f02a5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B28A065-BDB4-4BA1-A1D0-B8466F8971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FFA26D-8255-4FBC-8ED6-34AF0531DC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Cash Flow Summary</vt:lpstr>
      <vt:lpstr>Cash Flow Forecast</vt:lpstr>
      <vt:lpstr>Cash_Minimum</vt:lpstr>
      <vt:lpstr>'Cash Flow Summary'!Print_Area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2019-02-20T20:38:26Z</dcterms:created>
  <dcterms:modified xsi:type="dcterms:W3CDTF">2024-07-11T03:46:36Z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